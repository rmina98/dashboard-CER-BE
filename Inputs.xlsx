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mina\Documents\Calcu BE\"/>
    </mc:Choice>
  </mc:AlternateContent>
  <bookViews>
    <workbookView xWindow="0" yWindow="0" windowWidth="28800" windowHeight="12000"/>
  </bookViews>
  <sheets>
    <sheet name="Precios" sheetId="3" r:id="rId1"/>
    <sheet name="Tamar" sheetId="1" r:id="rId2"/>
    <sheet name="Feriados" sheetId="2" r:id="rId3"/>
    <sheet name="Lecaps" sheetId="4" r:id="rId4"/>
    <sheet name="Letam" sheetId="5" r:id="rId5"/>
  </sheets>
  <externalReferences>
    <externalReference r:id="rId6"/>
    <externalReference r:id="rId7"/>
    <externalReference r:id="rId8"/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4" i="3" l="1"/>
  <c r="E164" i="3"/>
  <c r="D164" i="3"/>
  <c r="C164" i="3"/>
  <c r="B164" i="3"/>
  <c r="A11" i="2" l="1"/>
  <c r="A12" i="2"/>
  <c r="A13" i="2"/>
  <c r="A14" i="2"/>
  <c r="A3" i="2"/>
  <c r="A4" i="2"/>
  <c r="A5" i="2"/>
  <c r="A6" i="2"/>
  <c r="A7" i="2"/>
  <c r="A8" i="2"/>
  <c r="A9" i="2"/>
  <c r="A10" i="2"/>
  <c r="A2" i="2"/>
  <c r="A151" i="3" l="1"/>
  <c r="A152" i="3" s="1"/>
  <c r="A153" i="3" s="1"/>
  <c r="A154" i="3" s="1"/>
  <c r="A155" i="3" s="1"/>
  <c r="A156" i="3" s="1"/>
  <c r="A157" i="3" s="1"/>
  <c r="A158" i="3" s="1"/>
  <c r="A420" i="1"/>
  <c r="B420" i="1" s="1"/>
  <c r="A159" i="3" l="1"/>
  <c r="A421" i="1"/>
  <c r="A422" i="1" s="1"/>
  <c r="A160" i="3" l="1"/>
  <c r="B421" i="1"/>
  <c r="A423" i="1"/>
  <c r="B422" i="1"/>
  <c r="A161" i="3" l="1"/>
  <c r="A424" i="1"/>
  <c r="A425" i="1" s="1"/>
  <c r="B425" i="1" s="1"/>
  <c r="B423" i="1"/>
  <c r="A162" i="3" l="1"/>
  <c r="B424" i="1"/>
  <c r="C162" i="3" l="1"/>
  <c r="D162" i="3"/>
  <c r="E162" i="3"/>
  <c r="A163" i="3"/>
  <c r="A164" i="3" s="1"/>
  <c r="F162" i="3"/>
  <c r="B162" i="3"/>
  <c r="A426" i="1"/>
  <c r="B426" i="1" s="1"/>
  <c r="C163" i="3" l="1"/>
  <c r="D163" i="3"/>
  <c r="E163" i="3"/>
  <c r="F163" i="3"/>
  <c r="B163" i="3"/>
  <c r="A427" i="1"/>
  <c r="B427" i="1" s="1"/>
  <c r="A428" i="1" l="1"/>
  <c r="B428" i="1" s="1"/>
  <c r="A429" i="1" l="1"/>
  <c r="B429" i="1" s="1"/>
  <c r="A430" i="1" l="1"/>
  <c r="B430" i="1" s="1"/>
  <c r="A431" i="1" l="1"/>
  <c r="B431" i="1" s="1"/>
  <c r="A432" i="1" l="1"/>
  <c r="B432" i="1" s="1"/>
  <c r="A433" i="1" l="1"/>
  <c r="A434" i="1" l="1"/>
  <c r="B433" i="1"/>
  <c r="A435" i="1" l="1"/>
  <c r="A436" i="1" s="1"/>
  <c r="A437" i="1" s="1"/>
  <c r="A438" i="1" s="1"/>
  <c r="B434" i="1"/>
</calcChain>
</file>

<file path=xl/sharedStrings.xml><?xml version="1.0" encoding="utf-8"?>
<sst xmlns="http://schemas.openxmlformats.org/spreadsheetml/2006/main" count="24" uniqueCount="13">
  <si>
    <t>Feriados</t>
  </si>
  <si>
    <t>Tamar</t>
  </si>
  <si>
    <t>Fecha</t>
  </si>
  <si>
    <t>S29E7</t>
  </si>
  <si>
    <t>TMF27</t>
  </si>
  <si>
    <t>,</t>
  </si>
  <si>
    <t>Ticker</t>
  </si>
  <si>
    <t>T15E7</t>
  </si>
  <si>
    <t>Emisión</t>
  </si>
  <si>
    <t>Vencimiento</t>
  </si>
  <si>
    <t>Tasa</t>
  </si>
  <si>
    <t>T31Y7</t>
  </si>
  <si>
    <t>TML27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</si>
</sst>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1" fillId="2" borderId="1" xfId="1" applyNumberFormat="1" applyFont="1" applyFill="1" applyBorder="1" applyAlignment="1">
      <alignment horizontal="center" vertical="center"/>
    </xf>
    <xf numFmtId="14" fontId="0" fillId="2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2">
    <cellStyle name="Normal" xfId="0" builtinId="0"/>
    <cellStyle name="Normal_Excel Bloomberg (Bcra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Cierre\Cierre\Precios%20para%20Cierre%20Vector%20CAFC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Renta%20Fija\TP%20BBG%20Macr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Feriado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ro.com.ar\DFSMACRO\MacroFondos\Sud-Valores\Cierre\Cierre\Valuaci&#243;n\Valuaci&#243;n%20Activos%20Macro%20Fond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 Fija"/>
      <sheetName val="Precio C"/>
      <sheetName val="PRECIOS"/>
      <sheetName val="Soja"/>
      <sheetName val="Vtos"/>
      <sheetName val="Cortes"/>
      <sheetName val="Precios historicos"/>
      <sheetName val="Spread historicos"/>
      <sheetName val="Impugnaciones"/>
      <sheetName val="Horizonte"/>
      <sheetName val="Feriados"/>
      <sheetName val="RED SURCOS"/>
      <sheetName val="Cortes Cafc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Columna</v>
          </cell>
          <cell r="B1">
            <v>15</v>
          </cell>
        </row>
        <row r="6">
          <cell r="M6" t="str">
            <v>Link de Curvas</v>
          </cell>
          <cell r="N6" t="str">
            <v>Link de Curvas</v>
          </cell>
        </row>
        <row r="7">
          <cell r="E7">
            <v>46296</v>
          </cell>
          <cell r="F7">
            <v>46297</v>
          </cell>
          <cell r="G7">
            <v>46300</v>
          </cell>
          <cell r="H7">
            <v>46301</v>
          </cell>
          <cell r="I7">
            <v>46302</v>
          </cell>
          <cell r="J7">
            <v>46303</v>
          </cell>
          <cell r="K7">
            <v>46304</v>
          </cell>
          <cell r="L7">
            <v>46308</v>
          </cell>
          <cell r="M7">
            <v>46309</v>
          </cell>
          <cell r="N7">
            <v>46310</v>
          </cell>
        </row>
        <row r="8">
          <cell r="A8" t="str">
            <v>Ticker</v>
          </cell>
          <cell r="B8" t="str">
            <v>Ticker</v>
          </cell>
          <cell r="C8" t="str">
            <v>TIER</v>
          </cell>
          <cell r="D8" t="str">
            <v>DUR</v>
          </cell>
          <cell r="E8" t="str">
            <v>Precio HOY</v>
          </cell>
          <cell r="F8" t="str">
            <v>Precio HOY</v>
          </cell>
          <cell r="G8" t="str">
            <v>Precio HOY</v>
          </cell>
          <cell r="H8" t="str">
            <v>Precio HOY</v>
          </cell>
          <cell r="I8" t="str">
            <v>Precio HOY</v>
          </cell>
          <cell r="J8" t="str">
            <v>Precio HOY</v>
          </cell>
          <cell r="K8" t="str">
            <v>Precio HOY</v>
          </cell>
          <cell r="L8" t="str">
            <v>Precio HOY</v>
          </cell>
          <cell r="M8" t="str">
            <v>Precio HOY</v>
          </cell>
          <cell r="N8" t="str">
            <v>Precio HOY</v>
          </cell>
        </row>
        <row r="10">
          <cell r="A10" t="str">
            <v>Bonos Soberanos Hard USD</v>
          </cell>
        </row>
        <row r="12">
          <cell r="A12" t="str">
            <v>AO27D</v>
          </cell>
          <cell r="B12" t="str">
            <v>AO27DUSM</v>
          </cell>
          <cell r="C12" t="str">
            <v>Soberano - Tasa Fija USD Ley Argentina</v>
          </cell>
          <cell r="D12">
            <v>367.52200091084808</v>
          </cell>
          <cell r="E12">
            <v>1.0195097200000001</v>
          </cell>
          <cell r="F12">
            <v>1.02148938</v>
          </cell>
          <cell r="G12">
            <v>1.02700898</v>
          </cell>
          <cell r="H12">
            <v>1.0274662800000001</v>
          </cell>
          <cell r="I12">
            <v>1.02945471</v>
          </cell>
          <cell r="J12">
            <v>1.03054936</v>
          </cell>
          <cell r="K12">
            <v>1.0350260899999999</v>
          </cell>
          <cell r="L12">
            <v>1.0360251</v>
          </cell>
          <cell r="M12">
            <v>1.0381058000000001</v>
          </cell>
          <cell r="N12">
            <v>1.0370792499999999</v>
          </cell>
        </row>
        <row r="13">
          <cell r="A13" t="str">
            <v>AO28D</v>
          </cell>
          <cell r="B13" t="str">
            <v>AO28DUSM</v>
          </cell>
          <cell r="C13" t="str">
            <v>Soberano - Tasa Fija USD Ley Argentina</v>
          </cell>
          <cell r="D13">
            <v>701.74674425645185</v>
          </cell>
          <cell r="E13">
            <v>0.91009684000000002</v>
          </cell>
          <cell r="F13">
            <v>0.91073886000000004</v>
          </cell>
          <cell r="G13">
            <v>0.92774427000000004</v>
          </cell>
          <cell r="H13">
            <v>0.93094308000000003</v>
          </cell>
          <cell r="I13">
            <v>0.93012298000000004</v>
          </cell>
          <cell r="J13">
            <v>0.93025999000000004</v>
          </cell>
          <cell r="K13">
            <v>0.93533619000000001</v>
          </cell>
          <cell r="L13">
            <v>0.93671409999999999</v>
          </cell>
          <cell r="M13">
            <v>0.93537146999999998</v>
          </cell>
          <cell r="N13">
            <v>0.93966570000000005</v>
          </cell>
        </row>
        <row r="14">
          <cell r="A14" t="str">
            <v>AO29D</v>
          </cell>
          <cell r="B14" t="str">
            <v>AO29DUSM</v>
          </cell>
          <cell r="C14" t="str">
            <v>Soberano - Tasa Fija USD Ley Argentina</v>
          </cell>
          <cell r="D14">
            <v>1009.0145636971599</v>
          </cell>
          <cell r="E14">
            <v>0.84545828999999995</v>
          </cell>
          <cell r="F14">
            <v>0.84716303000000004</v>
          </cell>
          <cell r="G14">
            <v>0.86343495000000003</v>
          </cell>
          <cell r="H14">
            <v>0.86504597999999999</v>
          </cell>
          <cell r="I14">
            <v>0.85994152000000001</v>
          </cell>
          <cell r="J14">
            <v>0.86255130999999996</v>
          </cell>
          <cell r="K14">
            <v>0.86473566000000002</v>
          </cell>
          <cell r="L14">
            <v>0.86546416000000004</v>
          </cell>
          <cell r="M14">
            <v>0.86496722999999998</v>
          </cell>
          <cell r="N14">
            <v>0.86529741999999998</v>
          </cell>
        </row>
        <row r="15">
          <cell r="A15" t="str">
            <v>AL29D</v>
          </cell>
          <cell r="B15" t="str">
            <v>AL29DUSM</v>
          </cell>
          <cell r="C15" t="str">
            <v>Soberano - Tasa Fija USD Ley Argentina</v>
          </cell>
          <cell r="D15">
            <v>518.99198100096567</v>
          </cell>
          <cell r="E15">
            <v>0.53402238000000002</v>
          </cell>
          <cell r="F15">
            <v>0.53655333000000005</v>
          </cell>
          <cell r="G15">
            <v>0.54512472999999995</v>
          </cell>
          <cell r="H15">
            <v>0.54563222</v>
          </cell>
          <cell r="I15">
            <v>0.54061630000000005</v>
          </cell>
          <cell r="J15">
            <v>0.54920539000000002</v>
          </cell>
          <cell r="K15">
            <v>0.54858366000000003</v>
          </cell>
          <cell r="L15">
            <v>0.54780083000000002</v>
          </cell>
          <cell r="M15">
            <v>0.54787724999999998</v>
          </cell>
          <cell r="N15">
            <v>0.54814077999999999</v>
          </cell>
        </row>
        <row r="16">
          <cell r="A16" t="str">
            <v>GD29D</v>
          </cell>
          <cell r="B16" t="str">
            <v>GD29DUSM</v>
          </cell>
          <cell r="C16" t="str">
            <v>Soberano - Tasa Fija USD Ley Extranjera</v>
          </cell>
          <cell r="D16">
            <v>522.88280803307464</v>
          </cell>
          <cell r="E16">
            <v>0.55130078000000005</v>
          </cell>
          <cell r="F16">
            <v>0.54591153000000003</v>
          </cell>
          <cell r="G16">
            <v>0.55304372000000002</v>
          </cell>
          <cell r="H16">
            <v>0.55086362</v>
          </cell>
          <cell r="I16">
            <v>0.55341012999999994</v>
          </cell>
          <cell r="J16">
            <v>0.55455606999999996</v>
          </cell>
          <cell r="K16">
            <v>0.55517258000000003</v>
          </cell>
          <cell r="L16">
            <v>0.55871371999999997</v>
          </cell>
          <cell r="M16">
            <v>0.55759336999999998</v>
          </cell>
          <cell r="N16">
            <v>0.55564020000000003</v>
          </cell>
        </row>
        <row r="17">
          <cell r="A17" t="str">
            <v>AL30D</v>
          </cell>
          <cell r="B17" t="str">
            <v>AL30DUSM</v>
          </cell>
          <cell r="C17" t="str">
            <v>Soberano - Tasa Fija USD Ley Argentina</v>
          </cell>
          <cell r="D17">
            <v>678.69860754191029</v>
          </cell>
          <cell r="E17">
            <v>0.54246879000000003</v>
          </cell>
          <cell r="F17">
            <v>0.54531742000000005</v>
          </cell>
          <cell r="G17">
            <v>0.55510957999999999</v>
          </cell>
          <cell r="H17">
            <v>0.55746534999999997</v>
          </cell>
          <cell r="I17">
            <v>0.55763837999999999</v>
          </cell>
          <cell r="J17">
            <v>0.56057911999999999</v>
          </cell>
          <cell r="K17">
            <v>0.56350078000000003</v>
          </cell>
          <cell r="L17">
            <v>0.56179374999999998</v>
          </cell>
          <cell r="M17">
            <v>0.56207753000000005</v>
          </cell>
          <cell r="N17">
            <v>0.56127616999999996</v>
          </cell>
        </row>
        <row r="18">
          <cell r="A18" t="str">
            <v>GD30D</v>
          </cell>
          <cell r="B18" t="str">
            <v>GD30DUSM</v>
          </cell>
          <cell r="C18" t="str">
            <v>Soberano - Tasa Fija USD Ley Extranjera</v>
          </cell>
          <cell r="D18">
            <v>686.97895548006943</v>
          </cell>
          <cell r="E18">
            <v>0.55272471999999995</v>
          </cell>
          <cell r="F18">
            <v>0.56101807000000004</v>
          </cell>
          <cell r="G18">
            <v>0.57017333999999997</v>
          </cell>
          <cell r="H18">
            <v>0.56818795</v>
          </cell>
          <cell r="I18">
            <v>0.57324311999999999</v>
          </cell>
          <cell r="J18">
            <v>0.57480889999999996</v>
          </cell>
          <cell r="K18">
            <v>0.57704845999999999</v>
          </cell>
          <cell r="L18">
            <v>0.57678925999999997</v>
          </cell>
          <cell r="M18">
            <v>0.57434536000000003</v>
          </cell>
          <cell r="N18">
            <v>0.57658505999999998</v>
          </cell>
        </row>
        <row r="19">
          <cell r="A19" t="str">
            <v>AN29D</v>
          </cell>
          <cell r="B19" t="str">
            <v>AN29DUSM</v>
          </cell>
          <cell r="C19" t="str">
            <v>Soberano - Tasa Fija USD Ley Argentina</v>
          </cell>
          <cell r="D19">
            <v>1018.4138538562983</v>
          </cell>
          <cell r="E19">
            <v>0.86379092000000002</v>
          </cell>
          <cell r="F19">
            <v>0.86568407000000003</v>
          </cell>
          <cell r="G19">
            <v>0.88028704000000002</v>
          </cell>
          <cell r="H19">
            <v>0.88589401000000001</v>
          </cell>
          <cell r="I19">
            <v>0.88608116000000003</v>
          </cell>
          <cell r="J19">
            <v>0.88965594999999997</v>
          </cell>
          <cell r="K19">
            <v>0.88698513000000001</v>
          </cell>
          <cell r="L19">
            <v>0.88362907000000002</v>
          </cell>
          <cell r="M19">
            <v>0.88789361</v>
          </cell>
          <cell r="N19">
            <v>0.88843055999999998</v>
          </cell>
        </row>
        <row r="20">
          <cell r="A20" t="str">
            <v>AE38D</v>
          </cell>
          <cell r="B20" t="str">
            <v>AE38DUSM</v>
          </cell>
          <cell r="C20" t="str">
            <v>Soberano - Tasa Fija USD Ley Argentina</v>
          </cell>
          <cell r="D20">
            <v>1597.7220400486704</v>
          </cell>
          <cell r="E20">
            <v>0.72296238999999995</v>
          </cell>
          <cell r="F20">
            <v>0.72323967</v>
          </cell>
          <cell r="G20">
            <v>0.73984101999999996</v>
          </cell>
          <cell r="H20">
            <v>0.74727900000000003</v>
          </cell>
          <cell r="I20">
            <v>0.74700412999999999</v>
          </cell>
          <cell r="J20">
            <v>0.74803673999999998</v>
          </cell>
          <cell r="K20">
            <v>0.74854653999999998</v>
          </cell>
          <cell r="L20">
            <v>0.74821859000000002</v>
          </cell>
          <cell r="M20">
            <v>0.74708881000000005</v>
          </cell>
          <cell r="N20">
            <v>0.74904011999999998</v>
          </cell>
        </row>
        <row r="21">
          <cell r="A21" t="str">
            <v>GD38D</v>
          </cell>
          <cell r="B21" t="str">
            <v>GD38DUSM</v>
          </cell>
          <cell r="C21" t="str">
            <v>Soberano - Tasa Fija USD Ley Extranjera</v>
          </cell>
          <cell r="D21">
            <v>1655.7208155307924</v>
          </cell>
          <cell r="E21">
            <v>0.78018063999999998</v>
          </cell>
          <cell r="F21">
            <v>0.78178864000000003</v>
          </cell>
          <cell r="G21">
            <v>0.79631216000000005</v>
          </cell>
          <cell r="H21">
            <v>0.80333445999999997</v>
          </cell>
          <cell r="I21">
            <v>0.80150096999999998</v>
          </cell>
          <cell r="J21">
            <v>0.80110806000000001</v>
          </cell>
          <cell r="K21">
            <v>0.80358629999999998</v>
          </cell>
          <cell r="L21">
            <v>0.80407362000000004</v>
          </cell>
          <cell r="M21">
            <v>0.80542327999999996</v>
          </cell>
          <cell r="N21">
            <v>0.80708986000000005</v>
          </cell>
        </row>
        <row r="22">
          <cell r="A22" t="str">
            <v>GD46D</v>
          </cell>
          <cell r="B22" t="str">
            <v>GD46DUSM</v>
          </cell>
          <cell r="C22" t="str">
            <v>Soberano - Tasa Fija USD Ley Extranjera</v>
          </cell>
          <cell r="D22">
            <v>2234.9803427947841</v>
          </cell>
          <cell r="E22">
            <v>0.62517796999999997</v>
          </cell>
          <cell r="F22">
            <v>0.62737699999999996</v>
          </cell>
          <cell r="G22">
            <v>0.63712200000000008</v>
          </cell>
          <cell r="H22">
            <v>0.64726198000000001</v>
          </cell>
          <cell r="I22">
            <v>0.64062006000000005</v>
          </cell>
          <cell r="J22">
            <v>0.64400120000000005</v>
          </cell>
          <cell r="K22">
            <v>0.64395460000000004</v>
          </cell>
          <cell r="L22">
            <v>0.64614099999999997</v>
          </cell>
          <cell r="M22">
            <v>0.64094800000000007</v>
          </cell>
          <cell r="N22">
            <v>0.65143978000000002</v>
          </cell>
        </row>
        <row r="23">
          <cell r="A23" t="str">
            <v>AL35D</v>
          </cell>
          <cell r="B23" t="str">
            <v>AL35DUSM</v>
          </cell>
          <cell r="C23" t="str">
            <v>Soberano - Tasa Fija USD Ley Argentina</v>
          </cell>
          <cell r="D23">
            <v>1908.1300094564695</v>
          </cell>
          <cell r="E23">
            <v>0.69006920000000005</v>
          </cell>
          <cell r="F23">
            <v>0.69123648000000004</v>
          </cell>
          <cell r="G23">
            <v>0.70869356999999999</v>
          </cell>
          <cell r="H23">
            <v>0.72011519999999996</v>
          </cell>
          <cell r="I23">
            <v>0.71653224000000004</v>
          </cell>
          <cell r="J23">
            <v>0.71558927999999999</v>
          </cell>
          <cell r="K23">
            <v>0.71371954000000004</v>
          </cell>
          <cell r="L23">
            <v>0.71347183000000003</v>
          </cell>
          <cell r="M23">
            <v>0.71657627999999995</v>
          </cell>
          <cell r="N23">
            <v>0.71466039000000003</v>
          </cell>
        </row>
        <row r="24">
          <cell r="A24" t="str">
            <v>GD35D</v>
          </cell>
          <cell r="B24" t="str">
            <v>GD35DUSM</v>
          </cell>
          <cell r="C24" t="str">
            <v>Soberano - Tasa Fija USD Ley Extranjera</v>
          </cell>
          <cell r="D24">
            <v>1943.993249384198</v>
          </cell>
          <cell r="E24">
            <v>0.73415065999999995</v>
          </cell>
          <cell r="F24">
            <v>0.73413002000000005</v>
          </cell>
          <cell r="G24">
            <v>0.75189474999999995</v>
          </cell>
          <cell r="H24">
            <v>0.76189165999999997</v>
          </cell>
          <cell r="I24">
            <v>0.75396244000000001</v>
          </cell>
          <cell r="J24">
            <v>0.75606534000000003</v>
          </cell>
          <cell r="K24">
            <v>0.75548006999999995</v>
          </cell>
          <cell r="L24">
            <v>0.75354429000000001</v>
          </cell>
          <cell r="M24">
            <v>0.75350209999999995</v>
          </cell>
          <cell r="N24">
            <v>0.75481904</v>
          </cell>
        </row>
        <row r="25">
          <cell r="A25" t="str">
            <v>AL41D</v>
          </cell>
          <cell r="B25" t="str">
            <v>AL41DUSM</v>
          </cell>
          <cell r="C25" t="str">
            <v>Soberano - Tasa Fija USD Ley Argentina</v>
          </cell>
          <cell r="D25">
            <v>2031.4062600648144</v>
          </cell>
          <cell r="E25">
            <v>0.64176966000000002</v>
          </cell>
          <cell r="F25">
            <v>0.64330206999999995</v>
          </cell>
          <cell r="G25">
            <v>0.65795833000000004</v>
          </cell>
          <cell r="H25">
            <v>0.66776672000000004</v>
          </cell>
          <cell r="I25">
            <v>0.66521092999999998</v>
          </cell>
          <cell r="J25">
            <v>0.66450657999999996</v>
          </cell>
          <cell r="K25">
            <v>0.66441384999999997</v>
          </cell>
          <cell r="L25">
            <v>0.66482070000000004</v>
          </cell>
          <cell r="M25">
            <v>0.66890293000000001</v>
          </cell>
          <cell r="N25">
            <v>0.66359541</v>
          </cell>
        </row>
        <row r="26">
          <cell r="A26" t="str">
            <v>GD41D</v>
          </cell>
          <cell r="B26" t="str">
            <v>GD41DUSM</v>
          </cell>
          <cell r="C26" t="str">
            <v>Soberano - Tasa Fija USD Ley Extranjera</v>
          </cell>
          <cell r="D26">
            <v>2104.2976502167694</v>
          </cell>
          <cell r="E26">
            <v>0.68390412</v>
          </cell>
          <cell r="F26">
            <v>0.68360547000000005</v>
          </cell>
          <cell r="G26">
            <v>0.69751125999999997</v>
          </cell>
          <cell r="H26">
            <v>0.70505141999999998</v>
          </cell>
          <cell r="I26">
            <v>0.70051169000000002</v>
          </cell>
          <cell r="J26">
            <v>0.70110689000000004</v>
          </cell>
          <cell r="K26">
            <v>0.70217030000000002</v>
          </cell>
          <cell r="L26">
            <v>0.70152095000000003</v>
          </cell>
          <cell r="M26">
            <v>0.69967833000000001</v>
          </cell>
          <cell r="N26">
            <v>0.69999917</v>
          </cell>
        </row>
        <row r="27">
          <cell r="A27" t="str">
            <v/>
          </cell>
          <cell r="B27" t="str">
            <v/>
          </cell>
        </row>
        <row r="28">
          <cell r="A28" t="str">
            <v>AO27</v>
          </cell>
          <cell r="B28" t="str">
            <v>AO27ARS</v>
          </cell>
          <cell r="C28" t="str">
            <v>Soberano - Tasa Fija USD Ley Argentina Pesos</v>
          </cell>
          <cell r="D28">
            <v>367.52401677676846</v>
          </cell>
          <cell r="E28">
            <v>1581.1991222300001</v>
          </cell>
          <cell r="F28">
            <v>1584.2137152800001</v>
          </cell>
          <cell r="G28">
            <v>1578.8451989</v>
          </cell>
          <cell r="H28">
            <v>1581.0446929899999</v>
          </cell>
          <cell r="I28">
            <v>1583.19441041</v>
          </cell>
          <cell r="J28">
            <v>1588.8419812</v>
          </cell>
          <cell r="K28">
            <v>1591.8877935200001</v>
          </cell>
          <cell r="L28">
            <v>1592.79702077</v>
          </cell>
          <cell r="M28">
            <v>1594.8311308100001</v>
          </cell>
          <cell r="N28">
            <v>1591.09330303</v>
          </cell>
        </row>
        <row r="29">
          <cell r="A29" t="str">
            <v>AO28</v>
          </cell>
          <cell r="B29" t="str">
            <v>AO28ARS</v>
          </cell>
          <cell r="C29" t="str">
            <v>Soberano - Tasa Fija USD Ley Argentina Pesos</v>
          </cell>
          <cell r="D29">
            <v>701.74375861303417</v>
          </cell>
          <cell r="E29">
            <v>1410.7402345</v>
          </cell>
          <cell r="F29">
            <v>1409.5967345900001</v>
          </cell>
          <cell r="G29">
            <v>1423.90825249</v>
          </cell>
          <cell r="H29">
            <v>1433.6610337300001</v>
          </cell>
          <cell r="I29">
            <v>1429.6764009599999</v>
          </cell>
          <cell r="J29">
            <v>1435.57437409</v>
          </cell>
          <cell r="K29">
            <v>1438.2668797700001</v>
          </cell>
          <cell r="L29">
            <v>1438.8312240800001</v>
          </cell>
          <cell r="M29">
            <v>1438.85822089</v>
          </cell>
          <cell r="N29">
            <v>1438.7780195600001</v>
          </cell>
        </row>
        <row r="30">
          <cell r="A30" t="str">
            <v>AO29</v>
          </cell>
          <cell r="B30" t="str">
            <v>AO29ARS</v>
          </cell>
          <cell r="C30" t="str">
            <v>Soberano - Tasa Fija USD Ley Argentina Pesos</v>
          </cell>
          <cell r="D30">
            <v>1008.9709101088143</v>
          </cell>
          <cell r="E30">
            <v>1309.73434204</v>
          </cell>
          <cell r="F30">
            <v>1310.4727206499999</v>
          </cell>
          <cell r="G30">
            <v>1329.12541308</v>
          </cell>
          <cell r="H30">
            <v>1334.4950598099999</v>
          </cell>
          <cell r="I30">
            <v>1324.3495501</v>
          </cell>
          <cell r="J30">
            <v>1329.4370151600001</v>
          </cell>
          <cell r="K30">
            <v>1329.7177027600001</v>
          </cell>
          <cell r="L30">
            <v>1329.02568221</v>
          </cell>
          <cell r="M30">
            <v>1328.9233569</v>
          </cell>
          <cell r="N30">
            <v>1325.6020615499999</v>
          </cell>
        </row>
        <row r="31">
          <cell r="A31" t="str">
            <v>GD29</v>
          </cell>
          <cell r="B31" t="str">
            <v>GD29ARS</v>
          </cell>
          <cell r="C31" t="str">
            <v>Soberano - Tasa Fija USD Ley Extranjera Pesos</v>
          </cell>
          <cell r="D31">
            <v>515.09401912345072</v>
          </cell>
          <cell r="E31">
            <v>855.6239534</v>
          </cell>
          <cell r="F31">
            <v>855.66187539999999</v>
          </cell>
          <cell r="G31">
            <v>856.54083747000004</v>
          </cell>
          <cell r="H31">
            <v>862.42956413000002</v>
          </cell>
          <cell r="I31">
            <v>861.47918752999999</v>
          </cell>
          <cell r="J31">
            <v>865.61277765</v>
          </cell>
          <cell r="K31">
            <v>866.40372036999997</v>
          </cell>
          <cell r="L31">
            <v>866.17758719999995</v>
          </cell>
          <cell r="M31">
            <v>865.92422070999999</v>
          </cell>
          <cell r="N31">
            <v>861.56860538000001</v>
          </cell>
        </row>
        <row r="32">
          <cell r="A32" t="str">
            <v>AL29</v>
          </cell>
          <cell r="B32" t="str">
            <v>AL29ARS</v>
          </cell>
          <cell r="C32" t="str">
            <v>Soberano - Tasa Fija USD Ley Argentina Pesos</v>
          </cell>
          <cell r="D32">
            <v>518.99335287017539</v>
          </cell>
          <cell r="E32">
            <v>829.54005835999999</v>
          </cell>
          <cell r="F32">
            <v>832.99349753000001</v>
          </cell>
          <cell r="G32">
            <v>835.43079475000002</v>
          </cell>
          <cell r="H32">
            <v>835.81832134000001</v>
          </cell>
          <cell r="I32">
            <v>839.37730141999998</v>
          </cell>
          <cell r="J32">
            <v>844.70345373999999</v>
          </cell>
          <cell r="K32">
            <v>843.62131213999999</v>
          </cell>
          <cell r="L32">
            <v>842.17645099000003</v>
          </cell>
          <cell r="M32">
            <v>839.33344932</v>
          </cell>
          <cell r="N32">
            <v>844.41074876000005</v>
          </cell>
        </row>
        <row r="33">
          <cell r="A33" t="str">
            <v>GD30</v>
          </cell>
          <cell r="B33" t="str">
            <v>GD30ARS</v>
          </cell>
          <cell r="C33" t="str">
            <v>Soberano - Tasa Fija USD Ley Extranjera Pesos</v>
          </cell>
          <cell r="D33">
            <v>674.79090500410541</v>
          </cell>
          <cell r="E33">
            <v>873.94464947999995</v>
          </cell>
          <cell r="F33">
            <v>873.50474278000002</v>
          </cell>
          <cell r="G33">
            <v>877.23295341999994</v>
          </cell>
          <cell r="H33">
            <v>884.12647399000002</v>
          </cell>
          <cell r="I33">
            <v>881.77883233</v>
          </cell>
          <cell r="J33">
            <v>887.71883926999999</v>
          </cell>
          <cell r="K33">
            <v>886.77140397999995</v>
          </cell>
          <cell r="L33">
            <v>886.53170381999996</v>
          </cell>
          <cell r="M33">
            <v>888.6722456</v>
          </cell>
          <cell r="N33">
            <v>882.62682132999998</v>
          </cell>
        </row>
        <row r="34">
          <cell r="A34" t="str">
            <v>AL30</v>
          </cell>
          <cell r="B34" t="str">
            <v>AL30ARS</v>
          </cell>
          <cell r="C34" t="str">
            <v>Soberano - Tasa Fija USD Ley Argentina Pesos</v>
          </cell>
          <cell r="D34">
            <v>678.64416210219906</v>
          </cell>
          <cell r="E34">
            <v>842.81340778000003</v>
          </cell>
          <cell r="F34">
            <v>844.59836984000003</v>
          </cell>
          <cell r="G34">
            <v>854.46097087999999</v>
          </cell>
          <cell r="H34">
            <v>858.66053911999995</v>
          </cell>
          <cell r="I34">
            <v>858.41529455</v>
          </cell>
          <cell r="J34">
            <v>862.76198925000006</v>
          </cell>
          <cell r="K34">
            <v>865.23672278000004</v>
          </cell>
          <cell r="L34">
            <v>864.75606281</v>
          </cell>
          <cell r="M34">
            <v>862.83745638000005</v>
          </cell>
          <cell r="N34">
            <v>861.00148597999998</v>
          </cell>
        </row>
        <row r="35">
          <cell r="A35" t="str">
            <v>AN29</v>
          </cell>
          <cell r="B35" t="str">
            <v>AN29ARS</v>
          </cell>
          <cell r="C35" t="str">
            <v>Soberano - Tasa Fija USD Ley Argentina Pesos</v>
          </cell>
          <cell r="D35">
            <v>1018.3567618892089</v>
          </cell>
          <cell r="E35">
            <v>1339.10869067</v>
          </cell>
          <cell r="F35">
            <v>1338.9754197100001</v>
          </cell>
          <cell r="G35">
            <v>1347.7214469800001</v>
          </cell>
          <cell r="H35">
            <v>1367.8138613799999</v>
          </cell>
          <cell r="I35">
            <v>1364.3798985799999</v>
          </cell>
          <cell r="J35">
            <v>1367.8122832500001</v>
          </cell>
          <cell r="K35">
            <v>1364.9599676400001</v>
          </cell>
          <cell r="L35">
            <v>1360.8423058999999</v>
          </cell>
          <cell r="M35">
            <v>1361.5988760299999</v>
          </cell>
          <cell r="N35">
            <v>1362.4184357300001</v>
          </cell>
        </row>
        <row r="36">
          <cell r="A36" t="str">
            <v>GD38</v>
          </cell>
          <cell r="B36" t="str">
            <v>GD38ARS</v>
          </cell>
          <cell r="C36" t="str">
            <v>Soberano - Tasa Fija USD Ley Extranjera Pesos</v>
          </cell>
          <cell r="D36">
            <v>1613.0503438901883</v>
          </cell>
          <cell r="E36">
            <v>1206.2365709000001</v>
          </cell>
          <cell r="F36">
            <v>1206.1441025199999</v>
          </cell>
          <cell r="G36">
            <v>1218.2996505999999</v>
          </cell>
          <cell r="H36">
            <v>1245.69947013</v>
          </cell>
          <cell r="I36">
            <v>1233.69495218</v>
          </cell>
          <cell r="J36">
            <v>1234.8294019299999</v>
          </cell>
          <cell r="K36">
            <v>1237.98127191</v>
          </cell>
          <cell r="L36">
            <v>1239.6443126199999</v>
          </cell>
          <cell r="M36">
            <v>1236.60025436</v>
          </cell>
          <cell r="N36">
            <v>1226.0070143400001</v>
          </cell>
        </row>
        <row r="37">
          <cell r="A37" t="str">
            <v>AE38</v>
          </cell>
          <cell r="B37" t="str">
            <v>AE38ARS</v>
          </cell>
          <cell r="C37" t="str">
            <v>Soberano - Tasa Fija USD Ley Argentina Pesos</v>
          </cell>
          <cell r="D37">
            <v>1595.8769964340897</v>
          </cell>
          <cell r="E37">
            <v>1121.06097419</v>
          </cell>
          <cell r="F37">
            <v>1117.1281612</v>
          </cell>
          <cell r="G37">
            <v>1134.0387584</v>
          </cell>
          <cell r="H37">
            <v>1149.3243704500001</v>
          </cell>
          <cell r="I37">
            <v>1150.22015083</v>
          </cell>
          <cell r="J37">
            <v>1147.56676597</v>
          </cell>
          <cell r="K37">
            <v>1151.5032852300001</v>
          </cell>
          <cell r="L37">
            <v>1149.8317965000001</v>
          </cell>
          <cell r="M37">
            <v>1148.4365979700001</v>
          </cell>
          <cell r="N37">
            <v>1149.5621912199999</v>
          </cell>
        </row>
        <row r="38">
          <cell r="A38" t="str">
            <v>GD35</v>
          </cell>
          <cell r="B38" t="str">
            <v>GD35ARS</v>
          </cell>
          <cell r="C38" t="str">
            <v>Soberano - Tasa Fija USD Ley Extranjera Pesos</v>
          </cell>
          <cell r="D38">
            <v>1922.5210573490087</v>
          </cell>
          <cell r="E38">
            <v>1142.7528662899999</v>
          </cell>
          <cell r="F38">
            <v>1134.6772974800001</v>
          </cell>
          <cell r="G38">
            <v>1154.8025302000001</v>
          </cell>
          <cell r="H38">
            <v>1170.0803960000001</v>
          </cell>
          <cell r="I38">
            <v>1160.6035032299999</v>
          </cell>
          <cell r="J38">
            <v>1165.4622311400001</v>
          </cell>
          <cell r="K38">
            <v>1163.2471551799999</v>
          </cell>
          <cell r="L38">
            <v>1160.9964968899999</v>
          </cell>
          <cell r="M38">
            <v>1157.1706595999999</v>
          </cell>
          <cell r="N38">
            <v>1158.3793937800001</v>
          </cell>
        </row>
        <row r="39">
          <cell r="A39" t="str">
            <v>AL35</v>
          </cell>
          <cell r="B39" t="str">
            <v>AL35ARS</v>
          </cell>
          <cell r="C39" t="str">
            <v>Soberano - Tasa Fija USD Ley Argentina Pesos</v>
          </cell>
          <cell r="D39">
            <v>1907.1887935022235</v>
          </cell>
          <cell r="E39">
            <v>1070.15066753</v>
          </cell>
          <cell r="F39">
            <v>1070.4348339000001</v>
          </cell>
          <cell r="G39">
            <v>1087.25572324</v>
          </cell>
          <cell r="H39">
            <v>1103.9183620700001</v>
          </cell>
          <cell r="I39">
            <v>1104.33275615</v>
          </cell>
          <cell r="J39">
            <v>1103.2431131799999</v>
          </cell>
          <cell r="K39">
            <v>1101.1830635199999</v>
          </cell>
          <cell r="L39">
            <v>1100.24093103</v>
          </cell>
          <cell r="M39">
            <v>1093.55241922</v>
          </cell>
          <cell r="N39">
            <v>1095.8103650099999</v>
          </cell>
        </row>
        <row r="40">
          <cell r="A40" t="str">
            <v>GD46</v>
          </cell>
          <cell r="B40" t="str">
            <v>GD46ARS</v>
          </cell>
          <cell r="C40" t="str">
            <v>Soberano - Tasa Fija USD Ley Extranjera Pesos</v>
          </cell>
          <cell r="D40">
            <v>2168.841743143405</v>
          </cell>
          <cell r="E40">
            <v>949.85312392000003</v>
          </cell>
          <cell r="F40">
            <v>960.54715266999995</v>
          </cell>
          <cell r="G40">
            <v>981.12999295999998</v>
          </cell>
          <cell r="H40">
            <v>994.79638342999999</v>
          </cell>
          <cell r="I40">
            <v>980.46476344999996</v>
          </cell>
          <cell r="J40">
            <v>1006.39794309</v>
          </cell>
          <cell r="K40">
            <v>1008.65722138</v>
          </cell>
          <cell r="L40">
            <v>981.48727842999995</v>
          </cell>
          <cell r="M40">
            <v>968.14088769</v>
          </cell>
          <cell r="N40">
            <v>997.86223584000004</v>
          </cell>
        </row>
        <row r="41">
          <cell r="A41" t="str">
            <v>GD41</v>
          </cell>
          <cell r="B41" t="str">
            <v>GD41ARS</v>
          </cell>
          <cell r="C41" t="str">
            <v>Soberano - Tasa Fija USD Ley Extranjera Pesos</v>
          </cell>
          <cell r="D41">
            <v>2054.4752010333364</v>
          </cell>
          <cell r="E41">
            <v>1056.6657593899999</v>
          </cell>
          <cell r="F41">
            <v>1056.8060252</v>
          </cell>
          <cell r="G41">
            <v>1069.40723514</v>
          </cell>
          <cell r="H41">
            <v>1086.4647518100001</v>
          </cell>
          <cell r="I41">
            <v>1077.9345922099999</v>
          </cell>
          <cell r="J41">
            <v>1080.73310423</v>
          </cell>
          <cell r="K41">
            <v>1080.3404418800001</v>
          </cell>
          <cell r="L41">
            <v>1080.73030133</v>
          </cell>
          <cell r="M41">
            <v>1074.1264257800001</v>
          </cell>
          <cell r="N41">
            <v>1074.97352692</v>
          </cell>
        </row>
        <row r="42">
          <cell r="A42" t="str">
            <v>AL41</v>
          </cell>
          <cell r="B42" t="str">
            <v>AL41ARS</v>
          </cell>
          <cell r="C42" t="str">
            <v>Soberano - Tasa Fija USD Ley Argentina Pesos</v>
          </cell>
          <cell r="D42">
            <v>2026.7849802908481</v>
          </cell>
          <cell r="E42">
            <v>994.03460803999997</v>
          </cell>
          <cell r="F42">
            <v>999.53144129999998</v>
          </cell>
          <cell r="G42">
            <v>1013.71071564</v>
          </cell>
          <cell r="H42">
            <v>1028.93185171</v>
          </cell>
          <cell r="I42">
            <v>1023.61293778</v>
          </cell>
          <cell r="J42">
            <v>1025.2667509099999</v>
          </cell>
          <cell r="K42">
            <v>1023.43876906</v>
          </cell>
          <cell r="L42">
            <v>1016.96146589</v>
          </cell>
          <cell r="M42">
            <v>1014.2167163300001</v>
          </cell>
          <cell r="N42">
            <v>1017.82195867</v>
          </cell>
        </row>
        <row r="44">
          <cell r="A44" t="str">
            <v>BCRA Hard USD</v>
          </cell>
        </row>
        <row r="46">
          <cell r="A46" t="str">
            <v>BPOD7D</v>
          </cell>
          <cell r="B46" t="str">
            <v>BPOD7DUSM</v>
          </cell>
          <cell r="C46" t="str">
            <v>BOPREAL - Tasa Fija USD Ley Argentina</v>
          </cell>
          <cell r="D46">
            <v>281.64145714079643</v>
          </cell>
          <cell r="E46">
            <v>1.04316842</v>
          </cell>
          <cell r="F46">
            <v>1.04561712</v>
          </cell>
          <cell r="G46">
            <v>1.0474128300000001</v>
          </cell>
          <cell r="H46">
            <v>1.0436905700000001</v>
          </cell>
          <cell r="I46">
            <v>1.04494047</v>
          </cell>
          <cell r="J46">
            <v>1.0448834899999999</v>
          </cell>
          <cell r="K46">
            <v>1.04705804</v>
          </cell>
          <cell r="L46">
            <v>1.04628776</v>
          </cell>
          <cell r="M46">
            <v>1.04851414</v>
          </cell>
          <cell r="N46">
            <v>1.0516578599999999</v>
          </cell>
        </row>
        <row r="48">
          <cell r="A48" t="str">
            <v>BPOD7</v>
          </cell>
          <cell r="B48" t="str">
            <v>BPOD7ARS</v>
          </cell>
          <cell r="C48" t="str">
            <v>BOPREAL - Tasa Fija USD Ley Argentina Pesos</v>
          </cell>
          <cell r="D48">
            <v>281.75053850409756</v>
          </cell>
          <cell r="E48">
            <v>1620.4133299800001</v>
          </cell>
          <cell r="F48">
            <v>1620.5243824700001</v>
          </cell>
          <cell r="G48">
            <v>1609.64530401</v>
          </cell>
          <cell r="H48">
            <v>1611.1209623100001</v>
          </cell>
          <cell r="I48">
            <v>1607.8333490499999</v>
          </cell>
          <cell r="J48">
            <v>1611.5990229700001</v>
          </cell>
          <cell r="K48">
            <v>1613.68273473</v>
          </cell>
          <cell r="L48">
            <v>1601.88519103</v>
          </cell>
          <cell r="M48">
            <v>1610.8617769099999</v>
          </cell>
          <cell r="N48">
            <v>1614.9979780199999</v>
          </cell>
        </row>
        <row r="50">
          <cell r="A50" t="str">
            <v>Bonos Soberanos Tasa Fija</v>
          </cell>
          <cell r="B50" t="str">
            <v/>
          </cell>
        </row>
        <row r="51">
          <cell r="A51" t="str">
            <v/>
          </cell>
          <cell r="B51" t="str">
            <v/>
          </cell>
        </row>
        <row r="52">
          <cell r="A52" t="str">
            <v>TO26</v>
          </cell>
          <cell r="B52" t="str">
            <v>TO26ARS</v>
          </cell>
          <cell r="C52" t="str">
            <v>TO26 - Z-Spread</v>
          </cell>
          <cell r="D52">
            <v>4.0000000000003499</v>
          </cell>
          <cell r="E52">
            <v>1.0662157999999999</v>
          </cell>
          <cell r="F52">
            <v>1.0692037999999999</v>
          </cell>
          <cell r="G52">
            <v>1.06993881</v>
          </cell>
          <cell r="H52">
            <v>1.07003454</v>
          </cell>
          <cell r="I52">
            <v>1.0707853199999999</v>
          </cell>
          <cell r="J52">
            <v>1.07141416</v>
          </cell>
          <cell r="K52">
            <v>1.07408411</v>
          </cell>
          <cell r="L52">
            <v>1.0749704499999999</v>
          </cell>
          <cell r="M52">
            <v>1.07563294</v>
          </cell>
          <cell r="N52">
            <v>1.0759900600000001</v>
          </cell>
        </row>
        <row r="53">
          <cell r="A53" t="str">
            <v>T15E7</v>
          </cell>
          <cell r="B53" t="str">
            <v>T15E7ARS</v>
          </cell>
          <cell r="C53" t="str">
            <v>Soberano - Tasa Fija Pesos</v>
          </cell>
          <cell r="D53">
            <v>91.999999999982506</v>
          </cell>
          <cell r="E53">
            <v>1.5004969800000001</v>
          </cell>
          <cell r="F53">
            <v>1.50454106</v>
          </cell>
          <cell r="G53">
            <v>1.5063051999999999</v>
          </cell>
          <cell r="H53">
            <v>1.5070904899999999</v>
          </cell>
          <cell r="I53">
            <v>1.5086614</v>
          </cell>
          <cell r="J53">
            <v>1.5098224</v>
          </cell>
          <cell r="K53">
            <v>1.51388945</v>
          </cell>
          <cell r="L53">
            <v>1.51469338</v>
          </cell>
          <cell r="M53">
            <v>1.51396376</v>
          </cell>
          <cell r="N53">
            <v>1.51818404</v>
          </cell>
        </row>
        <row r="54">
          <cell r="A54" t="str">
            <v>T30A7</v>
          </cell>
          <cell r="B54" t="str">
            <v>T30A7ARS</v>
          </cell>
          <cell r="C54" t="str">
            <v>Soberano - Tasa Fija Pesos</v>
          </cell>
          <cell r="D54">
            <v>197.00000000001816</v>
          </cell>
          <cell r="E54">
            <v>1.35353996</v>
          </cell>
          <cell r="F54">
            <v>1.3561210500000001</v>
          </cell>
          <cell r="G54">
            <v>1.3539822399999999</v>
          </cell>
          <cell r="H54">
            <v>1.3604319</v>
          </cell>
          <cell r="I54">
            <v>1.3638211099999999</v>
          </cell>
          <cell r="J54">
            <v>1.3664060499999999</v>
          </cell>
          <cell r="K54">
            <v>1.36954767</v>
          </cell>
          <cell r="L54">
            <v>1.3711843500000001</v>
          </cell>
          <cell r="M54">
            <v>1.37126331</v>
          </cell>
          <cell r="N54">
            <v>1.3748229700000001</v>
          </cell>
        </row>
        <row r="55">
          <cell r="A55" t="str">
            <v>T31Y7</v>
          </cell>
          <cell r="B55" t="str">
            <v>T31Y7ARS</v>
          </cell>
          <cell r="C55" t="str">
            <v>Soberano - Tasa Fija Pesos</v>
          </cell>
          <cell r="D55">
            <v>228.00000000008203</v>
          </cell>
          <cell r="E55">
            <v>1.2719944599999999</v>
          </cell>
          <cell r="F55">
            <v>1.2774154</v>
          </cell>
          <cell r="G55">
            <v>1.2804176300000001</v>
          </cell>
          <cell r="H55">
            <v>1.2822477234033001</v>
          </cell>
          <cell r="I55">
            <v>1.2838353899999999</v>
          </cell>
          <cell r="J55">
            <v>1.284648</v>
          </cell>
          <cell r="K55">
            <v>1.2905880999999999</v>
          </cell>
          <cell r="L55">
            <v>1.2911038800000001</v>
          </cell>
          <cell r="M55">
            <v>1.291304</v>
          </cell>
          <cell r="N55">
            <v>1.29516952</v>
          </cell>
        </row>
        <row r="56">
          <cell r="A56" t="str">
            <v>T30J7</v>
          </cell>
          <cell r="B56" t="str">
            <v>T30J7ARS</v>
          </cell>
          <cell r="C56" t="str">
            <v>Soberano - Tasa Fija Pesos</v>
          </cell>
          <cell r="D56">
            <v>258.00000000002075</v>
          </cell>
          <cell r="E56">
            <v>1.28608604</v>
          </cell>
          <cell r="F56">
            <v>1.2912119900000001</v>
          </cell>
          <cell r="G56">
            <v>1.2890465900000001</v>
          </cell>
          <cell r="H56">
            <v>1.29508263</v>
          </cell>
          <cell r="I56">
            <v>1.2972002300000001</v>
          </cell>
          <cell r="J56">
            <v>1.30047062</v>
          </cell>
          <cell r="K56">
            <v>1.3063048799999999</v>
          </cell>
          <cell r="L56">
            <v>1.3084733</v>
          </cell>
          <cell r="M56">
            <v>1.3090459999999999</v>
          </cell>
          <cell r="N56">
            <v>1.3161225700000001</v>
          </cell>
        </row>
        <row r="57">
          <cell r="A57" t="str">
            <v>TY30P</v>
          </cell>
          <cell r="B57" t="str">
            <v>TY30PARS</v>
          </cell>
          <cell r="C57" t="str">
            <v>TY30P - Z-Spread</v>
          </cell>
          <cell r="D57">
            <v>815.90995341959479</v>
          </cell>
          <cell r="E57">
            <v>1.10961178</v>
          </cell>
          <cell r="F57">
            <v>1.11247819</v>
          </cell>
          <cell r="G57">
            <v>1.12068005</v>
          </cell>
          <cell r="H57">
            <v>1.1189436399999999</v>
          </cell>
          <cell r="I57">
            <v>1.11862358</v>
          </cell>
          <cell r="J57">
            <v>1.12015957</v>
          </cell>
          <cell r="K57">
            <v>1.12250128</v>
          </cell>
          <cell r="L57">
            <v>1.1243672300000001</v>
          </cell>
          <cell r="M57">
            <v>1.12451721</v>
          </cell>
          <cell r="N57">
            <v>1.12853263</v>
          </cell>
        </row>
        <row r="59">
          <cell r="A59" t="str">
            <v>Bonos Soberanos Descuento</v>
          </cell>
        </row>
        <row r="61">
          <cell r="A61" t="str">
            <v>S16O6</v>
          </cell>
          <cell r="B61" t="str">
            <v>S16O6ARS</v>
          </cell>
          <cell r="C61" t="str">
            <v>Soberano - Tasa Fija Pesos</v>
          </cell>
          <cell r="D61">
            <v>1.0000000000009999</v>
          </cell>
          <cell r="E61">
            <v>1.0437853100000001</v>
          </cell>
          <cell r="F61">
            <v>1.0457230399999999</v>
          </cell>
          <cell r="G61">
            <v>1.0465865400000001</v>
          </cell>
          <cell r="H61">
            <v>1.0472104</v>
          </cell>
          <cell r="I61">
            <v>1.0477891800000001</v>
          </cell>
          <cell r="J61">
            <v>1.0484346200000001</v>
          </cell>
          <cell r="K61">
            <v>1.0509670099999999</v>
          </cell>
          <cell r="L61">
            <v>1.05151539</v>
          </cell>
          <cell r="M61">
            <v>1.0522874099999999</v>
          </cell>
          <cell r="N61">
            <v>1.0527500000000001</v>
          </cell>
        </row>
        <row r="62">
          <cell r="A62" t="str">
            <v>S30O6</v>
          </cell>
          <cell r="B62" t="str">
            <v>S30O6ARS</v>
          </cell>
          <cell r="C62" t="str">
            <v>Soberano - Tasa Fija Pesos</v>
          </cell>
          <cell r="D62">
            <v>15.0000000000004</v>
          </cell>
          <cell r="E62">
            <v>1.3320753999999999</v>
          </cell>
          <cell r="F62">
            <v>1.3343456199999999</v>
          </cell>
          <cell r="G62">
            <v>1.33506846</v>
          </cell>
          <cell r="H62">
            <v>1.33485016</v>
          </cell>
          <cell r="I62">
            <v>1.33674709</v>
          </cell>
          <cell r="J62">
            <v>1.33645539</v>
          </cell>
          <cell r="K62">
            <v>1.34039836</v>
          </cell>
          <cell r="L62">
            <v>1.33872407</v>
          </cell>
          <cell r="M62">
            <v>1.33972819</v>
          </cell>
          <cell r="N62">
            <v>1.34352633</v>
          </cell>
        </row>
        <row r="63">
          <cell r="A63" t="str">
            <v>S13N6</v>
          </cell>
          <cell r="B63" t="str">
            <v>S13N6ARS</v>
          </cell>
          <cell r="C63" t="str">
            <v>Soberano - Tasa Fija Pesos</v>
          </cell>
          <cell r="D63">
            <v>29.000000000007098</v>
          </cell>
          <cell r="E63">
            <v>1.0679219900000001</v>
          </cell>
          <cell r="F63">
            <v>1.07050983</v>
          </cell>
          <cell r="G63">
            <v>1.0707548899999999</v>
          </cell>
          <cell r="H63">
            <v>1.0715740600000001</v>
          </cell>
          <cell r="I63">
            <v>1.0722004199999999</v>
          </cell>
          <cell r="J63">
            <v>1.07292729</v>
          </cell>
          <cell r="K63">
            <v>1.0757498999999999</v>
          </cell>
          <cell r="L63">
            <v>1.07574226</v>
          </cell>
          <cell r="M63">
            <v>1.07599329</v>
          </cell>
          <cell r="N63">
            <v>1.0771898099999999</v>
          </cell>
        </row>
        <row r="64">
          <cell r="A64" t="str">
            <v>S30N6</v>
          </cell>
          <cell r="B64" t="str">
            <v>S30N6ARS</v>
          </cell>
          <cell r="C64" t="str">
            <v>Soberano - Tasa Fija Pesos</v>
          </cell>
          <cell r="D64">
            <v>46.000000000016797</v>
          </cell>
          <cell r="E64">
            <v>1.25193624</v>
          </cell>
          <cell r="F64">
            <v>1.2542973500000001</v>
          </cell>
          <cell r="G64">
            <v>1.2550632399999999</v>
          </cell>
          <cell r="H64">
            <v>1.2552875400000001</v>
          </cell>
          <cell r="I64">
            <v>1.2563465</v>
          </cell>
          <cell r="J64">
            <v>1.2574978000000001</v>
          </cell>
          <cell r="K64">
            <v>1.26211111</v>
          </cell>
          <cell r="L64">
            <v>1.2606297799999999</v>
          </cell>
          <cell r="M64">
            <v>1.26006102</v>
          </cell>
          <cell r="N64">
            <v>1.2619768200000001</v>
          </cell>
        </row>
        <row r="65">
          <cell r="A65" t="str">
            <v>S29E7</v>
          </cell>
          <cell r="B65" t="str">
            <v>S29E7ARS</v>
          </cell>
          <cell r="C65" t="str">
            <v>Soberano - Tasa Fija Pesos</v>
          </cell>
          <cell r="D65">
            <v>106.00000000003665</v>
          </cell>
          <cell r="E65">
            <v>1.03125109</v>
          </cell>
          <cell r="F65">
            <v>1.034098</v>
          </cell>
          <cell r="G65">
            <v>1.0356566199999999</v>
          </cell>
          <cell r="H65">
            <v>1.03645627</v>
          </cell>
          <cell r="I65">
            <v>1.0368340300000001</v>
          </cell>
          <cell r="J65">
            <v>1.0378953</v>
          </cell>
          <cell r="K65">
            <v>1.0415968799999999</v>
          </cell>
          <cell r="L65">
            <v>1.0406137799999999</v>
          </cell>
          <cell r="M65">
            <v>1.04013471</v>
          </cell>
          <cell r="N65">
            <v>1.0380406799999999</v>
          </cell>
        </row>
        <row r="67">
          <cell r="A67" t="str">
            <v>Bonos Soberanos Tasa Fija - Tamar</v>
          </cell>
        </row>
        <row r="69">
          <cell r="A69" t="str">
            <v>TTD26</v>
          </cell>
          <cell r="B69" t="str">
            <v>TTD26ARS</v>
          </cell>
          <cell r="C69" t="str">
            <v>TTD26 - Z-Spread</v>
          </cell>
          <cell r="D69">
            <v>60.999999999995303</v>
          </cell>
          <cell r="E69">
            <v>1.7235044100000001</v>
          </cell>
          <cell r="F69">
            <v>1.72743074</v>
          </cell>
          <cell r="G69">
            <v>1.7292431399999999</v>
          </cell>
          <cell r="H69">
            <v>1.72995396</v>
          </cell>
          <cell r="I69">
            <v>1.73136457</v>
          </cell>
          <cell r="J69">
            <v>1.73263224</v>
          </cell>
          <cell r="K69">
            <v>1.7352615300000001</v>
          </cell>
          <cell r="L69">
            <v>1.73490835</v>
          </cell>
          <cell r="M69">
            <v>1.7361256</v>
          </cell>
          <cell r="N69">
            <v>1.73837219</v>
          </cell>
        </row>
        <row r="71">
          <cell r="A71" t="str">
            <v>Bonos Soberanos TAMAR</v>
          </cell>
        </row>
        <row r="73">
          <cell r="A73" t="str">
            <v>TMF27</v>
          </cell>
          <cell r="B73" t="str">
            <v>TMF27ARS</v>
          </cell>
          <cell r="C73" t="str">
            <v>Soberano - TAMAR TP</v>
          </cell>
          <cell r="D73">
            <v>133.99999999996976</v>
          </cell>
          <cell r="E73">
            <v>1.2417132399999999</v>
          </cell>
          <cell r="F73">
            <v>1.24830782</v>
          </cell>
          <cell r="G73">
            <v>1.2505858299999999</v>
          </cell>
          <cell r="H73">
            <v>1.2508325600000001</v>
          </cell>
          <cell r="I73">
            <v>1.24982745</v>
          </cell>
          <cell r="J73">
            <v>1.25065581</v>
          </cell>
          <cell r="K73">
            <v>1.2552227199999999</v>
          </cell>
          <cell r="L73">
            <v>1.25371196</v>
          </cell>
          <cell r="M73">
            <v>1.25551919</v>
          </cell>
          <cell r="N73">
            <v>1.2569410700000001</v>
          </cell>
        </row>
        <row r="74">
          <cell r="A74" t="str">
            <v>TML27</v>
          </cell>
          <cell r="B74" t="str">
            <v>TML27ARS</v>
          </cell>
          <cell r="C74" t="str">
            <v>Soberano - TAMAR TP</v>
          </cell>
          <cell r="D74">
            <v>288.00000000006901</v>
          </cell>
          <cell r="E74">
            <v>1.093718</v>
          </cell>
          <cell r="F74">
            <v>1.09451115</v>
          </cell>
          <cell r="G74">
            <v>1.0940564699999999</v>
          </cell>
          <cell r="H74">
            <v>1.09775508</v>
          </cell>
          <cell r="I74">
            <v>1.10071407</v>
          </cell>
          <cell r="J74">
            <v>1.1008573500000001</v>
          </cell>
          <cell r="K74">
            <v>1.10295125</v>
          </cell>
          <cell r="L74">
            <v>1.1039651500000001</v>
          </cell>
          <cell r="M74">
            <v>1.1058990500000001</v>
          </cell>
          <cell r="N74">
            <v>1.11006571</v>
          </cell>
        </row>
        <row r="75">
          <cell r="A75" t="str">
            <v>TMG27</v>
          </cell>
          <cell r="B75" t="str">
            <v>TMG27ARS</v>
          </cell>
          <cell r="C75" t="str">
            <v>Soberano - TAMAR TP</v>
          </cell>
          <cell r="D75">
            <v>319.9999999999842</v>
          </cell>
          <cell r="E75">
            <v>1.18700088</v>
          </cell>
          <cell r="F75">
            <v>1.189505</v>
          </cell>
          <cell r="G75">
            <v>1.1914910000000001</v>
          </cell>
          <cell r="H75">
            <v>1.1910014099999999</v>
          </cell>
          <cell r="I75">
            <v>1.18090849</v>
          </cell>
          <cell r="J75">
            <v>1.19430171</v>
          </cell>
          <cell r="K75">
            <v>1.1945008399999999</v>
          </cell>
          <cell r="L75">
            <v>1.1985055600000001</v>
          </cell>
          <cell r="M75">
            <v>1.2144920800000001</v>
          </cell>
          <cell r="N75">
            <v>1.19223097</v>
          </cell>
        </row>
        <row r="76">
          <cell r="A76" t="str">
            <v>TMG28</v>
          </cell>
          <cell r="B76" t="str">
            <v>TMG28ARS</v>
          </cell>
          <cell r="C76" t="str">
            <v>Soberano - TAMAR TP</v>
          </cell>
          <cell r="D76">
            <v>685.99999999995237</v>
          </cell>
          <cell r="E76">
            <v>1.0892629700000001</v>
          </cell>
          <cell r="F76">
            <v>1.0957432</v>
          </cell>
          <cell r="G76">
            <v>1.1001235300000001</v>
          </cell>
          <cell r="H76">
            <v>1.1011813699999999</v>
          </cell>
          <cell r="I76">
            <v>1.10221313</v>
          </cell>
          <cell r="J76">
            <v>1.09962505</v>
          </cell>
          <cell r="K76">
            <v>1.10000608</v>
          </cell>
          <cell r="L76">
            <v>1.0950016899999999</v>
          </cell>
          <cell r="M76">
            <v>1.09678115</v>
          </cell>
          <cell r="N76">
            <v>1.0989572999999999</v>
          </cell>
        </row>
        <row r="78">
          <cell r="A78" t="str">
            <v>Bonos Soberanos Cer - Tamar</v>
          </cell>
        </row>
        <row r="80">
          <cell r="A80" t="str">
            <v>TXMJ8</v>
          </cell>
          <cell r="B80" t="str">
            <v>TXMJ8ARS</v>
          </cell>
          <cell r="C80" t="str">
            <v>Soberano Dual - TAMAR TP</v>
          </cell>
          <cell r="D80">
            <v>623.99999999995237</v>
          </cell>
          <cell r="E80">
            <v>1.0088090300000001</v>
          </cell>
          <cell r="F80">
            <v>1.01511974</v>
          </cell>
          <cell r="G80">
            <v>1.0180197099999999</v>
          </cell>
          <cell r="H80">
            <v>1.0230813000000001</v>
          </cell>
          <cell r="I80">
            <v>1.02202065</v>
          </cell>
          <cell r="J80">
            <v>1.0230476399999999</v>
          </cell>
          <cell r="K80">
            <v>1.0221830300000001</v>
          </cell>
          <cell r="L80">
            <v>1.02199806</v>
          </cell>
          <cell r="M80">
            <v>1.0274458</v>
          </cell>
          <cell r="N80">
            <v>1.03762362</v>
          </cell>
        </row>
        <row r="81">
          <cell r="A81" t="str">
            <v>TXMD8</v>
          </cell>
          <cell r="B81" t="str">
            <v>TXMD8ARS</v>
          </cell>
          <cell r="C81" t="str">
            <v>Soberano Dual - TAMAR TP</v>
          </cell>
          <cell r="D81">
            <v>792.00000000039779</v>
          </cell>
          <cell r="E81">
            <v>0.95384173999999999</v>
          </cell>
          <cell r="F81">
            <v>0.95705468999999999</v>
          </cell>
          <cell r="G81">
            <v>0.96650013999999995</v>
          </cell>
          <cell r="H81">
            <v>0.96549817999999998</v>
          </cell>
          <cell r="I81">
            <v>0.96849976000000004</v>
          </cell>
          <cell r="J81">
            <v>0.96419237000000002</v>
          </cell>
          <cell r="K81">
            <v>0.96593280999999998</v>
          </cell>
          <cell r="L81">
            <v>0.96665522999999998</v>
          </cell>
          <cell r="M81">
            <v>0.96450336000000003</v>
          </cell>
          <cell r="N81">
            <v>0.96818355</v>
          </cell>
        </row>
        <row r="82">
          <cell r="A82" t="str">
            <v>TXMJ9</v>
          </cell>
          <cell r="B82" t="str">
            <v>TXMJ9ARS</v>
          </cell>
          <cell r="C82" t="str">
            <v>Soberano Dual - TAMAR TP</v>
          </cell>
          <cell r="D82">
            <v>987.99999999949875</v>
          </cell>
          <cell r="E82">
            <v>0.93990052999999996</v>
          </cell>
          <cell r="F82">
            <v>0.94600072999999996</v>
          </cell>
          <cell r="G82">
            <v>0.94887743999999996</v>
          </cell>
          <cell r="H82">
            <v>0.95105532999999998</v>
          </cell>
          <cell r="I82">
            <v>0.95330499999999996</v>
          </cell>
          <cell r="J82">
            <v>0.95379206000000005</v>
          </cell>
          <cell r="K82">
            <v>0.95523243000000002</v>
          </cell>
          <cell r="L82">
            <v>0.95099005999999997</v>
          </cell>
          <cell r="M82">
            <v>0.94799836999999998</v>
          </cell>
          <cell r="N82">
            <v>0.95349207999999996</v>
          </cell>
        </row>
        <row r="83">
          <cell r="A83" t="str">
            <v>TXMD9</v>
          </cell>
          <cell r="B83" t="str">
            <v>TXMD9ARS</v>
          </cell>
          <cell r="C83" t="str">
            <v>Soberano Dual - TAMAR TP</v>
          </cell>
          <cell r="D83">
            <v>1156.0000000001157</v>
          </cell>
          <cell r="E83">
            <v>0.87141279999999999</v>
          </cell>
          <cell r="F83">
            <v>0.87815365000000001</v>
          </cell>
          <cell r="G83">
            <v>0.88050043</v>
          </cell>
          <cell r="H83">
            <v>0.88067236000000004</v>
          </cell>
          <cell r="I83">
            <v>0.88441829999999999</v>
          </cell>
          <cell r="J83">
            <v>0.88300323999999997</v>
          </cell>
          <cell r="K83">
            <v>0.88448967999999994</v>
          </cell>
          <cell r="L83">
            <v>0.88075758000000004</v>
          </cell>
          <cell r="M83">
            <v>0.89402550000000003</v>
          </cell>
          <cell r="N83">
            <v>0.88072028999999996</v>
          </cell>
        </row>
        <row r="84">
          <cell r="A84" t="str">
            <v>TXMJ0</v>
          </cell>
          <cell r="B84" t="str">
            <v>TXMJ0ARS</v>
          </cell>
          <cell r="C84" t="str">
            <v>Soberano Dual - TAMAR TP</v>
          </cell>
          <cell r="D84">
            <v>1351.9999999993336</v>
          </cell>
          <cell r="E84">
            <v>0.84095662999999998</v>
          </cell>
          <cell r="F84">
            <v>0.84350691</v>
          </cell>
          <cell r="G84">
            <v>0.84900076000000002</v>
          </cell>
          <cell r="H84">
            <v>0.85112491000000001</v>
          </cell>
          <cell r="I84">
            <v>0.85408600999999995</v>
          </cell>
          <cell r="J84">
            <v>0.85580181</v>
          </cell>
          <cell r="K84">
            <v>0.85712043000000004</v>
          </cell>
          <cell r="L84">
            <v>0.85107635000000004</v>
          </cell>
          <cell r="M84">
            <v>0.84943804999999994</v>
          </cell>
          <cell r="N84">
            <v>0.85084764000000002</v>
          </cell>
        </row>
        <row r="86">
          <cell r="A86" t="str">
            <v>Bonos Soberanos CER</v>
          </cell>
        </row>
        <row r="88">
          <cell r="A88" t="str">
            <v>TX26</v>
          </cell>
          <cell r="B88" t="str">
            <v>TX26ARS</v>
          </cell>
          <cell r="C88" t="str">
            <v>Soberano CP - Tasa Fija Pesos CER CP</v>
          </cell>
          <cell r="D88">
            <v>24.999999999999453</v>
          </cell>
          <cell r="E88">
            <v>7.5122978800000002</v>
          </cell>
          <cell r="F88">
            <v>7.5248553400000002</v>
          </cell>
          <cell r="G88">
            <v>7.5263488199999999</v>
          </cell>
          <cell r="H88">
            <v>7.5319218799999996</v>
          </cell>
          <cell r="I88">
            <v>7.5319371100000003</v>
          </cell>
          <cell r="J88">
            <v>7.5350301000000002</v>
          </cell>
          <cell r="K88">
            <v>7.5613662799999997</v>
          </cell>
          <cell r="L88">
            <v>7.5624884000000003</v>
          </cell>
          <cell r="M88">
            <v>7.5575154199999997</v>
          </cell>
          <cell r="N88">
            <v>7.56998792</v>
          </cell>
        </row>
        <row r="89">
          <cell r="A89" t="str">
            <v>TZXO6</v>
          </cell>
          <cell r="B89" t="str">
            <v>TZXO6ARS</v>
          </cell>
          <cell r="C89" t="str">
            <v>Soberano CP - Tasa Fija Pesos CER CP</v>
          </cell>
          <cell r="D89">
            <v>15.0000000000004</v>
          </cell>
          <cell r="E89">
            <v>1.74910348</v>
          </cell>
          <cell r="F89">
            <v>1.75417844</v>
          </cell>
          <cell r="G89">
            <v>1.7542119599999999</v>
          </cell>
          <cell r="H89">
            <v>1.7562446300000001</v>
          </cell>
          <cell r="I89">
            <v>1.76067146</v>
          </cell>
          <cell r="J89">
            <v>1.75702742</v>
          </cell>
          <cell r="K89">
            <v>1.76167729</v>
          </cell>
          <cell r="L89">
            <v>1.7623381</v>
          </cell>
          <cell r="M89">
            <v>1.7637749700000001</v>
          </cell>
          <cell r="N89">
            <v>1.7654263699999999</v>
          </cell>
        </row>
        <row r="90">
          <cell r="A90" t="str">
            <v>X30N6</v>
          </cell>
          <cell r="B90" t="str">
            <v>X30N6ARS</v>
          </cell>
          <cell r="C90" t="str">
            <v>Soberano CP - Tasa Fija Pesos CER CP</v>
          </cell>
          <cell r="D90">
            <v>45.999999999983949</v>
          </cell>
          <cell r="E90">
            <v>1.2704156900000001</v>
          </cell>
          <cell r="F90">
            <v>1.27322231</v>
          </cell>
          <cell r="G90">
            <v>1.27487241</v>
          </cell>
          <cell r="H90">
            <v>1.2755211200000001</v>
          </cell>
          <cell r="I90">
            <v>1.27552815</v>
          </cell>
          <cell r="J90">
            <v>1.2763398500000001</v>
          </cell>
          <cell r="K90">
            <v>1.27997136</v>
          </cell>
          <cell r="L90">
            <v>1.2802404700000001</v>
          </cell>
          <cell r="M90">
            <v>1.2795586299999999</v>
          </cell>
          <cell r="N90">
            <v>1.2819699200000001</v>
          </cell>
        </row>
        <row r="91">
          <cell r="A91" t="str">
            <v>TZXD6</v>
          </cell>
          <cell r="B91" t="str">
            <v>TZXD6ARS</v>
          </cell>
          <cell r="C91" t="str">
            <v>Soberano CP - Tasa Fija Pesos CER CP</v>
          </cell>
          <cell r="D91">
            <v>60.999999999995303</v>
          </cell>
          <cell r="E91">
            <v>3.0890758300000001</v>
          </cell>
          <cell r="F91">
            <v>3.09342907</v>
          </cell>
          <cell r="G91">
            <v>3.0951499500000001</v>
          </cell>
          <cell r="H91">
            <v>3.1182731800000001</v>
          </cell>
          <cell r="I91">
            <v>3.1038920844220499</v>
          </cell>
          <cell r="J91">
            <v>3.1141372199999999</v>
          </cell>
          <cell r="K91">
            <v>3.10932714</v>
          </cell>
          <cell r="L91">
            <v>3.1112957200000002</v>
          </cell>
          <cell r="M91">
            <v>3.1114337299999999</v>
          </cell>
          <cell r="N91">
            <v>3.1146038800000002</v>
          </cell>
        </row>
        <row r="92">
          <cell r="A92" t="str">
            <v>X29E7</v>
          </cell>
          <cell r="B92" t="str">
            <v>X29E7ARS</v>
          </cell>
          <cell r="C92" t="str">
            <v>Soberano CP - Tasa Fija Pesos CER CP</v>
          </cell>
          <cell r="D92">
            <v>106.00000000000745</v>
          </cell>
          <cell r="E92">
            <v>1.0234993400000001</v>
          </cell>
          <cell r="F92">
            <v>1.0262334500000001</v>
          </cell>
          <cell r="G92">
            <v>1.0272334599999999</v>
          </cell>
          <cell r="H92">
            <v>1.0288155000000001</v>
          </cell>
          <cell r="I92">
            <v>1.0285748800000001</v>
          </cell>
          <cell r="J92">
            <v>1.0286919000000001</v>
          </cell>
          <cell r="K92">
            <v>1.0299231099999999</v>
          </cell>
          <cell r="L92">
            <v>1.0300585799999999</v>
          </cell>
          <cell r="M92">
            <v>1.0310101599999999</v>
          </cell>
          <cell r="N92">
            <v>1.0331343399999999</v>
          </cell>
        </row>
        <row r="93">
          <cell r="A93" t="str">
            <v>TZXM7</v>
          </cell>
          <cell r="B93" t="str">
            <v>TZXM7ARS</v>
          </cell>
          <cell r="C93" t="str">
            <v>Soberano CP - Tasa Fija Pesos CER CP</v>
          </cell>
          <cell r="D93">
            <v>167.00000000003195</v>
          </cell>
          <cell r="E93">
            <v>2.2889977699999999</v>
          </cell>
          <cell r="F93">
            <v>2.2977661999999999</v>
          </cell>
          <cell r="G93">
            <v>2.3035683100000002</v>
          </cell>
          <cell r="H93">
            <v>2.3079217999999999</v>
          </cell>
          <cell r="I93">
            <v>2.3112750000000002</v>
          </cell>
          <cell r="J93">
            <v>2.3111670800000002</v>
          </cell>
          <cell r="K93">
            <v>2.31549658</v>
          </cell>
          <cell r="L93">
            <v>2.3164136499999999</v>
          </cell>
          <cell r="M93">
            <v>2.3176589000000001</v>
          </cell>
          <cell r="N93">
            <v>2.32076708</v>
          </cell>
        </row>
        <row r="94">
          <cell r="A94" t="str">
            <v>TZXA7</v>
          </cell>
          <cell r="B94" t="str">
            <v>TZXA7ARS</v>
          </cell>
          <cell r="C94" t="str">
            <v>Soberano CP - Tasa Fija Pesos CER CP</v>
          </cell>
          <cell r="D94">
            <v>196.999999999978</v>
          </cell>
          <cell r="E94">
            <v>1.26743049</v>
          </cell>
          <cell r="F94">
            <v>1.2653342400000001</v>
          </cell>
          <cell r="G94">
            <v>1.2798166900000001</v>
          </cell>
          <cell r="H94">
            <v>1.2722120800000001</v>
          </cell>
          <cell r="I94">
            <v>1.2782489500000001</v>
          </cell>
          <cell r="J94">
            <v>1.277136</v>
          </cell>
          <cell r="K94">
            <v>1.27508665</v>
          </cell>
          <cell r="L94">
            <v>1.2767506399999999</v>
          </cell>
          <cell r="M94">
            <v>1.2759046999999999</v>
          </cell>
          <cell r="N94">
            <v>1.27900002</v>
          </cell>
        </row>
        <row r="95">
          <cell r="A95" t="str">
            <v>TZXY7</v>
          </cell>
          <cell r="B95" t="str">
            <v>TZXY7ARS</v>
          </cell>
          <cell r="C95" t="str">
            <v>Soberano CP - Tasa Fija Pesos CER CP</v>
          </cell>
          <cell r="D95">
            <v>228.00000000002726</v>
          </cell>
          <cell r="E95">
            <v>1.2413334300000001</v>
          </cell>
          <cell r="F95">
            <v>1.2449642299999999</v>
          </cell>
          <cell r="G95">
            <v>1.24899917</v>
          </cell>
          <cell r="H95">
            <v>1.2497534400000001</v>
          </cell>
          <cell r="I95">
            <v>1.2525073600000001</v>
          </cell>
          <cell r="J95">
            <v>1.2515807800000001</v>
          </cell>
          <cell r="K95">
            <v>1.25329863</v>
          </cell>
          <cell r="L95">
            <v>1.25503353</v>
          </cell>
          <cell r="M95">
            <v>1.2571690799999999</v>
          </cell>
          <cell r="N95">
            <v>1.2612713499999999</v>
          </cell>
        </row>
        <row r="96">
          <cell r="A96" t="str">
            <v>TZX27</v>
          </cell>
          <cell r="B96" t="str">
            <v>TZX27ARS</v>
          </cell>
          <cell r="C96" t="str">
            <v>Soberano CP - Tasa Fija Pesos CER CP</v>
          </cell>
          <cell r="D96">
            <v>258.00000000002439</v>
          </cell>
          <cell r="E96">
            <v>4.0714517199999998</v>
          </cell>
          <cell r="F96">
            <v>4.0712235899999998</v>
          </cell>
          <cell r="G96">
            <v>4.0846097800000001</v>
          </cell>
          <cell r="H96">
            <v>4.0900729399999998</v>
          </cell>
          <cell r="I96">
            <v>4.0877081000000004</v>
          </cell>
          <cell r="J96">
            <v>4.0897800000000002</v>
          </cell>
          <cell r="K96">
            <v>4.0949929899999997</v>
          </cell>
          <cell r="L96">
            <v>4.1012386899999997</v>
          </cell>
          <cell r="M96">
            <v>4.1108232600000001</v>
          </cell>
          <cell r="N96">
            <v>4.1311680300000004</v>
          </cell>
        </row>
        <row r="97">
          <cell r="A97" t="str">
            <v>TZXS7</v>
          </cell>
          <cell r="B97" t="str">
            <v>TZXS7ARS</v>
          </cell>
          <cell r="C97" t="str">
            <v>Soberano - Tasa Fija Pesos CER</v>
          </cell>
          <cell r="D97">
            <v>349.99999999993389</v>
          </cell>
          <cell r="E97">
            <v>1.09885163</v>
          </cell>
          <cell r="F97">
            <v>1.1042942</v>
          </cell>
          <cell r="G97">
            <v>1.1067425900000001</v>
          </cell>
          <cell r="H97">
            <v>1.10909236</v>
          </cell>
          <cell r="I97">
            <v>1.1035054900000001</v>
          </cell>
          <cell r="J97">
            <v>1.1120949499999999</v>
          </cell>
          <cell r="K97">
            <v>1.1091593099999999</v>
          </cell>
          <cell r="L97">
            <v>1.11720251</v>
          </cell>
          <cell r="M97">
            <v>1.11769702</v>
          </cell>
          <cell r="N97">
            <v>1.1179114699999999</v>
          </cell>
        </row>
        <row r="98">
          <cell r="A98" t="str">
            <v>TZXO7</v>
          </cell>
          <cell r="B98" t="str">
            <v>TZXO7ARS</v>
          </cell>
          <cell r="C98" t="str">
            <v>Soberano - Tasa Fija Pesos CER</v>
          </cell>
          <cell r="D98">
            <v>379.00000000014541</v>
          </cell>
          <cell r="N98">
            <v>1.01900017</v>
          </cell>
        </row>
        <row r="99">
          <cell r="A99" t="str">
            <v>TZXD7</v>
          </cell>
          <cell r="B99" t="str">
            <v>TZXD7ARS</v>
          </cell>
          <cell r="C99" t="str">
            <v>Soberano - Tasa Fija Pesos CER</v>
          </cell>
          <cell r="D99">
            <v>426.00000000004275</v>
          </cell>
          <cell r="E99">
            <v>2.81221086</v>
          </cell>
          <cell r="F99">
            <v>2.8366361900000001</v>
          </cell>
          <cell r="G99">
            <v>2.8418500999999998</v>
          </cell>
          <cell r="H99">
            <v>2.84846975</v>
          </cell>
          <cell r="I99">
            <v>2.8522193200000001</v>
          </cell>
          <cell r="J99">
            <v>2.8454391299999999</v>
          </cell>
          <cell r="K99">
            <v>2.8527074699999999</v>
          </cell>
          <cell r="L99">
            <v>2.8698494600000002</v>
          </cell>
          <cell r="M99">
            <v>2.8709852200000001</v>
          </cell>
          <cell r="N99">
            <v>2.8797034799999999</v>
          </cell>
        </row>
        <row r="100">
          <cell r="A100" t="str">
            <v>TZXS8</v>
          </cell>
          <cell r="B100" t="str">
            <v>TZXS8ARS</v>
          </cell>
          <cell r="C100" t="str">
            <v>Soberano - Tasa Fija Pesos CER</v>
          </cell>
          <cell r="D100">
            <v>715.00000000026603</v>
          </cell>
          <cell r="E100">
            <v>0.95454327999999999</v>
          </cell>
          <cell r="F100">
            <v>0.95990352999999995</v>
          </cell>
          <cell r="G100">
            <v>0.96376781</v>
          </cell>
          <cell r="H100">
            <v>0.97697509000000005</v>
          </cell>
          <cell r="I100">
            <v>0.97870531999999999</v>
          </cell>
          <cell r="J100">
            <v>0.97865988999999998</v>
          </cell>
          <cell r="K100">
            <v>0.98127425999999995</v>
          </cell>
          <cell r="L100">
            <v>0.98119071000000002</v>
          </cell>
          <cell r="M100">
            <v>0.98136414999999999</v>
          </cell>
          <cell r="N100">
            <v>0.98050603999999997</v>
          </cell>
        </row>
        <row r="101">
          <cell r="A101" t="str">
            <v>TZX28</v>
          </cell>
          <cell r="B101" t="str">
            <v>TZX28ARS</v>
          </cell>
          <cell r="C101" t="str">
            <v>Soberano - Tasa Fija Pesos CER</v>
          </cell>
          <cell r="D101">
            <v>623.99999999999989</v>
          </cell>
          <cell r="E101">
            <v>3.5458695200000001</v>
          </cell>
          <cell r="F101">
            <v>3.5653664699999998</v>
          </cell>
          <cell r="G101">
            <v>3.5836530400000002</v>
          </cell>
          <cell r="H101">
            <v>3.5942459100000002</v>
          </cell>
          <cell r="I101">
            <v>3.60908367</v>
          </cell>
          <cell r="J101">
            <v>3.5901815899999998</v>
          </cell>
          <cell r="K101">
            <v>3.6190726799999999</v>
          </cell>
          <cell r="L101">
            <v>3.6202291299999998</v>
          </cell>
          <cell r="M101">
            <v>3.6150677500000001</v>
          </cell>
          <cell r="N101">
            <v>3.6075141899999998</v>
          </cell>
        </row>
        <row r="102">
          <cell r="A102" t="str">
            <v>TZXM8</v>
          </cell>
          <cell r="B102" t="str">
            <v>TZXM8ARS</v>
          </cell>
          <cell r="C102" t="str">
            <v>Soberano - Tasa Fija Pesos CER</v>
          </cell>
          <cell r="D102">
            <v>533.00000000000739</v>
          </cell>
          <cell r="E102">
            <v>1.00892969</v>
          </cell>
          <cell r="F102">
            <v>1.0188324900000001</v>
          </cell>
          <cell r="G102">
            <v>1.0229919999999999</v>
          </cell>
          <cell r="H102">
            <v>1.02450017</v>
          </cell>
          <cell r="I102">
            <v>1.0227945199999999</v>
          </cell>
          <cell r="J102">
            <v>1.02891296</v>
          </cell>
          <cell r="K102">
            <v>1.03091176</v>
          </cell>
          <cell r="L102">
            <v>1.0318006099999999</v>
          </cell>
          <cell r="M102">
            <v>1.0349810399999999</v>
          </cell>
          <cell r="N102">
            <v>1.0330397499999999</v>
          </cell>
        </row>
        <row r="103">
          <cell r="A103" t="str">
            <v>TZXD8</v>
          </cell>
          <cell r="B103" t="str">
            <v>TZXD8ARS</v>
          </cell>
          <cell r="C103" t="str">
            <v>Soberano - Tasa Fija Pesos CER</v>
          </cell>
          <cell r="D103">
            <v>792.00000000041609</v>
          </cell>
          <cell r="E103">
            <v>0.85389999999999999</v>
          </cell>
          <cell r="F103">
            <v>0.85999998</v>
          </cell>
          <cell r="G103">
            <v>0.86281226</v>
          </cell>
          <cell r="H103">
            <v>0.86971883999999999</v>
          </cell>
          <cell r="I103">
            <v>0.86950000000000005</v>
          </cell>
          <cell r="J103">
            <v>0.87400001999999999</v>
          </cell>
          <cell r="K103">
            <v>0.87699309000000003</v>
          </cell>
          <cell r="L103">
            <v>0.87646520000000006</v>
          </cell>
          <cell r="M103">
            <v>0.87050196999999996</v>
          </cell>
          <cell r="N103">
            <v>0.87024263000000002</v>
          </cell>
        </row>
        <row r="104">
          <cell r="A104" t="str">
            <v>TZXM9</v>
          </cell>
          <cell r="B104" t="str">
            <v>TZXM9ARS</v>
          </cell>
          <cell r="C104" t="str">
            <v>Soberano - Tasa Fija Pesos CER</v>
          </cell>
          <cell r="D104">
            <v>894.99999999996066</v>
          </cell>
          <cell r="E104">
            <v>0.90952962000000004</v>
          </cell>
          <cell r="F104">
            <v>0.91112943999999996</v>
          </cell>
          <cell r="G104">
            <v>0.91286754999999997</v>
          </cell>
          <cell r="H104">
            <v>0.92161550000000003</v>
          </cell>
          <cell r="I104">
            <v>0.92601593000000004</v>
          </cell>
          <cell r="J104">
            <v>0.93140000000000001</v>
          </cell>
          <cell r="K104">
            <v>0.92910605999999996</v>
          </cell>
          <cell r="L104">
            <v>0.93078998999999996</v>
          </cell>
          <cell r="M104">
            <v>0.927176</v>
          </cell>
          <cell r="N104">
            <v>0.92350297999999997</v>
          </cell>
        </row>
        <row r="105">
          <cell r="A105" t="str">
            <v>DICP</v>
          </cell>
          <cell r="B105" t="str">
            <v>DICPARS</v>
          </cell>
          <cell r="C105" t="str">
            <v>Soberano - Tasa Fija Pesos CER</v>
          </cell>
          <cell r="D105">
            <v>1108.0694337268703</v>
          </cell>
          <cell r="E105">
            <v>482.82814934999999</v>
          </cell>
          <cell r="F105">
            <v>485.86275510000002</v>
          </cell>
          <cell r="G105">
            <v>489.94758719999999</v>
          </cell>
          <cell r="H105">
            <v>492.00095325000001</v>
          </cell>
          <cell r="I105">
            <v>491.80371127000001</v>
          </cell>
          <cell r="J105">
            <v>491.45094437</v>
          </cell>
          <cell r="K105">
            <v>494.39902504999998</v>
          </cell>
          <cell r="L105">
            <v>493.52011914000002</v>
          </cell>
          <cell r="M105">
            <v>490.22198803999999</v>
          </cell>
          <cell r="N105">
            <v>492.52084660999998</v>
          </cell>
        </row>
        <row r="107">
          <cell r="A107" t="str">
            <v>Bonos Soberanos Dólar Linked</v>
          </cell>
        </row>
        <row r="109">
          <cell r="A109" t="str">
            <v>D30O6</v>
          </cell>
          <cell r="B109" t="str">
            <v>D30O6ARS</v>
          </cell>
          <cell r="C109" t="str">
            <v>LeLink - Tasa Fija USD Link</v>
          </cell>
          <cell r="D109">
            <v>15.0000000000004</v>
          </cell>
          <cell r="E109">
            <v>1516.3591143900001</v>
          </cell>
          <cell r="F109">
            <v>1515.7253859100001</v>
          </cell>
          <cell r="G109">
            <v>1513.7168782900001</v>
          </cell>
          <cell r="H109">
            <v>1513.25043723</v>
          </cell>
          <cell r="I109">
            <v>1512.8833083</v>
          </cell>
          <cell r="J109">
            <v>1512.5530781</v>
          </cell>
          <cell r="K109">
            <v>1513.56546884</v>
          </cell>
          <cell r="L109">
            <v>1510.6740583400001</v>
          </cell>
          <cell r="M109">
            <v>1510.13660411</v>
          </cell>
          <cell r="N109">
            <v>1509.6619639</v>
          </cell>
        </row>
        <row r="110">
          <cell r="A110" t="str">
            <v>D30N6</v>
          </cell>
          <cell r="B110" t="str">
            <v>D30N6ARS</v>
          </cell>
          <cell r="C110" t="str">
            <v>LeLink - Tasa Fija USD Link</v>
          </cell>
          <cell r="D110">
            <v>45.999999999998558</v>
          </cell>
          <cell r="E110">
            <v>1511.86801786</v>
          </cell>
          <cell r="F110">
            <v>1512.4074718899999</v>
          </cell>
          <cell r="G110">
            <v>1509.7487176</v>
          </cell>
          <cell r="H110">
            <v>1509.8441895000001</v>
          </cell>
          <cell r="I110">
            <v>1510.4829224299999</v>
          </cell>
          <cell r="J110">
            <v>1507.7800651099999</v>
          </cell>
          <cell r="K110">
            <v>1510.0003593399999</v>
          </cell>
          <cell r="L110">
            <v>1510.3867922300001</v>
          </cell>
          <cell r="M110">
            <v>1506.36603313</v>
          </cell>
          <cell r="N110">
            <v>1506.0263081000001</v>
          </cell>
        </row>
        <row r="112">
          <cell r="A112" t="str">
            <v>Bonos Soberanos Dólar Linked - TAMAR</v>
          </cell>
        </row>
        <row r="114">
          <cell r="A114" t="str">
            <v>TMVE8</v>
          </cell>
          <cell r="B114" t="str">
            <v>TMVE8ARS</v>
          </cell>
          <cell r="C114" t="str">
            <v>TMVE8 - Z-Spread D</v>
          </cell>
          <cell r="D114">
            <v>469.99999999999915</v>
          </cell>
          <cell r="E114">
            <v>1424.30875844</v>
          </cell>
          <cell r="F114">
            <v>1429.9763461299999</v>
          </cell>
          <cell r="G114">
            <v>1432.3469475899999</v>
          </cell>
          <cell r="H114">
            <v>1435.04689403</v>
          </cell>
          <cell r="I114">
            <v>1436.22734943</v>
          </cell>
          <cell r="J114">
            <v>1438.3300213800001</v>
          </cell>
          <cell r="K114">
            <v>1437.2083255699999</v>
          </cell>
          <cell r="L114">
            <v>1436.15407448</v>
          </cell>
          <cell r="M114">
            <v>1435.2872485299999</v>
          </cell>
          <cell r="N114">
            <v>1439.95640652</v>
          </cell>
        </row>
        <row r="116">
          <cell r="A116" t="str">
            <v>Letras provinciales Cer</v>
          </cell>
        </row>
        <row r="118">
          <cell r="A118" t="str">
            <v>COY27</v>
          </cell>
          <cell r="B118" t="str">
            <v>COY27ARS</v>
          </cell>
          <cell r="C118" t="str">
            <v>Subsoberano Tier 1 - Tasa Fija Pesos CER</v>
          </cell>
          <cell r="D118">
            <v>172.49446486341853</v>
          </cell>
          <cell r="E118">
            <v>2.3338340500000001</v>
          </cell>
          <cell r="F118">
            <v>2.3259488899999998</v>
          </cell>
          <cell r="G118">
            <v>2.3315078699999998</v>
          </cell>
          <cell r="H118">
            <v>2.3344347499999998</v>
          </cell>
          <cell r="I118">
            <v>2.3320940299999999</v>
          </cell>
          <cell r="J118">
            <v>2.3380614300000002</v>
          </cell>
          <cell r="K118">
            <v>2.3396211299999998</v>
          </cell>
          <cell r="L118">
            <v>2.3437330799999998</v>
          </cell>
          <cell r="M118">
            <v>2.3443107699999999</v>
          </cell>
          <cell r="N118">
            <v>2.3470424200000002</v>
          </cell>
        </row>
        <row r="120">
          <cell r="A120" t="str">
            <v>Letras provinciales Tamar</v>
          </cell>
        </row>
        <row r="122">
          <cell r="A122" t="str">
            <v>CO2D7</v>
          </cell>
          <cell r="B122" t="str">
            <v>CO2D7ARS</v>
          </cell>
          <cell r="C122" t="str">
            <v>Subsoberano Tier 1 - TAMAR TP</v>
          </cell>
          <cell r="D122">
            <v>321.90779840773797</v>
          </cell>
          <cell r="E122">
            <v>1.0227225099999999</v>
          </cell>
          <cell r="F122">
            <v>1.0260071500000001</v>
          </cell>
          <cell r="G122">
            <v>1.01698055</v>
          </cell>
          <cell r="H122">
            <v>1.02274519</v>
          </cell>
          <cell r="I122">
            <v>1.02170926</v>
          </cell>
          <cell r="J122">
            <v>0.99186079000000005</v>
          </cell>
          <cell r="K122">
            <v>0.99622913000000002</v>
          </cell>
          <cell r="L122">
            <v>1.00682308</v>
          </cell>
          <cell r="M122">
            <v>1.011112</v>
          </cell>
          <cell r="N122">
            <v>1.0042496999999999</v>
          </cell>
        </row>
        <row r="124">
          <cell r="A124" t="str">
            <v>Letras provinciales Hard USD</v>
          </cell>
        </row>
        <row r="126">
          <cell r="A126" t="str">
            <v>SJO5D</v>
          </cell>
          <cell r="B126" t="str">
            <v>SJO5DUSM</v>
          </cell>
          <cell r="C126" t="str">
            <v>SJO35 - Z-Spread NY</v>
          </cell>
          <cell r="D126">
            <v>2105.9889011085393</v>
          </cell>
          <cell r="G126">
            <v>1.1023022099999999</v>
          </cell>
          <cell r="H126">
            <v>1.04622444</v>
          </cell>
          <cell r="I126">
            <v>1.0140185100000001</v>
          </cell>
          <cell r="J126">
            <v>1.0249420899999999</v>
          </cell>
          <cell r="K126">
            <v>1.0304920399999999</v>
          </cell>
          <cell r="L126">
            <v>1.0218382500000001</v>
          </cell>
          <cell r="M126">
            <v>1.0340084899999999</v>
          </cell>
          <cell r="N126">
            <v>1.0389999999999999</v>
          </cell>
        </row>
        <row r="128">
          <cell r="A128" t="str">
            <v>SJO35</v>
          </cell>
          <cell r="B128" t="str">
            <v>SJO35ARS</v>
          </cell>
          <cell r="C128" t="str">
            <v>SJO35S - Z-Spread NY Pesos</v>
          </cell>
          <cell r="D128">
            <v>2080.5182895723765</v>
          </cell>
          <cell r="E128">
            <v>1602.24</v>
          </cell>
          <cell r="F128">
            <v>1593.98653448</v>
          </cell>
          <cell r="G128">
            <v>1700.9780062100001</v>
          </cell>
          <cell r="H128">
            <v>1612.52767939</v>
          </cell>
          <cell r="I128">
            <v>1560.5110013399999</v>
          </cell>
          <cell r="J128">
            <v>1574.9981769000001</v>
          </cell>
          <cell r="K128">
            <v>1599.93038828</v>
          </cell>
          <cell r="L128">
            <v>1589.6180757499999</v>
          </cell>
          <cell r="M128">
            <v>1589.1344104899999</v>
          </cell>
          <cell r="N128">
            <v>1591.1037980999999</v>
          </cell>
        </row>
        <row r="130">
          <cell r="A130" t="str">
            <v>Obligaciones Negociables Baldar</v>
          </cell>
        </row>
        <row r="132">
          <cell r="A132" t="str">
            <v>CH9BO</v>
          </cell>
          <cell r="B132" t="str">
            <v>CH9BOARS</v>
          </cell>
          <cell r="C132" t="e">
            <v>#N/A</v>
          </cell>
          <cell r="D132" t="e">
            <v>#N/A</v>
          </cell>
          <cell r="E132">
            <v>1.0000000000000001E-9</v>
          </cell>
          <cell r="F132">
            <v>1.0000000000000001E-9</v>
          </cell>
          <cell r="G132">
            <v>1.0000000000000001E-9</v>
          </cell>
          <cell r="H132">
            <v>1.0000000000000001E-9</v>
          </cell>
          <cell r="I132">
            <v>1.0000000000000001E-9</v>
          </cell>
          <cell r="J132">
            <v>1.0000000000000001E-9</v>
          </cell>
          <cell r="K132">
            <v>1.0000000000000001E-9</v>
          </cell>
          <cell r="L132">
            <v>1.0000000000000001E-9</v>
          </cell>
          <cell r="M132">
            <v>1.0000000000000001E-9</v>
          </cell>
          <cell r="N132">
            <v>1.0000000000000001E-9</v>
          </cell>
        </row>
        <row r="133">
          <cell r="A133" t="str">
            <v>DRSEO</v>
          </cell>
          <cell r="B133" t="str">
            <v>DRSEOARS</v>
          </cell>
          <cell r="C133" t="e">
            <v>#N/A</v>
          </cell>
          <cell r="D133" t="e">
            <v>#N/A</v>
          </cell>
          <cell r="E133">
            <v>1.0000000000000001E-9</v>
          </cell>
          <cell r="F133">
            <v>1.0000000000000001E-9</v>
          </cell>
          <cell r="G133">
            <v>1.0000000000000001E-9</v>
          </cell>
          <cell r="H133">
            <v>1.0000000000000001E-9</v>
          </cell>
          <cell r="I133">
            <v>1.0000000000000001E-9</v>
          </cell>
          <cell r="J133">
            <v>1.0000000000000001E-9</v>
          </cell>
          <cell r="K133">
            <v>1.0000000000000001E-9</v>
          </cell>
          <cell r="L133">
            <v>1.0000000000000001E-9</v>
          </cell>
          <cell r="M133">
            <v>1.0000000000000001E-9</v>
          </cell>
          <cell r="N133">
            <v>1.0000000000000001E-9</v>
          </cell>
        </row>
        <row r="134">
          <cell r="A134" t="str">
            <v>DRDCO</v>
          </cell>
          <cell r="B134" t="str">
            <v>DRDCOARS</v>
          </cell>
          <cell r="C134" t="e">
            <v>#N/A</v>
          </cell>
          <cell r="D134" t="e">
            <v>#N/A</v>
          </cell>
          <cell r="E134">
            <v>1.0000000000000001E-9</v>
          </cell>
          <cell r="F134">
            <v>1.0000000000000001E-9</v>
          </cell>
          <cell r="G134">
            <v>1.0000000000000001E-9</v>
          </cell>
          <cell r="H134">
            <v>1.0000000000000001E-9</v>
          </cell>
          <cell r="I134">
            <v>1.0000000000000001E-9</v>
          </cell>
          <cell r="J134">
            <v>1.0000000000000001E-9</v>
          </cell>
          <cell r="K134">
            <v>1.0000000000000001E-9</v>
          </cell>
          <cell r="L134">
            <v>1.0000000000000001E-9</v>
          </cell>
          <cell r="M134">
            <v>1.0000000000000001E-9</v>
          </cell>
          <cell r="N134">
            <v>1.0000000000000001E-9</v>
          </cell>
        </row>
        <row r="136">
          <cell r="A136" t="str">
            <v>Obligaciones Negociables Tamar</v>
          </cell>
        </row>
        <row r="138">
          <cell r="A138" t="str">
            <v>IP11P</v>
          </cell>
          <cell r="B138" t="str">
            <v>IP11PARS</v>
          </cell>
          <cell r="C138" t="str">
            <v>ON PyME Gar - TAMAR ON</v>
          </cell>
          <cell r="D138">
            <v>97.634263406186847</v>
          </cell>
          <cell r="E138">
            <v>0.71808508000000004</v>
          </cell>
          <cell r="F138">
            <v>0.71523113000000005</v>
          </cell>
          <cell r="G138">
            <v>0.71874519999999997</v>
          </cell>
          <cell r="H138">
            <v>0.71817998000000005</v>
          </cell>
          <cell r="I138">
            <v>0.71899506000000002</v>
          </cell>
          <cell r="J138">
            <v>0.72105215</v>
          </cell>
          <cell r="K138">
            <v>0.72309064999999995</v>
          </cell>
          <cell r="L138">
            <v>0.72347819999999996</v>
          </cell>
          <cell r="M138">
            <v>0.72350983999999996</v>
          </cell>
          <cell r="N138">
            <v>0.72354353999999999</v>
          </cell>
        </row>
        <row r="139">
          <cell r="A139" t="str">
            <v>LMS1P</v>
          </cell>
          <cell r="B139" t="str">
            <v>LMS1PARS</v>
          </cell>
          <cell r="C139" t="str">
            <v>ON PyME Gar - TAMAR ON</v>
          </cell>
          <cell r="D139">
            <v>137.62417428029835</v>
          </cell>
          <cell r="E139">
            <v>0.52160766999999997</v>
          </cell>
          <cell r="F139">
            <v>0.51853890000000002</v>
          </cell>
          <cell r="G139">
            <v>0.52190336000000004</v>
          </cell>
          <cell r="H139">
            <v>0.52124252999999998</v>
          </cell>
          <cell r="I139">
            <v>0.52196189000000004</v>
          </cell>
          <cell r="J139">
            <v>0.52385554000000001</v>
          </cell>
          <cell r="K139">
            <v>0.52544088</v>
          </cell>
          <cell r="L139">
            <v>0.52572383</v>
          </cell>
          <cell r="M139">
            <v>0.52565543000000003</v>
          </cell>
          <cell r="N139">
            <v>0.52558945999999995</v>
          </cell>
        </row>
        <row r="140">
          <cell r="A140" t="str">
            <v>PES1L</v>
          </cell>
          <cell r="B140" t="str">
            <v>PES1LARS</v>
          </cell>
          <cell r="C140" t="str">
            <v>ON PyME Gar - TAMAR ON</v>
          </cell>
          <cell r="D140">
            <v>204.49082814290978</v>
          </cell>
          <cell r="E140">
            <v>0.7521023</v>
          </cell>
          <cell r="F140">
            <v>0.74612075</v>
          </cell>
          <cell r="G140">
            <v>0.75260033000000004</v>
          </cell>
          <cell r="H140">
            <v>0.75124062000000003</v>
          </cell>
          <cell r="I140">
            <v>0.75268805000000005</v>
          </cell>
          <cell r="J140">
            <v>0.75585504999999997</v>
          </cell>
          <cell r="K140">
            <v>0.75814601000000004</v>
          </cell>
          <cell r="L140">
            <v>0.75859759000000004</v>
          </cell>
          <cell r="M140">
            <v>0.75848504000000005</v>
          </cell>
          <cell r="N140">
            <v>0.75841413000000002</v>
          </cell>
        </row>
        <row r="141">
          <cell r="A141" t="str">
            <v>FSS1L</v>
          </cell>
          <cell r="B141" t="str">
            <v>FSS1LARS</v>
          </cell>
          <cell r="C141" t="str">
            <v>ON PyME Gar - TAMAR ON</v>
          </cell>
          <cell r="D141">
            <v>211.27550560472105</v>
          </cell>
          <cell r="E141">
            <v>0.78897684000000001</v>
          </cell>
          <cell r="F141">
            <v>0.78292457000000004</v>
          </cell>
          <cell r="G141">
            <v>0.78961627000000001</v>
          </cell>
          <cell r="H141">
            <v>0.78826306999999995</v>
          </cell>
          <cell r="I141">
            <v>0.78977379000000003</v>
          </cell>
          <cell r="J141">
            <v>0.79301580999999999</v>
          </cell>
          <cell r="K141">
            <v>0.79536052000000002</v>
          </cell>
          <cell r="L141">
            <v>0.79584991999999999</v>
          </cell>
          <cell r="M141">
            <v>0.79578269999999995</v>
          </cell>
          <cell r="N141">
            <v>0.79576190999999996</v>
          </cell>
        </row>
        <row r="142">
          <cell r="A142" t="str">
            <v>DJS1L</v>
          </cell>
          <cell r="B142" t="str">
            <v>DJS1LARS</v>
          </cell>
          <cell r="C142" t="str">
            <v>ON PyME Gar - TAMAR ON</v>
          </cell>
          <cell r="D142">
            <v>293.32976238548969</v>
          </cell>
          <cell r="E142">
            <v>0.76595769999999996</v>
          </cell>
          <cell r="F142">
            <v>0.75894262999999995</v>
          </cell>
          <cell r="G142">
            <v>0.76669666999999997</v>
          </cell>
          <cell r="H142">
            <v>0.76519387000000005</v>
          </cell>
          <cell r="I142">
            <v>0.76689638000000004</v>
          </cell>
          <cell r="J142">
            <v>0.77054040999999995</v>
          </cell>
          <cell r="K142">
            <v>0.77279876999999997</v>
          </cell>
          <cell r="L142">
            <v>0.77332666999999999</v>
          </cell>
          <cell r="M142">
            <v>0.77325524999999995</v>
          </cell>
          <cell r="N142">
            <v>0.77325999000000001</v>
          </cell>
        </row>
        <row r="143">
          <cell r="A143" t="str">
            <v>CZ11L</v>
          </cell>
          <cell r="B143" t="str">
            <v>CZ11LARS</v>
          </cell>
          <cell r="C143" t="str">
            <v>ON PyME Gar - TAMAR ON</v>
          </cell>
          <cell r="D143">
            <v>279.12193943394834</v>
          </cell>
          <cell r="E143">
            <v>1.0455109300000001</v>
          </cell>
          <cell r="F143">
            <v>1.0361494200000001</v>
          </cell>
          <cell r="G143">
            <v>1.0464652000000001</v>
          </cell>
          <cell r="H143">
            <v>1.04443251</v>
          </cell>
          <cell r="I143">
            <v>1.04670609</v>
          </cell>
          <cell r="J143">
            <v>1.0515786</v>
          </cell>
          <cell r="K143">
            <v>1.05467384</v>
          </cell>
          <cell r="L143">
            <v>1.0553835</v>
          </cell>
          <cell r="M143">
            <v>1.05528574</v>
          </cell>
          <cell r="N143">
            <v>1.0552803500000001</v>
          </cell>
        </row>
        <row r="144">
          <cell r="A144" t="str">
            <v>AKS1L</v>
          </cell>
          <cell r="B144" t="str">
            <v>AKS1LARS</v>
          </cell>
          <cell r="C144" t="str">
            <v>ON PyME Gar - TAMAR ON</v>
          </cell>
          <cell r="D144">
            <v>368.20624331361887</v>
          </cell>
          <cell r="E144">
            <v>1.0219939199999999</v>
          </cell>
          <cell r="F144">
            <v>1.01080331</v>
          </cell>
          <cell r="G144">
            <v>1.02332494</v>
          </cell>
          <cell r="H144">
            <v>1.0208458499999999</v>
          </cell>
          <cell r="I144">
            <v>1.02373424</v>
          </cell>
          <cell r="J144">
            <v>1.0290141399999999</v>
          </cell>
          <cell r="K144">
            <v>1.0319159499999999</v>
          </cell>
          <cell r="L144">
            <v>1.03270832</v>
          </cell>
          <cell r="M144">
            <v>1.03269403</v>
          </cell>
          <cell r="N144">
            <v>1.0328490699999999</v>
          </cell>
        </row>
        <row r="145">
          <cell r="A145" t="str">
            <v>SQS1L</v>
          </cell>
          <cell r="B145" t="str">
            <v>SQS1LARS</v>
          </cell>
          <cell r="C145" t="str">
            <v>ON PyME Gar - TAMAR ON</v>
          </cell>
          <cell r="D145">
            <v>399.56982923876751</v>
          </cell>
          <cell r="E145">
            <v>1.0293646999999999</v>
          </cell>
          <cell r="F145">
            <v>1.02192248</v>
          </cell>
          <cell r="G145">
            <v>1.0312315599999999</v>
          </cell>
          <cell r="H145">
            <v>1.030219</v>
          </cell>
          <cell r="I145">
            <v>1.03202543</v>
          </cell>
          <cell r="J145">
            <v>1.03695198</v>
          </cell>
          <cell r="K145">
            <v>1.0395643299999999</v>
          </cell>
          <cell r="L145">
            <v>1.0404317000000001</v>
          </cell>
          <cell r="M145">
            <v>1.04066057</v>
          </cell>
          <cell r="N145">
            <v>1.0409950400000001</v>
          </cell>
        </row>
        <row r="146">
          <cell r="A146" t="str">
            <v>CHS1L</v>
          </cell>
          <cell r="B146" t="str">
            <v>CHS1LARS</v>
          </cell>
          <cell r="C146" t="str">
            <v>ON PyME Gar - TAMAR ON</v>
          </cell>
          <cell r="D146">
            <v>463.37062796786404</v>
          </cell>
          <cell r="E146">
            <v>1.02627929</v>
          </cell>
          <cell r="F146">
            <v>1.02032057</v>
          </cell>
          <cell r="G146">
            <v>1.02880861</v>
          </cell>
          <cell r="H146">
            <v>1.0284679999999999</v>
          </cell>
          <cell r="I146">
            <v>1.0299946600000001</v>
          </cell>
          <cell r="J146">
            <v>1.03477409</v>
          </cell>
          <cell r="K146">
            <v>1.0370515600000001</v>
          </cell>
          <cell r="L146">
            <v>1.0380264100000001</v>
          </cell>
          <cell r="M146">
            <v>1.0385156</v>
          </cell>
          <cell r="N146">
            <v>1.0391166999999999</v>
          </cell>
        </row>
        <row r="147">
          <cell r="A147" t="str">
            <v>GES2L</v>
          </cell>
          <cell r="B147" t="str">
            <v>GES2LARS</v>
          </cell>
          <cell r="C147" t="str">
            <v>ON PyME Gar - TAMAR ON</v>
          </cell>
          <cell r="D147">
            <v>517.34473040152989</v>
          </cell>
          <cell r="I147">
            <v>1.00554499</v>
          </cell>
          <cell r="J147">
            <v>1.010122</v>
          </cell>
          <cell r="K147">
            <v>1.0120881399999999</v>
          </cell>
          <cell r="L147">
            <v>1.01313042</v>
          </cell>
          <cell r="M147">
            <v>1.0138199000000001</v>
          </cell>
          <cell r="N147">
            <v>1.01455333</v>
          </cell>
        </row>
        <row r="148">
          <cell r="A148" t="str">
            <v>AKS2L</v>
          </cell>
          <cell r="B148" t="str">
            <v>AKS2LARS</v>
          </cell>
          <cell r="C148" t="str">
            <v>ON PyME Gar - TAMAR ON</v>
          </cell>
          <cell r="D148">
            <v>522.27828333913533</v>
          </cell>
          <cell r="E148">
            <v>1.0091040099999999</v>
          </cell>
          <cell r="F148">
            <v>1.0069321499999999</v>
          </cell>
          <cell r="G148">
            <v>1.01203431</v>
          </cell>
          <cell r="H148">
            <v>1.0132026000000001</v>
          </cell>
          <cell r="I148">
            <v>1.01349636</v>
          </cell>
          <cell r="J148">
            <v>1.0180764099999999</v>
          </cell>
          <cell r="K148">
            <v>1.02002554</v>
          </cell>
          <cell r="L148">
            <v>1.0210932500000001</v>
          </cell>
          <cell r="M148">
            <v>1.02183008</v>
          </cell>
          <cell r="N148">
            <v>1.0225688900000001</v>
          </cell>
        </row>
        <row r="149">
          <cell r="A149" t="str">
            <v>BF38O</v>
          </cell>
          <cell r="B149" t="str">
            <v>BF38OARS</v>
          </cell>
          <cell r="C149" t="str">
            <v>ON Tier 1 - TAMAR ON</v>
          </cell>
          <cell r="D149">
            <v>35.99999999999585</v>
          </cell>
          <cell r="E149">
            <v>1.0346086999999999</v>
          </cell>
          <cell r="F149">
            <v>1.0363554500000001</v>
          </cell>
          <cell r="G149">
            <v>1.03643098</v>
          </cell>
          <cell r="H149">
            <v>1.0368934599999999</v>
          </cell>
          <cell r="I149">
            <v>1.0375213999999999</v>
          </cell>
          <cell r="J149">
            <v>1.0388948899999999</v>
          </cell>
          <cell r="K149">
            <v>1.04207531</v>
          </cell>
          <cell r="L149">
            <v>1.0427479399999999</v>
          </cell>
          <cell r="M149">
            <v>1.0431640799999999</v>
          </cell>
          <cell r="N149">
            <v>1.0437741599999999</v>
          </cell>
        </row>
        <row r="150">
          <cell r="A150" t="str">
            <v>SXC5O</v>
          </cell>
          <cell r="B150" t="str">
            <v>SXC5OARS</v>
          </cell>
          <cell r="C150" t="str">
            <v>ON Tier 1 - TAMAR ON</v>
          </cell>
          <cell r="D150">
            <v>34.000000000004796</v>
          </cell>
          <cell r="E150">
            <v>1.03354773</v>
          </cell>
          <cell r="F150">
            <v>1.0353106599999999</v>
          </cell>
          <cell r="G150">
            <v>1.035398</v>
          </cell>
          <cell r="H150">
            <v>1.03587132</v>
          </cell>
          <cell r="I150">
            <v>1.0364935099999999</v>
          </cell>
          <cell r="J150">
            <v>1.03784159</v>
          </cell>
          <cell r="K150">
            <v>1.0410052400000001</v>
          </cell>
          <cell r="L150">
            <v>1.0416804399999999</v>
          </cell>
          <cell r="M150">
            <v>1.04211338</v>
          </cell>
          <cell r="N150">
            <v>1.0427256</v>
          </cell>
        </row>
        <row r="151">
          <cell r="A151" t="str">
            <v>RC3CO</v>
          </cell>
          <cell r="B151" t="str">
            <v>RC3COARS</v>
          </cell>
          <cell r="C151" t="str">
            <v>ON Tier 1 - TAMAR ON</v>
          </cell>
          <cell r="D151">
            <v>60.999999999969752</v>
          </cell>
          <cell r="E151">
            <v>1.01507806</v>
          </cell>
          <cell r="F151">
            <v>1.0165147699999999</v>
          </cell>
          <cell r="G151">
            <v>1.01526088</v>
          </cell>
          <cell r="H151">
            <v>1.0167046399999999</v>
          </cell>
          <cell r="I151">
            <v>1.0174083300000001</v>
          </cell>
          <cell r="J151">
            <v>1.0190145799999999</v>
          </cell>
          <cell r="K151">
            <v>1.02228757</v>
          </cell>
          <cell r="L151">
            <v>1.0229330299999999</v>
          </cell>
          <cell r="M151">
            <v>1.0231831199999999</v>
          </cell>
          <cell r="N151">
            <v>1.0237667399999999</v>
          </cell>
        </row>
        <row r="152">
          <cell r="A152" t="str">
            <v>RC4CO</v>
          </cell>
          <cell r="B152" t="str">
            <v>RC4COARS</v>
          </cell>
          <cell r="C152" t="str">
            <v>ON Tier 1 - TAMAR ON</v>
          </cell>
          <cell r="D152">
            <v>127.0376566980334</v>
          </cell>
          <cell r="E152">
            <v>1.0321267199999999</v>
          </cell>
          <cell r="F152">
            <v>1.0328105299999999</v>
          </cell>
          <cell r="G152">
            <v>1.0329555800000001</v>
          </cell>
          <cell r="H152">
            <v>1.0325072799999999</v>
          </cell>
          <cell r="I152">
            <v>1.0326</v>
          </cell>
          <cell r="J152">
            <v>1.0357502300000001</v>
          </cell>
          <cell r="K152">
            <v>1.0392977299999999</v>
          </cell>
          <cell r="L152">
            <v>1.0399309699999999</v>
          </cell>
          <cell r="M152">
            <v>1.0398908</v>
          </cell>
          <cell r="N152">
            <v>1.0406574900000001</v>
          </cell>
        </row>
        <row r="153">
          <cell r="A153" t="str">
            <v>SXC3O</v>
          </cell>
          <cell r="B153" t="str">
            <v>SXC3OARS</v>
          </cell>
          <cell r="C153" t="str">
            <v>ON Tier 1 - TAMAR ON</v>
          </cell>
          <cell r="D153">
            <v>125.08752607495585</v>
          </cell>
          <cell r="E153">
            <v>1.0340499700000001</v>
          </cell>
          <cell r="F153">
            <v>1.03475772</v>
          </cell>
          <cell r="G153">
            <v>1.0348984400000001</v>
          </cell>
          <cell r="H153">
            <v>1.03447578</v>
          </cell>
          <cell r="I153">
            <v>1.0357742599999999</v>
          </cell>
          <cell r="J153">
            <v>1.03770162195961</v>
          </cell>
          <cell r="K153">
            <v>1.04125154</v>
          </cell>
          <cell r="L153">
            <v>1.0418843600000001</v>
          </cell>
          <cell r="M153">
            <v>1.0418474499999999</v>
          </cell>
          <cell r="N153">
            <v>1.0426073899999999</v>
          </cell>
        </row>
        <row r="154">
          <cell r="A154" t="str">
            <v>BF41O</v>
          </cell>
          <cell r="B154" t="str">
            <v>BF41OARS</v>
          </cell>
          <cell r="C154" t="str">
            <v>ON Tier 1 - TAMAR ON</v>
          </cell>
          <cell r="D154">
            <v>134.23036345974589</v>
          </cell>
          <cell r="E154">
            <v>1.0248740000000001</v>
          </cell>
          <cell r="F154">
            <v>1.02548766</v>
          </cell>
          <cell r="G154">
            <v>1.0256691600000001</v>
          </cell>
          <cell r="H154">
            <v>1.02515906</v>
          </cell>
          <cell r="I154">
            <v>1.0265475500000001</v>
          </cell>
          <cell r="J154">
            <v>1.0284676500000001</v>
          </cell>
          <cell r="K154">
            <v>1.0320016299999999</v>
          </cell>
          <cell r="L154">
            <v>1.0326270399999999</v>
          </cell>
          <cell r="M154">
            <v>1.03256036</v>
          </cell>
          <cell r="N154">
            <v>1.0333524999999999</v>
          </cell>
        </row>
        <row r="155">
          <cell r="A155" t="str">
            <v>ICC5O</v>
          </cell>
          <cell r="B155" t="str">
            <v>ICC5OARS</v>
          </cell>
          <cell r="C155" t="str">
            <v>ON Tier 1 - TAMAR ON</v>
          </cell>
          <cell r="D155">
            <v>141.2404909000015</v>
          </cell>
          <cell r="E155">
            <v>1.0195099599999999</v>
          </cell>
          <cell r="F155">
            <v>1.02005539</v>
          </cell>
          <cell r="G155">
            <v>1.0202642099999999</v>
          </cell>
          <cell r="H155">
            <v>1.0196801200000001</v>
          </cell>
          <cell r="I155">
            <v>1.0211388299999999</v>
          </cell>
          <cell r="J155">
            <v>1.0238</v>
          </cell>
          <cell r="K155">
            <v>1.02657624</v>
          </cell>
          <cell r="L155">
            <v>1.02720042</v>
          </cell>
          <cell r="M155">
            <v>1.0249474700000001</v>
          </cell>
          <cell r="N155">
            <v>1.0276000000000001</v>
          </cell>
        </row>
        <row r="156">
          <cell r="A156" t="str">
            <v>BNCXO</v>
          </cell>
          <cell r="B156" t="str">
            <v>BNCXOARS</v>
          </cell>
          <cell r="C156" t="str">
            <v>ON Tier 1 - TAMAR ON</v>
          </cell>
          <cell r="D156">
            <v>177.9513471356116</v>
          </cell>
          <cell r="E156">
            <v>1.0506826199999999</v>
          </cell>
          <cell r="F156">
            <v>1.0510702300000001</v>
          </cell>
          <cell r="G156">
            <v>1.0514526</v>
          </cell>
          <cell r="H156">
            <v>1.0504746899999999</v>
          </cell>
          <cell r="I156">
            <v>1.0524849999999999</v>
          </cell>
          <cell r="J156">
            <v>1.05428879</v>
          </cell>
          <cell r="K156">
            <v>1.05789022</v>
          </cell>
          <cell r="L156">
            <v>1.0585499</v>
          </cell>
          <cell r="M156">
            <v>1.05843607</v>
          </cell>
          <cell r="N156">
            <v>1.0595428499999999</v>
          </cell>
        </row>
        <row r="157">
          <cell r="A157" t="str">
            <v>NZC1O</v>
          </cell>
          <cell r="B157" t="str">
            <v>NZC1OARS</v>
          </cell>
          <cell r="C157" t="str">
            <v>ON Tier 1 - TAMAR ON</v>
          </cell>
          <cell r="D157">
            <v>190.48906045681636</v>
          </cell>
          <cell r="E157">
            <v>1.0470906900000001</v>
          </cell>
          <cell r="F157">
            <v>1.04725717</v>
          </cell>
          <cell r="G157">
            <v>1.0478449599999999</v>
          </cell>
          <cell r="H157">
            <v>1.0449999999999999</v>
          </cell>
          <cell r="I157">
            <v>1.0490999999999999</v>
          </cell>
          <cell r="J157">
            <v>1.0506594600000001</v>
          </cell>
          <cell r="K157">
            <v>1.0528</v>
          </cell>
          <cell r="L157">
            <v>1.05490405</v>
          </cell>
          <cell r="M157">
            <v>1.05477927</v>
          </cell>
          <cell r="N157">
            <v>1.0559662299999999</v>
          </cell>
        </row>
        <row r="158">
          <cell r="A158" t="str">
            <v>SXC6O</v>
          </cell>
          <cell r="B158" t="str">
            <v>SXC6OARS</v>
          </cell>
          <cell r="C158" t="str">
            <v>ON Tier 1 - TAMAR ON</v>
          </cell>
          <cell r="D158">
            <v>198.09992444186202</v>
          </cell>
          <cell r="E158">
            <v>1.03323871</v>
          </cell>
          <cell r="F158">
            <v>1.03360279</v>
          </cell>
          <cell r="G158">
            <v>1.0339817</v>
          </cell>
          <cell r="H158">
            <v>1.03285022</v>
          </cell>
          <cell r="I158">
            <v>1.0350642800000001</v>
          </cell>
          <cell r="J158">
            <v>1.0367554999999999</v>
          </cell>
          <cell r="K158">
            <v>1.0402834999999999</v>
          </cell>
          <cell r="L158">
            <v>1.0409401199999999</v>
          </cell>
          <cell r="M158">
            <v>1.0408089199999999</v>
          </cell>
          <cell r="N158">
            <v>1.04203168</v>
          </cell>
        </row>
        <row r="159">
          <cell r="A159" t="str">
            <v>BF46O</v>
          </cell>
          <cell r="B159" t="str">
            <v>BF46OARS</v>
          </cell>
          <cell r="C159" t="str">
            <v>ON Tier 1 - TAMAR ON</v>
          </cell>
          <cell r="D159">
            <v>201.23763364645228</v>
          </cell>
          <cell r="E159">
            <v>1.0324945999999999</v>
          </cell>
          <cell r="F159">
            <v>1.03286174</v>
          </cell>
          <cell r="G159">
            <v>1.0332386</v>
          </cell>
          <cell r="H159">
            <v>1.03208626</v>
          </cell>
          <cell r="I159">
            <v>1.0343351199999999</v>
          </cell>
          <cell r="J159">
            <v>1.0360115700000001</v>
          </cell>
          <cell r="K159">
            <v>1.03953439</v>
          </cell>
          <cell r="L159">
            <v>1.0401907500000001</v>
          </cell>
          <cell r="M159">
            <v>1.0400550900000001</v>
          </cell>
          <cell r="N159">
            <v>1.04129808</v>
          </cell>
        </row>
        <row r="160">
          <cell r="A160" t="str">
            <v>BF47O</v>
          </cell>
          <cell r="B160" t="str">
            <v>BF47OARS</v>
          </cell>
          <cell r="C160" t="str">
            <v>ON Tier 1 - TAMAR ON</v>
          </cell>
          <cell r="D160">
            <v>221.00033268703746</v>
          </cell>
          <cell r="E160">
            <v>1.0167578799999999</v>
          </cell>
          <cell r="F160">
            <v>1.017188</v>
          </cell>
          <cell r="G160">
            <v>1.0175097099999999</v>
          </cell>
          <cell r="H160">
            <v>1.0162259899999999</v>
          </cell>
          <cell r="I160">
            <v>1.0186659300000001</v>
          </cell>
          <cell r="J160">
            <v>1.0201949100000001</v>
          </cell>
          <cell r="K160">
            <v>1.0263965799999999</v>
          </cell>
          <cell r="L160">
            <v>1.0242925300000001</v>
          </cell>
          <cell r="M160">
            <v>1.0241639899999999</v>
          </cell>
          <cell r="N160">
            <v>1.02553563</v>
          </cell>
        </row>
        <row r="161">
          <cell r="A161" t="str">
            <v>BYY1O</v>
          </cell>
          <cell r="B161" t="str">
            <v>BYY1OARS</v>
          </cell>
          <cell r="C161" t="str">
            <v>ON Tier 1 - TAMAR ON</v>
          </cell>
          <cell r="D161">
            <v>218.02415681339136</v>
          </cell>
          <cell r="E161">
            <v>1.0204169700000001</v>
          </cell>
          <cell r="F161">
            <v>1.0215998500000001</v>
          </cell>
          <cell r="G161">
            <v>1.02117098</v>
          </cell>
          <cell r="H161">
            <v>1.0199084700000001</v>
          </cell>
          <cell r="I161">
            <v>1.02232514</v>
          </cell>
          <cell r="J161">
            <v>1.0238800699999999</v>
          </cell>
          <cell r="K161">
            <v>1.0273345899999999</v>
          </cell>
          <cell r="L161">
            <v>1.02799375</v>
          </cell>
          <cell r="M161">
            <v>1.02785967</v>
          </cell>
          <cell r="N161">
            <v>1.0292133800000001</v>
          </cell>
        </row>
        <row r="162">
          <cell r="A162" t="str">
            <v>ICC7O</v>
          </cell>
          <cell r="B162" t="str">
            <v>ICC7OARS</v>
          </cell>
          <cell r="C162" t="str">
            <v>ON Tier 1 - TAMAR ON</v>
          </cell>
          <cell r="D162">
            <v>228.0021919812655</v>
          </cell>
          <cell r="E162">
            <v>1.0113224000000001</v>
          </cell>
          <cell r="F162">
            <v>1.01179408</v>
          </cell>
          <cell r="G162">
            <v>1.01208711</v>
          </cell>
          <cell r="H162">
            <v>1.0107678200000001</v>
          </cell>
          <cell r="I162">
            <v>1.01327382</v>
          </cell>
          <cell r="J162">
            <v>1.0147453900000001</v>
          </cell>
          <cell r="K162">
            <v>1.01814881</v>
          </cell>
          <cell r="L162">
            <v>1.0188102699999999</v>
          </cell>
          <cell r="M162">
            <v>1.0186833900000001</v>
          </cell>
          <cell r="N162">
            <v>1.0201025399999999</v>
          </cell>
        </row>
        <row r="163">
          <cell r="A163" t="str">
            <v>SXC8O</v>
          </cell>
          <cell r="B163" t="str">
            <v>SXC8OARS</v>
          </cell>
          <cell r="C163" t="str">
            <v>ON Tier 1 - TAMAR ON</v>
          </cell>
          <cell r="D163">
            <v>278.44597345535038</v>
          </cell>
          <cell r="E163">
            <v>1.0350553899999999</v>
          </cell>
          <cell r="F163">
            <v>1.0365893900000001</v>
          </cell>
          <cell r="G163">
            <v>1.0361638900000001</v>
          </cell>
          <cell r="H163">
            <v>1.0346907700000001</v>
          </cell>
          <cell r="I163">
            <v>1.03775387</v>
          </cell>
          <cell r="J163">
            <v>1.0386363300000001</v>
          </cell>
          <cell r="K163">
            <v>1.04189156</v>
          </cell>
          <cell r="L163">
            <v>1.04262736</v>
          </cell>
          <cell r="M163">
            <v>1.04262557</v>
          </cell>
          <cell r="N163">
            <v>1.0445905</v>
          </cell>
        </row>
        <row r="164">
          <cell r="A164" t="str">
            <v>BNCYO</v>
          </cell>
          <cell r="B164" t="str">
            <v>BNCYOARS</v>
          </cell>
          <cell r="C164" t="str">
            <v>ON Tier 1 - TAMAR ON</v>
          </cell>
          <cell r="D164">
            <v>233.99194897636173</v>
          </cell>
          <cell r="E164">
            <v>1.00674938</v>
          </cell>
          <cell r="F164">
            <v>1.0072638300000001</v>
          </cell>
          <cell r="G164">
            <v>1.0075251700000001</v>
          </cell>
          <cell r="H164">
            <v>1.0061761499999999</v>
          </cell>
          <cell r="I164">
            <v>1.0087365500000001</v>
          </cell>
          <cell r="J164">
            <v>1.01015685</v>
          </cell>
          <cell r="K164">
            <v>1.0135312599999999</v>
          </cell>
          <cell r="L164">
            <v>1.01419393</v>
          </cell>
          <cell r="M164">
            <v>1.01407077</v>
          </cell>
          <cell r="N164">
            <v>1.01553128</v>
          </cell>
        </row>
        <row r="165">
          <cell r="A165" t="str">
            <v>NZC4O</v>
          </cell>
          <cell r="B165" t="str">
            <v>NZC4OARS</v>
          </cell>
          <cell r="C165" t="str">
            <v>ON Tier 1 - TAMAR ON</v>
          </cell>
          <cell r="D165">
            <v>254.96667873241395</v>
          </cell>
          <cell r="E165">
            <v>1.0578316800000001</v>
          </cell>
          <cell r="F165">
            <v>1.0589999999999999</v>
          </cell>
          <cell r="G165">
            <v>1.05882571</v>
          </cell>
          <cell r="H165">
            <v>1.0574222900000001</v>
          </cell>
          <cell r="I165">
            <v>1.0602251</v>
          </cell>
          <cell r="J165">
            <v>1.0615025600000001</v>
          </cell>
          <cell r="K165">
            <v>1.06495874</v>
          </cell>
          <cell r="L165">
            <v>0.99809844000000003</v>
          </cell>
          <cell r="M165">
            <v>0.99909999999999999</v>
          </cell>
          <cell r="N165">
            <v>0.99960552000000003</v>
          </cell>
        </row>
        <row r="166">
          <cell r="A166" t="str">
            <v>PWC1O</v>
          </cell>
          <cell r="B166" t="str">
            <v>PWC1OARS</v>
          </cell>
          <cell r="C166" t="str">
            <v>ON Tier 1 - TAMAR ON</v>
          </cell>
          <cell r="D166">
            <v>302.74466622320466</v>
          </cell>
          <cell r="E166">
            <v>1.01324481</v>
          </cell>
          <cell r="F166">
            <v>1.0150165</v>
          </cell>
          <cell r="G166">
            <v>1.0167444699999999</v>
          </cell>
          <cell r="H166">
            <v>1.0130270400000001</v>
          </cell>
          <cell r="I166">
            <v>1.01619806</v>
          </cell>
          <cell r="J166">
            <v>1.0167948899999999</v>
          </cell>
          <cell r="K166">
            <v>1.0184</v>
          </cell>
          <cell r="L166">
            <v>1.0206278499999999</v>
          </cell>
          <cell r="M166">
            <v>1.02066981</v>
          </cell>
          <cell r="N166">
            <v>1.0228161899999999</v>
          </cell>
        </row>
        <row r="167">
          <cell r="A167" t="str">
            <v>T661O</v>
          </cell>
          <cell r="B167" t="str">
            <v>T661OARS</v>
          </cell>
          <cell r="C167" t="str">
            <v>ON Tier 2 - TAMAR ON</v>
          </cell>
          <cell r="D167">
            <v>46.000000000013152</v>
          </cell>
          <cell r="E167">
            <v>1.0286640499999999</v>
          </cell>
          <cell r="F167">
            <v>1.0309073099999999</v>
          </cell>
          <cell r="G167">
            <v>1.0311821800000001</v>
          </cell>
          <cell r="H167">
            <v>1.0351999999999999</v>
          </cell>
          <cell r="I167">
            <v>1.0330999999999999</v>
          </cell>
          <cell r="J167">
            <v>1.03376025</v>
          </cell>
          <cell r="K167">
            <v>1.0368820999999999</v>
          </cell>
          <cell r="L167">
            <v>1.0376017399999999</v>
          </cell>
          <cell r="M167">
            <v>1.03810056</v>
          </cell>
          <cell r="N167">
            <v>1.0384274099999999</v>
          </cell>
        </row>
        <row r="168">
          <cell r="A168" t="str">
            <v>VWCDO</v>
          </cell>
          <cell r="B168" t="str">
            <v>VWCDOARS</v>
          </cell>
          <cell r="C168" t="str">
            <v>ON Tier 2 - TAMAR ON</v>
          </cell>
          <cell r="D168">
            <v>57.000000000005898</v>
          </cell>
          <cell r="E168">
            <v>1.0193679</v>
          </cell>
          <cell r="F168">
            <v>1.0215833599999999</v>
          </cell>
          <cell r="G168">
            <v>1.0218798499999999</v>
          </cell>
          <cell r="H168">
            <v>1.0221662</v>
          </cell>
          <cell r="I168">
            <v>1.0232391000000001</v>
          </cell>
          <cell r="J168">
            <v>1.0244594300000001</v>
          </cell>
          <cell r="K168">
            <v>1.0276504900000001</v>
          </cell>
          <cell r="L168">
            <v>1.0283616799999999</v>
          </cell>
          <cell r="M168">
            <v>1.0288109400000001</v>
          </cell>
          <cell r="N168">
            <v>1.0290652199999999</v>
          </cell>
        </row>
        <row r="169">
          <cell r="A169" t="str">
            <v>PS35O</v>
          </cell>
          <cell r="B169" t="str">
            <v>PS35OARS</v>
          </cell>
          <cell r="C169" t="str">
            <v>ON Tier 2 - TAMAR ON</v>
          </cell>
          <cell r="D169">
            <v>67.00000000001225</v>
          </cell>
          <cell r="E169">
            <v>1.0128486400000001</v>
          </cell>
          <cell r="F169">
            <v>1.01503195</v>
          </cell>
          <cell r="G169">
            <v>1.01535994</v>
          </cell>
          <cell r="H169">
            <v>1.01555551</v>
          </cell>
          <cell r="I169">
            <v>1.0167351200000001</v>
          </cell>
          <cell r="J169">
            <v>1.0179764099999999</v>
          </cell>
          <cell r="K169">
            <v>1.02118164</v>
          </cell>
          <cell r="L169">
            <v>1.0218905899999999</v>
          </cell>
          <cell r="M169">
            <v>1.0223061499999999</v>
          </cell>
          <cell r="N169">
            <v>1.0225028300000001</v>
          </cell>
        </row>
        <row r="170">
          <cell r="A170" t="str">
            <v>T671O</v>
          </cell>
          <cell r="B170" t="str">
            <v>T671OARS</v>
          </cell>
          <cell r="C170" t="str">
            <v>ON Tier 2 - TAMAR ON</v>
          </cell>
          <cell r="D170">
            <v>203.18689838732621</v>
          </cell>
          <cell r="E170">
            <v>1.0354251400000001</v>
          </cell>
          <cell r="F170">
            <v>1.0379893099999999</v>
          </cell>
          <cell r="G170">
            <v>1.03937971</v>
          </cell>
          <cell r="H170">
            <v>1.0403</v>
          </cell>
          <cell r="I170">
            <v>1.0410048300000001</v>
          </cell>
          <cell r="J170">
            <v>1.04221304</v>
          </cell>
          <cell r="K170">
            <v>1.0454083599999999</v>
          </cell>
          <cell r="L170">
            <v>1.0462758299999999</v>
          </cell>
          <cell r="M170">
            <v>1.0467737100000001</v>
          </cell>
          <cell r="N170">
            <v>1.0468067700000001</v>
          </cell>
        </row>
        <row r="171">
          <cell r="A171" t="str">
            <v>DEC3O</v>
          </cell>
          <cell r="B171" t="str">
            <v>DEC3OARS</v>
          </cell>
          <cell r="C171" t="str">
            <v>ON Tier 3 - TAMAR ON</v>
          </cell>
          <cell r="D171">
            <v>244.39317625628493</v>
          </cell>
          <cell r="E171">
            <v>1.0714999999999999</v>
          </cell>
          <cell r="F171">
            <v>0.99983690999999997</v>
          </cell>
          <cell r="G171">
            <v>1.0017117</v>
          </cell>
          <cell r="H171">
            <v>1.00201685</v>
          </cell>
          <cell r="I171">
            <v>1.00281606</v>
          </cell>
          <cell r="J171">
            <v>1.0061947499999999</v>
          </cell>
          <cell r="K171">
            <v>1.0088706300000001</v>
          </cell>
          <cell r="L171">
            <v>1.00978598</v>
          </cell>
          <cell r="M171">
            <v>1.0104558699999999</v>
          </cell>
          <cell r="N171">
            <v>1.0119178799999999</v>
          </cell>
        </row>
        <row r="172">
          <cell r="A172" t="str">
            <v>PVC6O</v>
          </cell>
          <cell r="B172" t="str">
            <v>PVC6OARS</v>
          </cell>
          <cell r="C172" t="str">
            <v>ON Tier 2 - TAMAR ON</v>
          </cell>
          <cell r="D172">
            <v>218.65755127870165</v>
          </cell>
          <cell r="E172">
            <v>1.0182649399999999</v>
          </cell>
          <cell r="F172">
            <v>1.02098409</v>
          </cell>
          <cell r="G172">
            <v>1.0189999999999999</v>
          </cell>
          <cell r="H172">
            <v>1.0226999999999999</v>
          </cell>
          <cell r="I172">
            <v>1.0248675899999999</v>
          </cell>
          <cell r="J172">
            <v>1.0245</v>
          </cell>
          <cell r="K172">
            <v>1.0282337800000001</v>
          </cell>
          <cell r="L172">
            <v>1.0291127200000001</v>
          </cell>
          <cell r="M172">
            <v>1.0296504200000001</v>
          </cell>
          <cell r="N172">
            <v>1.0297029099999999</v>
          </cell>
        </row>
        <row r="173">
          <cell r="A173" t="str">
            <v>DHSLO</v>
          </cell>
          <cell r="B173" t="str">
            <v>DHSLOARS</v>
          </cell>
          <cell r="C173" t="str">
            <v>ON Tier 3 - TAMAR ON</v>
          </cell>
          <cell r="D173">
            <v>207.15535127391971</v>
          </cell>
          <cell r="E173">
            <v>1.0223244499999999</v>
          </cell>
          <cell r="F173">
            <v>1.0240561800000001</v>
          </cell>
          <cell r="G173">
            <v>1.02549713</v>
          </cell>
          <cell r="H173">
            <v>1.0257971299999999</v>
          </cell>
          <cell r="I173">
            <v>1.02648826</v>
          </cell>
          <cell r="J173">
            <v>1.0299164599999999</v>
          </cell>
          <cell r="K173">
            <v>1.0328738399999999</v>
          </cell>
          <cell r="L173">
            <v>1.0337551899999999</v>
          </cell>
          <cell r="M173">
            <v>1.0343106</v>
          </cell>
          <cell r="N173">
            <v>1.0355306799999999</v>
          </cell>
        </row>
        <row r="175">
          <cell r="A175" t="str">
            <v>Obligaciones Negociables Tasa Fija - Tamar</v>
          </cell>
        </row>
        <row r="177">
          <cell r="A177" t="str">
            <v>DHSNO</v>
          </cell>
          <cell r="B177" t="str">
            <v>DHSNOARS</v>
          </cell>
          <cell r="C177" t="str">
            <v>ON Tier 3 - TAMAR ON</v>
          </cell>
          <cell r="D177">
            <v>270.95498129341979</v>
          </cell>
          <cell r="E177">
            <v>1.02919688</v>
          </cell>
          <cell r="F177">
            <v>1.03228487</v>
          </cell>
          <cell r="G177">
            <v>1.0333645</v>
          </cell>
          <cell r="H177">
            <v>1.0338503800000001</v>
          </cell>
          <cell r="I177">
            <v>1.03472264</v>
          </cell>
          <cell r="J177">
            <v>1.0380088999999999</v>
          </cell>
          <cell r="K177">
            <v>1.0405096700000001</v>
          </cell>
          <cell r="L177">
            <v>1.04151094</v>
          </cell>
          <cell r="M177">
            <v>1.0423825200000001</v>
          </cell>
          <cell r="N177">
            <v>1.044184</v>
          </cell>
        </row>
        <row r="179">
          <cell r="A179" t="str">
            <v>Obligaciones Negociables UVA</v>
          </cell>
        </row>
        <row r="181">
          <cell r="A181" t="str">
            <v>SNSDP</v>
          </cell>
          <cell r="B181" t="str">
            <v>SNSDPARS</v>
          </cell>
          <cell r="C181" t="str">
            <v>ON Tier 3 UVA - Tasa Fija Pesos CER</v>
          </cell>
          <cell r="D181">
            <v>17.999999999999748</v>
          </cell>
          <cell r="E181">
            <v>723.55365147999998</v>
          </cell>
          <cell r="F181">
            <v>723.44951637999998</v>
          </cell>
          <cell r="G181">
            <v>724.97597323000002</v>
          </cell>
          <cell r="H181">
            <v>725.34345769000004</v>
          </cell>
          <cell r="I181">
            <v>725.67830426</v>
          </cell>
          <cell r="J181">
            <v>726.26108864000003</v>
          </cell>
          <cell r="K181">
            <v>726.84871115999999</v>
          </cell>
          <cell r="L181">
            <v>728.29265477000001</v>
          </cell>
          <cell r="M181">
            <v>728.78515178999999</v>
          </cell>
          <cell r="N181">
            <v>729.26271441999995</v>
          </cell>
        </row>
        <row r="182">
          <cell r="A182" t="str">
            <v>NZC3O</v>
          </cell>
          <cell r="B182" t="str">
            <v>NZC3OARS</v>
          </cell>
          <cell r="C182" t="str">
            <v>ON Tier 1 UVA - Tasa Fija Pesos CER</v>
          </cell>
          <cell r="D182">
            <v>377.62364406371177</v>
          </cell>
          <cell r="E182">
            <v>2103.6409136299999</v>
          </cell>
          <cell r="F182">
            <v>2092.7225803699998</v>
          </cell>
          <cell r="G182">
            <v>2102.48224914</v>
          </cell>
          <cell r="H182">
            <v>2100</v>
          </cell>
          <cell r="I182">
            <v>2104.2178866499999</v>
          </cell>
          <cell r="J182">
            <v>2107.7250192000001</v>
          </cell>
          <cell r="K182">
            <v>2110.07355736</v>
          </cell>
          <cell r="L182">
            <v>2116.3930080199998</v>
          </cell>
          <cell r="M182">
            <v>2113.8288562500002</v>
          </cell>
          <cell r="N182">
            <v>2118.5280772699998</v>
          </cell>
        </row>
        <row r="183">
          <cell r="A183" t="str">
            <v>COC5O</v>
          </cell>
          <cell r="B183" t="str">
            <v>COC5OARS</v>
          </cell>
          <cell r="C183" t="str">
            <v>ON Tier 2 UVA - Tasa Fija Pesos CER</v>
          </cell>
          <cell r="D183">
            <v>457.70781644576499</v>
          </cell>
          <cell r="E183">
            <v>2128.6916099499999</v>
          </cell>
          <cell r="F183">
            <v>2117.3650971100001</v>
          </cell>
          <cell r="G183">
            <v>2125.54284981</v>
          </cell>
          <cell r="H183">
            <v>2137.9085052300002</v>
          </cell>
          <cell r="I183">
            <v>2130.7596506700002</v>
          </cell>
          <cell r="J183">
            <v>2134.2656509200001</v>
          </cell>
          <cell r="K183">
            <v>2137.3212829700001</v>
          </cell>
          <cell r="L183">
            <v>2141.0043724500001</v>
          </cell>
          <cell r="M183">
            <v>2140.5396022999998</v>
          </cell>
          <cell r="N183">
            <v>2146.28289739</v>
          </cell>
        </row>
        <row r="184">
          <cell r="A184" t="str">
            <v>MRCTO</v>
          </cell>
          <cell r="B184" t="str">
            <v>MRCTOARS</v>
          </cell>
          <cell r="C184" t="e">
            <v>#N/A</v>
          </cell>
          <cell r="D184" t="e">
            <v>#N/A</v>
          </cell>
          <cell r="E184">
            <v>433.22868</v>
          </cell>
          <cell r="F184">
            <v>433.22868</v>
          </cell>
          <cell r="G184">
            <v>433.22868</v>
          </cell>
          <cell r="H184">
            <v>433.22868</v>
          </cell>
          <cell r="I184">
            <v>433.22868</v>
          </cell>
          <cell r="J184">
            <v>433.22868</v>
          </cell>
          <cell r="K184">
            <v>433.22868</v>
          </cell>
          <cell r="L184">
            <v>433.22868</v>
          </cell>
          <cell r="M184">
            <v>433.22868</v>
          </cell>
          <cell r="N184">
            <v>433.22868</v>
          </cell>
        </row>
        <row r="186">
          <cell r="A186" t="str">
            <v>Obligaciones Negociables Hard USD - Ley Argentina</v>
          </cell>
        </row>
        <row r="188">
          <cell r="A188" t="str">
            <v>VE2LD</v>
          </cell>
          <cell r="B188" t="str">
            <v>VE2LDUSM</v>
          </cell>
          <cell r="C188" t="str">
            <v>ON PyME Gar - Tasa Fija USD Ley Argentina ON</v>
          </cell>
          <cell r="D188">
            <v>445.23310786030885</v>
          </cell>
          <cell r="E188">
            <v>0.99113883000000003</v>
          </cell>
          <cell r="F188">
            <v>0.99204508999999996</v>
          </cell>
          <cell r="G188">
            <v>0.99317151999999997</v>
          </cell>
          <cell r="H188">
            <v>0.99515142999999995</v>
          </cell>
          <cell r="I188">
            <v>0.99340978999999996</v>
          </cell>
          <cell r="J188">
            <v>0.99551067000000004</v>
          </cell>
          <cell r="K188">
            <v>0.99532651000000005</v>
          </cell>
          <cell r="L188">
            <v>0.99514579999999997</v>
          </cell>
          <cell r="M188">
            <v>0.99501465</v>
          </cell>
          <cell r="N188">
            <v>0.99539613999999998</v>
          </cell>
        </row>
        <row r="189">
          <cell r="A189" t="str">
            <v>NA1LD</v>
          </cell>
          <cell r="B189" t="str">
            <v>NA1LDUSM</v>
          </cell>
          <cell r="C189" t="str">
            <v>ON PyME Gar - Tasa Fija USD Ley Argentina ON</v>
          </cell>
          <cell r="D189">
            <v>518.24875608844241</v>
          </cell>
          <cell r="E189">
            <v>0.98080634</v>
          </cell>
          <cell r="F189">
            <v>0.98171090999999999</v>
          </cell>
          <cell r="G189">
            <v>0.98260438999999999</v>
          </cell>
          <cell r="H189">
            <v>0.98541597999999997</v>
          </cell>
          <cell r="I189">
            <v>0.96913205000000002</v>
          </cell>
          <cell r="J189">
            <v>0.97153392999999999</v>
          </cell>
          <cell r="K189">
            <v>0.97193826000000005</v>
          </cell>
          <cell r="L189">
            <v>0.97171328999999995</v>
          </cell>
          <cell r="M189">
            <v>0.97134748000000004</v>
          </cell>
          <cell r="N189">
            <v>0.97145917000000004</v>
          </cell>
        </row>
        <row r="190">
          <cell r="A190" t="str">
            <v>OR1LD</v>
          </cell>
          <cell r="B190" t="str">
            <v>OR1LDUSM</v>
          </cell>
          <cell r="C190" t="str">
            <v>ON PyME Gar - Tasa Fija USD Ley Argentina ON</v>
          </cell>
          <cell r="D190">
            <v>541.37386365557336</v>
          </cell>
          <cell r="E190">
            <v>0.97944111</v>
          </cell>
          <cell r="F190">
            <v>0.98000485999999998</v>
          </cell>
          <cell r="G190">
            <v>0.98089614000000003</v>
          </cell>
          <cell r="H190">
            <v>0.98348972999999995</v>
          </cell>
          <cell r="I190">
            <v>0.98108645000000005</v>
          </cell>
          <cell r="J190">
            <v>0.98358643999999995</v>
          </cell>
          <cell r="K190">
            <v>0.98437527000000002</v>
          </cell>
          <cell r="L190">
            <v>0.98406587999999995</v>
          </cell>
          <cell r="M190">
            <v>0.98376483000000003</v>
          </cell>
          <cell r="N190">
            <v>0.98370358000000002</v>
          </cell>
        </row>
        <row r="191">
          <cell r="A191" t="str">
            <v>BYCWD</v>
          </cell>
          <cell r="B191" t="str">
            <v>BYCWDUSM</v>
          </cell>
          <cell r="C191" t="str">
            <v>ON Tier 1 - Tasa Fija USD Ley Argentina ON</v>
          </cell>
          <cell r="D191">
            <v>46.000000000005848</v>
          </cell>
          <cell r="E191">
            <v>1.0299957399999999</v>
          </cell>
          <cell r="F191">
            <v>1.02979592</v>
          </cell>
          <cell r="G191">
            <v>1.03089795</v>
          </cell>
          <cell r="H191">
            <v>1.0290202900000001</v>
          </cell>
          <cell r="I191">
            <v>1.03033945</v>
          </cell>
          <cell r="J191">
            <v>1.0304717400000001</v>
          </cell>
          <cell r="K191">
            <v>1.02938018</v>
          </cell>
          <cell r="L191">
            <v>1.0293151300000001</v>
          </cell>
          <cell r="M191">
            <v>1.0299484400000001</v>
          </cell>
          <cell r="N191">
            <v>1.03051501</v>
          </cell>
        </row>
        <row r="192">
          <cell r="A192" t="str">
            <v>BYCXD</v>
          </cell>
          <cell r="B192" t="str">
            <v>BYCXDUSM</v>
          </cell>
          <cell r="C192" t="str">
            <v>ON Tier 1 - Tasa Fija USD Ley Argentina ON</v>
          </cell>
          <cell r="D192">
            <v>75.999999999973809</v>
          </cell>
          <cell r="E192">
            <v>1.0236177799999999</v>
          </cell>
          <cell r="F192">
            <v>1.02336585</v>
          </cell>
          <cell r="G192">
            <v>1.02486644</v>
          </cell>
          <cell r="H192">
            <v>1.0223867</v>
          </cell>
          <cell r="I192">
            <v>1.0241078800000001</v>
          </cell>
          <cell r="J192">
            <v>1.0243262900000001</v>
          </cell>
          <cell r="K192">
            <v>1.0226824400000001</v>
          </cell>
          <cell r="L192">
            <v>1.0225602499999999</v>
          </cell>
          <cell r="M192">
            <v>1.0234306500000001</v>
          </cell>
          <cell r="N192">
            <v>1.0242492000000001</v>
          </cell>
        </row>
        <row r="193">
          <cell r="A193" t="str">
            <v>YM41D</v>
          </cell>
          <cell r="B193" t="str">
            <v>YM41DUSM</v>
          </cell>
          <cell r="C193" t="str">
            <v>YM41O - Z-Spread D</v>
          </cell>
          <cell r="D193">
            <v>84.999999999986457</v>
          </cell>
          <cell r="E193">
            <v>1.0180864599999999</v>
          </cell>
          <cell r="F193">
            <v>1.0179984</v>
          </cell>
          <cell r="G193">
            <v>1.0196343999999999</v>
          </cell>
          <cell r="H193">
            <v>1.01713951</v>
          </cell>
          <cell r="I193">
            <v>1.0038541999999999</v>
          </cell>
          <cell r="J193">
            <v>1.0041617199999999</v>
          </cell>
          <cell r="K193">
            <v>1.0026690599999999</v>
          </cell>
          <cell r="L193">
            <v>1.00259959</v>
          </cell>
          <cell r="M193">
            <v>1.0035715000000001</v>
          </cell>
          <cell r="N193">
            <v>1.00450185</v>
          </cell>
        </row>
        <row r="194">
          <cell r="A194" t="str">
            <v>YM37D</v>
          </cell>
          <cell r="B194" t="str">
            <v>YM37DUSM</v>
          </cell>
          <cell r="C194" t="str">
            <v>YM37O - Z-Spread D</v>
          </cell>
          <cell r="D194">
            <v>199.45700518066934</v>
          </cell>
          <cell r="E194">
            <v>1.0331373800000001</v>
          </cell>
          <cell r="F194">
            <v>1.033153</v>
          </cell>
          <cell r="G194">
            <v>1.0284476199999999</v>
          </cell>
          <cell r="H194">
            <v>1.0258129300000001</v>
          </cell>
          <cell r="I194">
            <v>1.02755532</v>
          </cell>
          <cell r="J194">
            <v>1.0283320199999999</v>
          </cell>
          <cell r="K194">
            <v>1.02580739</v>
          </cell>
          <cell r="L194">
            <v>1.0369999999999999</v>
          </cell>
          <cell r="M194">
            <v>1.0299739699999999</v>
          </cell>
          <cell r="N194">
            <v>1.03122724</v>
          </cell>
        </row>
        <row r="195">
          <cell r="A195" t="str">
            <v>YFCMD</v>
          </cell>
          <cell r="B195" t="str">
            <v>YFCMDUSM</v>
          </cell>
          <cell r="C195" t="str">
            <v>YFCMO - Z-Spread D</v>
          </cell>
          <cell r="D195">
            <v>212.78004228483061</v>
          </cell>
          <cell r="E195">
            <v>1.02409723</v>
          </cell>
          <cell r="F195">
            <v>1.0242175600000001</v>
          </cell>
          <cell r="G195">
            <v>1.0249999999999999</v>
          </cell>
          <cell r="H195">
            <v>1.02251274</v>
          </cell>
          <cell r="I195">
            <v>1.0241290300000001</v>
          </cell>
          <cell r="J195">
            <v>1.0249599</v>
          </cell>
          <cell r="K195">
            <v>1.02238531</v>
          </cell>
          <cell r="L195">
            <v>1.0221838000000001</v>
          </cell>
          <cell r="M195">
            <v>1.0232400699999999</v>
          </cell>
          <cell r="N195">
            <v>1.024551</v>
          </cell>
        </row>
        <row r="196">
          <cell r="A196" t="str">
            <v>PFC2D</v>
          </cell>
          <cell r="B196" t="str">
            <v>PFC2DUSM</v>
          </cell>
          <cell r="C196" t="str">
            <v>ON Tier 1 - Tasa Fija USD Ley Argentina ON</v>
          </cell>
          <cell r="D196">
            <v>265.72329048747207</v>
          </cell>
          <cell r="E196">
            <v>1.04216442</v>
          </cell>
          <cell r="F196">
            <v>1.0425093700000001</v>
          </cell>
          <cell r="G196">
            <v>1.0446612799999999</v>
          </cell>
          <cell r="H196">
            <v>1.04301804</v>
          </cell>
          <cell r="I196">
            <v>1.0440063900000001</v>
          </cell>
          <cell r="J196">
            <v>1.0451225900000001</v>
          </cell>
          <cell r="K196">
            <v>1.04252696</v>
          </cell>
          <cell r="L196">
            <v>1.0423038600000001</v>
          </cell>
          <cell r="M196">
            <v>1.04314967</v>
          </cell>
          <cell r="N196">
            <v>1.0444200400000001</v>
          </cell>
        </row>
        <row r="197">
          <cell r="A197" t="str">
            <v>YM38D</v>
          </cell>
          <cell r="B197" t="str">
            <v>YM38DUSM</v>
          </cell>
          <cell r="C197" t="str">
            <v>YM38O - Z-Spread D</v>
          </cell>
          <cell r="D197">
            <v>270.25149831033445</v>
          </cell>
          <cell r="E197">
            <v>1.03931116</v>
          </cell>
          <cell r="F197">
            <v>1.0450259500000001</v>
          </cell>
          <cell r="G197">
            <v>1.04250563</v>
          </cell>
          <cell r="H197">
            <v>1.04095147</v>
          </cell>
          <cell r="I197">
            <v>1.0522016700000001</v>
          </cell>
          <cell r="J197">
            <v>1.0532565899999999</v>
          </cell>
          <cell r="K197">
            <v>1.0434844299999999</v>
          </cell>
          <cell r="L197">
            <v>1.0470015800000001</v>
          </cell>
          <cell r="M197">
            <v>1.0477477399999999</v>
          </cell>
          <cell r="N197">
            <v>1.0459410099999999</v>
          </cell>
        </row>
        <row r="198">
          <cell r="A198" t="str">
            <v>PN38D</v>
          </cell>
          <cell r="B198" t="str">
            <v>PN38DUSM</v>
          </cell>
          <cell r="C198" t="str">
            <v>ON Tier 1 - Tasa Fija USD Ley Argentina ON</v>
          </cell>
          <cell r="D198">
            <v>294.32795646813236</v>
          </cell>
          <cell r="E198">
            <v>1.0302065600000001</v>
          </cell>
          <cell r="F198">
            <v>1.0306934400000001</v>
          </cell>
          <cell r="G198">
            <v>1.0327355300000001</v>
          </cell>
          <cell r="H198">
            <v>1.03164239</v>
          </cell>
          <cell r="I198">
            <v>1.0322182</v>
          </cell>
          <cell r="J198">
            <v>1.0334821657822</v>
          </cell>
          <cell r="K198">
            <v>1.0310423900000001</v>
          </cell>
          <cell r="L198">
            <v>1.0308263799999999</v>
          </cell>
          <cell r="M198">
            <v>1.0315222900000001</v>
          </cell>
          <cell r="N198">
            <v>1.0327240200000001</v>
          </cell>
        </row>
        <row r="199">
          <cell r="A199" t="str">
            <v>BYZ1D</v>
          </cell>
          <cell r="B199" t="str">
            <v>BYZ1DUSM</v>
          </cell>
          <cell r="C199" t="str">
            <v>ON Tier 1 - Tasa Fija USD Ley Argentina ON</v>
          </cell>
          <cell r="D199">
            <v>288.05882680721629</v>
          </cell>
          <cell r="E199">
            <v>1.00010971</v>
          </cell>
          <cell r="F199">
            <v>1.00054771</v>
          </cell>
          <cell r="G199">
            <v>1.0025637700000001</v>
          </cell>
          <cell r="H199">
            <v>1.0013563400000001</v>
          </cell>
          <cell r="I199">
            <v>1.0020248</v>
          </cell>
          <cell r="J199">
            <v>1.0032154799999999</v>
          </cell>
          <cell r="K199">
            <v>1.0007961999999999</v>
          </cell>
          <cell r="L199">
            <v>1.0005840699999999</v>
          </cell>
          <cell r="M199">
            <v>1.0013007599999999</v>
          </cell>
          <cell r="N199">
            <v>1.0024897399999999</v>
          </cell>
        </row>
        <row r="200">
          <cell r="A200" t="str">
            <v>BF40D</v>
          </cell>
          <cell r="B200" t="str">
            <v>BF40DUSM</v>
          </cell>
          <cell r="C200" t="str">
            <v>ON Tier 1 - Tasa Fija USD Ley Argentina ON</v>
          </cell>
          <cell r="D200">
            <v>311.62175865513836</v>
          </cell>
          <cell r="E200">
            <v>1.0128525399999999</v>
          </cell>
          <cell r="F200">
            <v>1.01341814</v>
          </cell>
          <cell r="G200">
            <v>1.01536432</v>
          </cell>
          <cell r="H200">
            <v>1.0146260899999999</v>
          </cell>
          <cell r="I200">
            <v>1.0149381099999999</v>
          </cell>
          <cell r="J200">
            <v>1.01627764</v>
          </cell>
          <cell r="K200">
            <v>1.0139727599999999</v>
          </cell>
          <cell r="L200">
            <v>1.0137636800000001</v>
          </cell>
          <cell r="M200">
            <v>1.0143572599999999</v>
          </cell>
          <cell r="N200">
            <v>1.0154980499999999</v>
          </cell>
        </row>
        <row r="201">
          <cell r="A201" t="str">
            <v>PN34D</v>
          </cell>
          <cell r="B201" t="str">
            <v>PN34DUSM</v>
          </cell>
          <cell r="C201" t="str">
            <v>ON Tier 1 - Tasa Fija USD Ley Argentina ON</v>
          </cell>
          <cell r="D201">
            <v>342.64092273525802</v>
          </cell>
          <cell r="K201">
            <v>1.0089548100000001</v>
          </cell>
          <cell r="L201">
            <v>1.0087545099999999</v>
          </cell>
          <cell r="M201">
            <v>1.0091613800000001</v>
          </cell>
          <cell r="N201">
            <v>1.0101973200000001</v>
          </cell>
        </row>
        <row r="202">
          <cell r="A202" t="str">
            <v>TTCBD</v>
          </cell>
          <cell r="B202" t="str">
            <v>TTCBDUSM</v>
          </cell>
          <cell r="C202" t="str">
            <v>ON Tier 1 - Tasa Fija USD Ley Argentina ON</v>
          </cell>
          <cell r="D202">
            <v>351.09123968234485</v>
          </cell>
          <cell r="E202">
            <v>1.05135538</v>
          </cell>
          <cell r="F202">
            <v>1.05217706</v>
          </cell>
          <cell r="G202">
            <v>1.0538913700000001</v>
          </cell>
          <cell r="H202">
            <v>1.0542554900000001</v>
          </cell>
          <cell r="I202">
            <v>1.0537333</v>
          </cell>
          <cell r="J202">
            <v>1.0553754099999999</v>
          </cell>
          <cell r="K202">
            <v>1.0534601800000001</v>
          </cell>
          <cell r="L202">
            <v>1.0532644099999999</v>
          </cell>
          <cell r="M202">
            <v>1.05355172</v>
          </cell>
          <cell r="N202">
            <v>1.0250121599999999</v>
          </cell>
        </row>
        <row r="203">
          <cell r="A203" t="str">
            <v>TTC8D</v>
          </cell>
          <cell r="B203" t="str">
            <v>TTC8DUSM</v>
          </cell>
          <cell r="C203" t="str">
            <v>ON Tier 1 - Tasa Fija USD Ley Argentina ON</v>
          </cell>
          <cell r="D203">
            <v>361.85685831650812</v>
          </cell>
          <cell r="E203">
            <v>1.02783063</v>
          </cell>
          <cell r="F203">
            <v>1.0286767400000001</v>
          </cell>
          <cell r="G203">
            <v>1.03032605</v>
          </cell>
          <cell r="H203">
            <v>1.03085746</v>
          </cell>
          <cell r="I203">
            <v>1.0295000000000001</v>
          </cell>
          <cell r="J203">
            <v>1.0285</v>
          </cell>
          <cell r="K203">
            <v>1.0300509099999999</v>
          </cell>
          <cell r="L203">
            <v>1.0298588</v>
          </cell>
          <cell r="M203">
            <v>1.0300940999999999</v>
          </cell>
          <cell r="N203">
            <v>1.0310238300000001</v>
          </cell>
        </row>
        <row r="204">
          <cell r="A204" t="str">
            <v>PLC1D</v>
          </cell>
          <cell r="B204" t="str">
            <v>PLC1DUSM</v>
          </cell>
          <cell r="C204" t="str">
            <v>ON Tier 1 - Tasa Fija USD Ley Argentina ON</v>
          </cell>
          <cell r="D204">
            <v>445.64035193786719</v>
          </cell>
          <cell r="E204">
            <v>1.0402360100000001</v>
          </cell>
          <cell r="F204">
            <v>1.04142325</v>
          </cell>
          <cell r="G204">
            <v>1.0425399399999999</v>
          </cell>
          <cell r="H204">
            <v>1.04107466</v>
          </cell>
          <cell r="I204">
            <v>1.0428911000000001</v>
          </cell>
          <cell r="J204">
            <v>1.0450770899999999</v>
          </cell>
          <cell r="K204">
            <v>1.0442113200000001</v>
          </cell>
          <cell r="L204">
            <v>1.044028</v>
          </cell>
          <cell r="M204">
            <v>1.0436826800000001</v>
          </cell>
          <cell r="N204">
            <v>1.0441870600000001</v>
          </cell>
        </row>
        <row r="205">
          <cell r="A205" t="str">
            <v>PLC3D</v>
          </cell>
          <cell r="B205" t="str">
            <v>PLC3DUSM</v>
          </cell>
          <cell r="C205" t="str">
            <v>ON Tier 1 - Tasa Fija USD Ley Argentina ON</v>
          </cell>
          <cell r="D205">
            <v>536.27924293617968</v>
          </cell>
          <cell r="K205">
            <v>1.04875889</v>
          </cell>
          <cell r="L205">
            <v>1.0400070299999999</v>
          </cell>
          <cell r="M205">
            <v>1.0476852999999999</v>
          </cell>
          <cell r="N205">
            <v>1.04769753</v>
          </cell>
        </row>
        <row r="206">
          <cell r="A206" t="str">
            <v>OLC5D</v>
          </cell>
          <cell r="B206" t="str">
            <v>OLC5DUSM</v>
          </cell>
          <cell r="C206" t="str">
            <v>ON Tier 1 - Tasa Fija USD Ley Argentina ON</v>
          </cell>
          <cell r="D206">
            <v>566.68785584997022</v>
          </cell>
          <cell r="E206">
            <v>1.0668849600000001</v>
          </cell>
          <cell r="F206">
            <v>1.06621207</v>
          </cell>
          <cell r="G206">
            <v>1.06661892</v>
          </cell>
          <cell r="H206">
            <v>1.07157999</v>
          </cell>
          <cell r="I206">
            <v>1.06741347</v>
          </cell>
          <cell r="J206">
            <v>1.07034399</v>
          </cell>
          <cell r="K206">
            <v>1.07109784</v>
          </cell>
          <cell r="L206">
            <v>1.0708510099999999</v>
          </cell>
          <cell r="M206">
            <v>1.0698075899999999</v>
          </cell>
          <cell r="N206">
            <v>1.0660000000000001</v>
          </cell>
        </row>
        <row r="207">
          <cell r="A207" t="str">
            <v>BF44D</v>
          </cell>
          <cell r="B207" t="str">
            <v>BF44DUSM</v>
          </cell>
          <cell r="C207" t="str">
            <v>ON Tier 1 - Tasa Fija USD Ley Argentina ON</v>
          </cell>
          <cell r="D207">
            <v>544.70628855833399</v>
          </cell>
          <cell r="E207">
            <v>1.0161841899999999</v>
          </cell>
          <cell r="F207">
            <v>1.0174886700000001</v>
          </cell>
          <cell r="G207">
            <v>1.0179952000000001</v>
          </cell>
          <cell r="H207">
            <v>1.02242934</v>
          </cell>
          <cell r="I207">
            <v>1.0187228100000001</v>
          </cell>
          <cell r="J207">
            <v>1.0214082600000001</v>
          </cell>
          <cell r="K207">
            <v>1.0217988899999999</v>
          </cell>
          <cell r="L207">
            <v>1.02158723</v>
          </cell>
          <cell r="M207">
            <v>1.0206825399999999</v>
          </cell>
          <cell r="N207">
            <v>1.02062192</v>
          </cell>
        </row>
        <row r="208">
          <cell r="A208" t="str">
            <v>YM40D</v>
          </cell>
          <cell r="B208" t="str">
            <v>YM40DUSM</v>
          </cell>
          <cell r="C208" t="str">
            <v>YM40O - Z-Spread D</v>
          </cell>
          <cell r="D208">
            <v>638.77649384393339</v>
          </cell>
          <cell r="E208">
            <v>1.04382982</v>
          </cell>
          <cell r="F208">
            <v>1.0449212800000001</v>
          </cell>
          <cell r="G208">
            <v>1.0450103799999999</v>
          </cell>
          <cell r="H208">
            <v>1.0507281799999999</v>
          </cell>
          <cell r="I208">
            <v>1.0458546500000001</v>
          </cell>
          <cell r="J208">
            <v>1.0490919400000001</v>
          </cell>
          <cell r="K208">
            <v>1.05077029</v>
          </cell>
          <cell r="L208">
            <v>1.05044348</v>
          </cell>
          <cell r="M208">
            <v>1.04916962</v>
          </cell>
          <cell r="N208">
            <v>1.0485289</v>
          </cell>
        </row>
        <row r="209">
          <cell r="A209" t="str">
            <v>YMCYD</v>
          </cell>
          <cell r="B209" t="str">
            <v>YMCYDUSM</v>
          </cell>
          <cell r="C209" t="str">
            <v>YMCYO - Z-Spread D</v>
          </cell>
          <cell r="D209">
            <v>686.83837515105893</v>
          </cell>
          <cell r="E209">
            <v>1.04353568</v>
          </cell>
          <cell r="F209">
            <v>1.04424736</v>
          </cell>
          <cell r="G209">
            <v>1.0441799599999999</v>
          </cell>
          <cell r="H209">
            <v>1.0501627200000001</v>
          </cell>
          <cell r="I209">
            <v>1.04496217</v>
          </cell>
          <cell r="J209">
            <v>1.04836025</v>
          </cell>
          <cell r="K209">
            <v>1.0341349</v>
          </cell>
          <cell r="L209">
            <v>1.0245205799999999</v>
          </cell>
          <cell r="M209">
            <v>1.0230878699999999</v>
          </cell>
          <cell r="N209">
            <v>1.01851012</v>
          </cell>
        </row>
        <row r="210">
          <cell r="A210" t="str">
            <v>YMCZD</v>
          </cell>
          <cell r="B210" t="str">
            <v>YMCZDUSM</v>
          </cell>
          <cell r="C210" t="str">
            <v>YMCZO - Z-Spread D</v>
          </cell>
          <cell r="D210">
            <v>691.05840597593453</v>
          </cell>
          <cell r="E210">
            <v>1.0889047599999999</v>
          </cell>
          <cell r="F210">
            <v>1.0896962800000001</v>
          </cell>
          <cell r="G210">
            <v>1.0896006899999999</v>
          </cell>
          <cell r="H210">
            <v>1.0957470499999999</v>
          </cell>
          <cell r="I210">
            <v>1.09035448</v>
          </cell>
          <cell r="J210">
            <v>1.0938335100000001</v>
          </cell>
          <cell r="K210">
            <v>1.0680000000000001</v>
          </cell>
          <cell r="L210">
            <v>1.06718476</v>
          </cell>
          <cell r="M210">
            <v>1.0657199500000001</v>
          </cell>
          <cell r="N210">
            <v>1.06474717</v>
          </cell>
        </row>
        <row r="211">
          <cell r="A211" t="str">
            <v>GN47D</v>
          </cell>
          <cell r="B211" t="str">
            <v>GN47DUSM</v>
          </cell>
          <cell r="C211" t="str">
            <v>ON Tier 1 - Tasa Fija USD Ley Argentina ON</v>
          </cell>
          <cell r="D211">
            <v>681.68976807990578</v>
          </cell>
          <cell r="E211">
            <v>1.0342038</v>
          </cell>
          <cell r="F211">
            <v>1.0350470199999999</v>
          </cell>
          <cell r="G211">
            <v>1.0349657299999999</v>
          </cell>
          <cell r="H211">
            <v>1.04095593</v>
          </cell>
          <cell r="I211">
            <v>1.03576669</v>
          </cell>
          <cell r="J211">
            <v>1.0391764800000001</v>
          </cell>
          <cell r="K211">
            <v>1.0414880200000001</v>
          </cell>
          <cell r="L211">
            <v>1.0410913799999999</v>
          </cell>
          <cell r="M211">
            <v>1.03973067</v>
          </cell>
          <cell r="N211">
            <v>1.0388047600000001</v>
          </cell>
        </row>
        <row r="212">
          <cell r="A212" t="str">
            <v>YFCLD</v>
          </cell>
          <cell r="B212" t="str">
            <v>YFCLDUSM</v>
          </cell>
          <cell r="C212" t="str">
            <v>YFCLO - Z-Spread D</v>
          </cell>
          <cell r="D212">
            <v>717.51470456536993</v>
          </cell>
          <cell r="E212">
            <v>1.03629237</v>
          </cell>
          <cell r="F212">
            <v>1.03688589</v>
          </cell>
          <cell r="G212">
            <v>1.03676313</v>
          </cell>
          <cell r="H212">
            <v>1.04279341</v>
          </cell>
          <cell r="I212">
            <v>1.03745245</v>
          </cell>
          <cell r="J212">
            <v>1.04101098</v>
          </cell>
          <cell r="K212">
            <v>1.0436467899999999</v>
          </cell>
          <cell r="L212">
            <v>1.0431683700000001</v>
          </cell>
          <cell r="M212">
            <v>1.04179154</v>
          </cell>
          <cell r="N212">
            <v>1.0406905</v>
          </cell>
        </row>
        <row r="213">
          <cell r="A213" t="str">
            <v>YFCOD</v>
          </cell>
          <cell r="B213" t="str">
            <v>YFCODUSM</v>
          </cell>
          <cell r="C213" t="str">
            <v>YFCOO - Z-Spread D</v>
          </cell>
          <cell r="D213">
            <v>740.24212521657773</v>
          </cell>
          <cell r="E213">
            <v>1.0266490100000001</v>
          </cell>
          <cell r="F213">
            <v>1.02709202</v>
          </cell>
          <cell r="G213">
            <v>1.0269571099999999</v>
          </cell>
          <cell r="H213">
            <v>1.03293112</v>
          </cell>
          <cell r="I213">
            <v>1.02758131</v>
          </cell>
          <cell r="J213">
            <v>1.0312072400000001</v>
          </cell>
          <cell r="K213">
            <v>1.03409839</v>
          </cell>
          <cell r="L213">
            <v>1.03358211</v>
          </cell>
          <cell r="M213">
            <v>1.0322310400000001</v>
          </cell>
          <cell r="N213">
            <v>1.0310334800000001</v>
          </cell>
        </row>
        <row r="214">
          <cell r="A214" t="str">
            <v>YM42D</v>
          </cell>
          <cell r="B214" t="str">
            <v>YM42DUSM</v>
          </cell>
          <cell r="C214" t="str">
            <v>YM42O - Z-Spread D</v>
          </cell>
          <cell r="D214">
            <v>796.02118611949527</v>
          </cell>
          <cell r="E214">
            <v>1.04541909</v>
          </cell>
          <cell r="F214">
            <v>1.0450488899999999</v>
          </cell>
          <cell r="G214">
            <v>1.0449710999999999</v>
          </cell>
          <cell r="H214">
            <v>1.0435886000000001</v>
          </cell>
          <cell r="I214">
            <v>1.04497474</v>
          </cell>
          <cell r="J214">
            <v>1.0425423899999999</v>
          </cell>
          <cell r="K214">
            <v>1.0464037799999999</v>
          </cell>
          <cell r="L214">
            <v>1.0489861</v>
          </cell>
          <cell r="M214">
            <v>1.0481399199999999</v>
          </cell>
          <cell r="N214">
            <v>1.0479981300000001</v>
          </cell>
        </row>
        <row r="215">
          <cell r="A215" t="str">
            <v>PLC6D</v>
          </cell>
          <cell r="B215" t="str">
            <v>PLC6DUSM</v>
          </cell>
          <cell r="C215" t="str">
            <v>ON Tier 1 - Tasa Fija USD Ley Argentina ON</v>
          </cell>
          <cell r="D215">
            <v>786.05154814760351</v>
          </cell>
          <cell r="E215">
            <v>1.0532517299999999</v>
          </cell>
          <cell r="F215">
            <v>1.05302604</v>
          </cell>
          <cell r="G215">
            <v>1.05294201</v>
          </cell>
          <cell r="H215">
            <v>1.04697906</v>
          </cell>
          <cell r="I215">
            <v>1.0440670999999999</v>
          </cell>
          <cell r="J215">
            <v>1.0570734399999999</v>
          </cell>
          <cell r="K215">
            <v>1.06068564</v>
          </cell>
          <cell r="L215">
            <v>1.0599897</v>
          </cell>
          <cell r="M215">
            <v>1.05878662</v>
          </cell>
          <cell r="N215">
            <v>1.05696305</v>
          </cell>
        </row>
        <row r="216">
          <cell r="A216" t="str">
            <v>TLCUD</v>
          </cell>
          <cell r="B216" t="str">
            <v>TLCUDUSM</v>
          </cell>
          <cell r="C216" t="str">
            <v>ON Tier 1 - Tasa Fija USD Ley Argentina ON</v>
          </cell>
          <cell r="D216">
            <v>816.99496176096682</v>
          </cell>
          <cell r="E216">
            <v>1.0192978100000001</v>
          </cell>
          <cell r="F216">
            <v>1.01900594</v>
          </cell>
          <cell r="G216">
            <v>1.0189089200000001</v>
          </cell>
          <cell r="H216">
            <v>1.0099935600000001</v>
          </cell>
          <cell r="I216">
            <v>1.01914259</v>
          </cell>
          <cell r="J216">
            <v>1.0230263500000001</v>
          </cell>
          <cell r="K216">
            <v>1.0267153600000001</v>
          </cell>
          <cell r="L216">
            <v>1.02600146</v>
          </cell>
          <cell r="M216">
            <v>1.02480635</v>
          </cell>
          <cell r="N216">
            <v>1.02325087</v>
          </cell>
        </row>
        <row r="217">
          <cell r="A217" t="str">
            <v>OLC6D</v>
          </cell>
          <cell r="B217" t="str">
            <v>OLC6DUSM</v>
          </cell>
          <cell r="C217" t="str">
            <v>ON Tier 1 - Tasa Fija USD Ley Argentina ON</v>
          </cell>
          <cell r="D217">
            <v>872.1528631297258</v>
          </cell>
          <cell r="E217">
            <v>1.0630294199999999</v>
          </cell>
          <cell r="F217">
            <v>1.0529999999999999</v>
          </cell>
          <cell r="G217">
            <v>1.0618194299999999</v>
          </cell>
          <cell r="H217">
            <v>1.06601206</v>
          </cell>
          <cell r="I217">
            <v>1.0613335100000001</v>
          </cell>
          <cell r="J217">
            <v>1.0655010899999999</v>
          </cell>
          <cell r="K217">
            <v>1.06991203</v>
          </cell>
          <cell r="L217">
            <v>1.0688995999999999</v>
          </cell>
          <cell r="M217">
            <v>1.06812244</v>
          </cell>
          <cell r="N217">
            <v>1.0662363500000001</v>
          </cell>
        </row>
        <row r="218">
          <cell r="A218" t="str">
            <v>OLC7D</v>
          </cell>
          <cell r="B218" t="str">
            <v>OLC7DUSM</v>
          </cell>
          <cell r="C218" t="str">
            <v>ON Tier 1 - Tasa Fija USD Ley Argentina ON</v>
          </cell>
          <cell r="D218">
            <v>1109.0463047080839</v>
          </cell>
          <cell r="E218">
            <v>1.03550556</v>
          </cell>
          <cell r="F218">
            <v>1.0292486000000001</v>
          </cell>
          <cell r="G218">
            <v>1.0315415100000001</v>
          </cell>
          <cell r="H218">
            <v>1.0288302300000001</v>
          </cell>
          <cell r="I218">
            <v>1.02754615</v>
          </cell>
          <cell r="J218">
            <v>1.03197925</v>
          </cell>
          <cell r="K218">
            <v>1.0374047500000001</v>
          </cell>
          <cell r="L218">
            <v>1.03522421</v>
          </cell>
          <cell r="M218">
            <v>1.0370165499999999</v>
          </cell>
          <cell r="N218">
            <v>1.03462945</v>
          </cell>
        </row>
        <row r="219">
          <cell r="A219" t="str">
            <v>HJCFD</v>
          </cell>
          <cell r="B219" t="str">
            <v>HJCFDUSM</v>
          </cell>
          <cell r="C219" t="str">
            <v>ON Tier 1 - Tasa Fija USD Ley Argentina ON</v>
          </cell>
          <cell r="D219">
            <v>6.0000000000023501</v>
          </cell>
          <cell r="E219">
            <v>1.0244042</v>
          </cell>
          <cell r="F219">
            <v>1.0243819300000001</v>
          </cell>
          <cell r="G219">
            <v>1.02475278</v>
          </cell>
          <cell r="H219">
            <v>1.02417406</v>
          </cell>
          <cell r="I219">
            <v>1.02461084</v>
          </cell>
          <cell r="J219">
            <v>1.02465899</v>
          </cell>
          <cell r="K219">
            <v>1.02651732</v>
          </cell>
          <cell r="L219">
            <v>1.0245947500000001</v>
          </cell>
          <cell r="M219">
            <v>1.0247494100000001</v>
          </cell>
          <cell r="N219">
            <v>1.0265</v>
          </cell>
        </row>
        <row r="220">
          <cell r="A220" t="str">
            <v>T672D</v>
          </cell>
          <cell r="B220" t="str">
            <v>T672DUSM</v>
          </cell>
          <cell r="C220" t="str">
            <v>ON Tier 2 - Tasa Fija USD Ley Argentina ON</v>
          </cell>
          <cell r="D220">
            <v>128.88061588906854</v>
          </cell>
          <cell r="E220">
            <v>1.00818863</v>
          </cell>
          <cell r="F220">
            <v>1.0075808900000001</v>
          </cell>
          <cell r="G220">
            <v>1.00862455</v>
          </cell>
          <cell r="H220">
            <v>1.0070171699999999</v>
          </cell>
          <cell r="I220">
            <v>1.0086703699999999</v>
          </cell>
          <cell r="J220">
            <v>1.0071214399999999</v>
          </cell>
          <cell r="K220">
            <v>1.00460952</v>
          </cell>
          <cell r="L220">
            <v>1.00491715</v>
          </cell>
          <cell r="M220">
            <v>1.0074080599999999</v>
          </cell>
          <cell r="N220">
            <v>1.00805334</v>
          </cell>
        </row>
        <row r="221">
          <cell r="A221" t="str">
            <v>CS48D</v>
          </cell>
          <cell r="B221" t="str">
            <v>CS48DUSM</v>
          </cell>
          <cell r="C221" t="str">
            <v>ON Tier 1 - Tasa Fija USD Ley Argentina ON</v>
          </cell>
          <cell r="D221">
            <v>595.03310546308035</v>
          </cell>
          <cell r="E221">
            <v>1.06123265</v>
          </cell>
          <cell r="F221">
            <v>1.0624878499999999</v>
          </cell>
          <cell r="G221">
            <v>1.0627684500000001</v>
          </cell>
          <cell r="H221">
            <v>1.06809098</v>
          </cell>
          <cell r="I221">
            <v>1.0636031399999999</v>
          </cell>
          <cell r="J221">
            <v>1.0666727300000001</v>
          </cell>
          <cell r="K221">
            <v>1.0677807399999999</v>
          </cell>
          <cell r="L221">
            <v>1.06750634</v>
          </cell>
          <cell r="M221">
            <v>1.06635708</v>
          </cell>
          <cell r="N221">
            <v>1.0659785100000001</v>
          </cell>
        </row>
        <row r="222">
          <cell r="A222" t="str">
            <v>CS47D</v>
          </cell>
          <cell r="B222" t="str">
            <v>CS47DUSM</v>
          </cell>
          <cell r="C222" t="str">
            <v>ON Tier 1 - Tasa Fija USD Ley Argentina ON</v>
          </cell>
          <cell r="D222">
            <v>703.24368307113912</v>
          </cell>
          <cell r="E222">
            <v>1.0525541199999999</v>
          </cell>
          <cell r="F222">
            <v>1.0532269400000001</v>
          </cell>
          <cell r="G222">
            <v>1.0531277999999999</v>
          </cell>
          <cell r="H222">
            <v>1.0591814900000001</v>
          </cell>
          <cell r="I222">
            <v>1.0538573099999999</v>
          </cell>
          <cell r="J222">
            <v>1.0574148800000001</v>
          </cell>
          <cell r="K222">
            <v>1.0600239300000001</v>
          </cell>
          <cell r="L222">
            <v>1.0595677999999999</v>
          </cell>
          <cell r="M222">
            <v>1.05819804</v>
          </cell>
          <cell r="N222">
            <v>1.0571389200000001</v>
          </cell>
        </row>
        <row r="223">
          <cell r="A223" t="str">
            <v>ZZC1D</v>
          </cell>
          <cell r="B223" t="str">
            <v>ZZC1DUSM</v>
          </cell>
          <cell r="C223" t="str">
            <v>ON Tier 2 - Tasa Fija USD Ley Argentina ON</v>
          </cell>
          <cell r="D223">
            <v>130.00000000004604</v>
          </cell>
          <cell r="E223">
            <v>1.02287522</v>
          </cell>
          <cell r="F223">
            <v>1.02225381</v>
          </cell>
          <cell r="G223">
            <v>1.02331704</v>
          </cell>
          <cell r="H223">
            <v>1.02168097</v>
          </cell>
          <cell r="I223">
            <v>1.0200009000000001</v>
          </cell>
          <cell r="J223">
            <v>1.02527601</v>
          </cell>
          <cell r="K223">
            <v>1.01921073</v>
          </cell>
          <cell r="L223">
            <v>1.0195247999999999</v>
          </cell>
          <cell r="M223">
            <v>1.02207044</v>
          </cell>
          <cell r="N223">
            <v>1.02272831</v>
          </cell>
        </row>
        <row r="224">
          <cell r="A224" t="str">
            <v>BVCUD</v>
          </cell>
          <cell r="B224" t="str">
            <v>BVCUDUSM</v>
          </cell>
          <cell r="C224" t="str">
            <v>ON Tier 3 - Tasa Fija USD Ley Argentina ON</v>
          </cell>
          <cell r="D224">
            <v>199.98167212550453</v>
          </cell>
          <cell r="E224">
            <v>0.99991865000000002</v>
          </cell>
          <cell r="F224">
            <v>0.99933355999999995</v>
          </cell>
          <cell r="G224">
            <v>1.00201742</v>
          </cell>
          <cell r="H224">
            <v>0.99772961999999998</v>
          </cell>
          <cell r="I224">
            <v>0.99891722999999999</v>
          </cell>
          <cell r="J224">
            <v>0.99668593000000005</v>
          </cell>
          <cell r="K224">
            <v>0.99370274000000003</v>
          </cell>
          <cell r="L224">
            <v>0.99423132000000003</v>
          </cell>
          <cell r="M224">
            <v>0.99744323999999995</v>
          </cell>
          <cell r="N224">
            <v>0.99798759999999997</v>
          </cell>
        </row>
        <row r="225">
          <cell r="A225" t="str">
            <v>JNC6D</v>
          </cell>
          <cell r="B225" t="str">
            <v>JNC6DUSM</v>
          </cell>
          <cell r="C225" t="str">
            <v>ON Tier 3 - Tasa Fija USD Ley Argentina ON</v>
          </cell>
          <cell r="D225">
            <v>346.24050357617472</v>
          </cell>
          <cell r="E225">
            <v>1.0657813199999999</v>
          </cell>
          <cell r="F225">
            <v>1.0202246100000001</v>
          </cell>
          <cell r="G225">
            <v>1.0228976400000001</v>
          </cell>
          <cell r="H225">
            <v>1.01982671</v>
          </cell>
          <cell r="I225">
            <v>1.01865625</v>
          </cell>
          <cell r="J225">
            <v>1.0149877700000001</v>
          </cell>
          <cell r="K225">
            <v>1.0119717699999999</v>
          </cell>
          <cell r="L225">
            <v>1.01300762</v>
          </cell>
          <cell r="M225">
            <v>1.01714434</v>
          </cell>
          <cell r="N225">
            <v>1.0168476900000001</v>
          </cell>
        </row>
        <row r="226">
          <cell r="A226" t="str">
            <v>HVS1D</v>
          </cell>
          <cell r="B226" t="str">
            <v>HVS1DUSM</v>
          </cell>
          <cell r="C226" t="str">
            <v>ON Tier 3 - Tasa Fija USD Ley Argentina ON</v>
          </cell>
          <cell r="D226">
            <v>594.30986898648177</v>
          </cell>
          <cell r="E226">
            <v>1.03539245</v>
          </cell>
          <cell r="F226">
            <v>1.03445484</v>
          </cell>
          <cell r="G226">
            <v>1.0361845300000001</v>
          </cell>
          <cell r="H226">
            <v>1.0359480700000001</v>
          </cell>
          <cell r="I226">
            <v>1.0080814499999999</v>
          </cell>
          <cell r="J226">
            <v>1.00214566</v>
          </cell>
          <cell r="K226">
            <v>1.0012081500000001</v>
          </cell>
          <cell r="L226">
            <v>1.00297619</v>
          </cell>
          <cell r="M226">
            <v>1.00822021</v>
          </cell>
          <cell r="N226">
            <v>1.00557399</v>
          </cell>
        </row>
        <row r="227">
          <cell r="A227" t="str">
            <v>TGCHD</v>
          </cell>
          <cell r="B227" t="str">
            <v>TGCHDUSM</v>
          </cell>
          <cell r="C227" t="str">
            <v>-</v>
          </cell>
          <cell r="D227" t="str">
            <v>-</v>
          </cell>
          <cell r="E227">
            <v>9.9999999999999995E-8</v>
          </cell>
          <cell r="F227">
            <v>9.9999999999999995E-8</v>
          </cell>
          <cell r="G227">
            <v>9.9999999999999995E-8</v>
          </cell>
          <cell r="H227">
            <v>9.9999999999999995E-8</v>
          </cell>
          <cell r="I227">
            <v>9.9999999999999995E-8</v>
          </cell>
          <cell r="J227">
            <v>9.9999999999999995E-8</v>
          </cell>
          <cell r="K227">
            <v>9.9999999999999995E-8</v>
          </cell>
          <cell r="L227">
            <v>9.9999999999999995E-8</v>
          </cell>
          <cell r="M227">
            <v>9.9999999999999995E-8</v>
          </cell>
          <cell r="N227">
            <v>9.9999999999999995E-8</v>
          </cell>
        </row>
        <row r="229">
          <cell r="A229" t="str">
            <v>VES2L</v>
          </cell>
          <cell r="B229" t="str">
            <v>VES2LARS</v>
          </cell>
          <cell r="C229" t="str">
            <v>ON PyME Gar - Tasa Fija USD Ley Argentina ON Pesos</v>
          </cell>
          <cell r="D229">
            <v>447.55488727072054</v>
          </cell>
          <cell r="E229">
            <v>1589.6213874600001</v>
          </cell>
          <cell r="F229">
            <v>1571.1390366799999</v>
          </cell>
          <cell r="G229">
            <v>1569.0590856399999</v>
          </cell>
          <cell r="H229">
            <v>1570.5571625</v>
          </cell>
          <cell r="I229">
            <v>1566.41363948</v>
          </cell>
          <cell r="J229">
            <v>1570.09792055</v>
          </cell>
          <cell r="K229">
            <v>1572.6172695099999</v>
          </cell>
          <cell r="L229">
            <v>1564.0058809899999</v>
          </cell>
          <cell r="M229">
            <v>1572.3514012400001</v>
          </cell>
          <cell r="N229">
            <v>1560.9477959000001</v>
          </cell>
        </row>
        <row r="230">
          <cell r="A230" t="str">
            <v>NAS1L</v>
          </cell>
          <cell r="B230" t="str">
            <v>NAS1LARS</v>
          </cell>
          <cell r="C230" t="str">
            <v>ON PyME Gar - Tasa Fija USD Ley Argentina ON Pesos</v>
          </cell>
          <cell r="D230">
            <v>520.66757587216557</v>
          </cell>
          <cell r="E230">
            <v>1581.8627743</v>
          </cell>
          <cell r="F230">
            <v>1561.53567714</v>
          </cell>
          <cell r="G230">
            <v>1558.6434773399999</v>
          </cell>
          <cell r="H230">
            <v>1558.5538278399999</v>
          </cell>
          <cell r="I230">
            <v>1533.7911797500001</v>
          </cell>
          <cell r="J230">
            <v>1537.70015033</v>
          </cell>
          <cell r="K230">
            <v>1541.16344104</v>
          </cell>
          <cell r="L230">
            <v>1532.01550789</v>
          </cell>
          <cell r="M230">
            <v>1541.5381066299999</v>
          </cell>
          <cell r="N230">
            <v>1531.2018898900001</v>
          </cell>
        </row>
        <row r="231">
          <cell r="A231" t="str">
            <v>ORS1L</v>
          </cell>
          <cell r="B231" t="str">
            <v>ORS1LARS</v>
          </cell>
          <cell r="C231" t="str">
            <v>ON PyME Gar - Tasa Fija USD Ley Argentina ON Pesos</v>
          </cell>
          <cell r="D231">
            <v>545.31314631860766</v>
          </cell>
          <cell r="E231">
            <v>1581.74236737</v>
          </cell>
          <cell r="F231">
            <v>1562.2884938100001</v>
          </cell>
          <cell r="G231">
            <v>1558.9508228</v>
          </cell>
          <cell r="H231">
            <v>1557.32087007</v>
          </cell>
          <cell r="I231">
            <v>1554.7113826299999</v>
          </cell>
          <cell r="J231">
            <v>1558.59577786</v>
          </cell>
          <cell r="K231">
            <v>1562.8968092800001</v>
          </cell>
          <cell r="L231">
            <v>1553.90771924</v>
          </cell>
          <cell r="M231">
            <v>1563.08569878</v>
          </cell>
          <cell r="N231">
            <v>1553.86025208</v>
          </cell>
        </row>
        <row r="232">
          <cell r="A232" t="str">
            <v>BYCWO</v>
          </cell>
          <cell r="B232" t="str">
            <v>BYCWOARS</v>
          </cell>
          <cell r="C232" t="str">
            <v>ON Tier 1 - Tasa Fija USD Ley Argentina ON Pesos</v>
          </cell>
          <cell r="D232">
            <v>45.999999999998558</v>
          </cell>
          <cell r="E232">
            <v>1593.84753759</v>
          </cell>
          <cell r="F232">
            <v>1591.32889166</v>
          </cell>
          <cell r="G232">
            <v>1585.5632502399999</v>
          </cell>
          <cell r="H232">
            <v>1589.8227555200001</v>
          </cell>
          <cell r="I232">
            <v>1590</v>
          </cell>
          <cell r="J232">
            <v>1587.2879229099999</v>
          </cell>
          <cell r="K232">
            <v>1587.2032682199999</v>
          </cell>
          <cell r="L232">
            <v>1590</v>
          </cell>
          <cell r="M232">
            <v>1593</v>
          </cell>
          <cell r="N232">
            <v>1576.06733891</v>
          </cell>
        </row>
        <row r="233">
          <cell r="A233" t="str">
            <v>BYCXO</v>
          </cell>
          <cell r="B233" t="str">
            <v>BYCXOARS</v>
          </cell>
          <cell r="C233" t="str">
            <v>ON Tier 1 - Tasa Fija USD Ley Argentina ON Pesos</v>
          </cell>
          <cell r="D233">
            <v>75.999999999999361</v>
          </cell>
          <cell r="E233">
            <v>1582.8437832100001</v>
          </cell>
          <cell r="F233">
            <v>1579.845534</v>
          </cell>
          <cell r="G233">
            <v>1576.2930617100001</v>
          </cell>
          <cell r="H233">
            <v>1581.1626472099999</v>
          </cell>
          <cell r="I233">
            <v>1577.1745145100001</v>
          </cell>
          <cell r="J233">
            <v>1578.3765257800001</v>
          </cell>
          <cell r="K233">
            <v>1578.0458618600001</v>
          </cell>
          <cell r="L233">
            <v>1575.6165328300001</v>
          </cell>
          <cell r="M233">
            <v>1573.7283206100001</v>
          </cell>
          <cell r="N233">
            <v>1564.8672031200001</v>
          </cell>
        </row>
        <row r="234">
          <cell r="A234" t="str">
            <v>YM41O</v>
          </cell>
          <cell r="B234" t="str">
            <v>YM41OARS</v>
          </cell>
          <cell r="C234" t="str">
            <v>YM41OS - Z-Spread D</v>
          </cell>
          <cell r="D234">
            <v>85.000000000001052</v>
          </cell>
          <cell r="E234">
            <v>1572.6245428499999</v>
          </cell>
          <cell r="F234">
            <v>1569.7952258299999</v>
          </cell>
          <cell r="G234">
            <v>1566.8252226899999</v>
          </cell>
          <cell r="H234">
            <v>1571.91043633</v>
          </cell>
          <cell r="I234">
            <v>1544.64850172</v>
          </cell>
          <cell r="J234">
            <v>1546.04570201</v>
          </cell>
          <cell r="K234">
            <v>1546.1208074199999</v>
          </cell>
          <cell r="L234">
            <v>1543.58743314</v>
          </cell>
          <cell r="M234">
            <v>1542.1488781200001</v>
          </cell>
          <cell r="N234">
            <v>1533.02031771</v>
          </cell>
        </row>
        <row r="235">
          <cell r="A235" t="str">
            <v>YM37O</v>
          </cell>
          <cell r="B235" t="str">
            <v>YM37OARS</v>
          </cell>
          <cell r="C235" t="str">
            <v>YM37OS - Z-Spread D</v>
          </cell>
          <cell r="D235">
            <v>199.42369812295354</v>
          </cell>
          <cell r="E235">
            <v>1603.5790878299999</v>
          </cell>
          <cell r="F235">
            <v>1595.69718487</v>
          </cell>
          <cell r="G235">
            <v>1579.20247965</v>
          </cell>
          <cell r="H235">
            <v>1585.23790631</v>
          </cell>
          <cell r="I235">
            <v>1579.6271023100001</v>
          </cell>
          <cell r="J235">
            <v>1582.1680028200001</v>
          </cell>
          <cell r="K235">
            <v>1581.8304173199999</v>
          </cell>
          <cell r="L235">
            <v>1576.2065465000001</v>
          </cell>
          <cell r="M235">
            <v>1578.6353365699999</v>
          </cell>
          <cell r="N235">
            <v>1564.6174104500001</v>
          </cell>
        </row>
        <row r="236">
          <cell r="A236" t="str">
            <v>YFCMO</v>
          </cell>
          <cell r="B236" t="str">
            <v>YFMCOARS</v>
          </cell>
          <cell r="C236" t="str">
            <v>YFCMOS - Z-Spread D</v>
          </cell>
          <cell r="D236">
            <v>212.77532279709692</v>
          </cell>
          <cell r="E236">
            <v>1589.8210102400001</v>
          </cell>
          <cell r="F236">
            <v>1581.4318760399999</v>
          </cell>
          <cell r="G236">
            <v>1582.77526076</v>
          </cell>
          <cell r="H236">
            <v>1588.88499903</v>
          </cell>
          <cell r="I236">
            <v>1583.0998314000001</v>
          </cell>
          <cell r="J236">
            <v>1585.7053665999999</v>
          </cell>
          <cell r="K236">
            <v>1585.1699118199999</v>
          </cell>
          <cell r="L236">
            <v>1579.1791371899999</v>
          </cell>
          <cell r="M236">
            <v>1582.0127234700001</v>
          </cell>
          <cell r="N236">
            <v>1567.60753649</v>
          </cell>
        </row>
        <row r="237">
          <cell r="A237" t="str">
            <v>PFC2O</v>
          </cell>
          <cell r="B237" t="str">
            <v>PFC2OARS</v>
          </cell>
          <cell r="C237" t="str">
            <v>ON Tier 1 - Tasa Fija USD Ley Argentina ON Pesos</v>
          </cell>
          <cell r="D237">
            <v>265.70163540499419</v>
          </cell>
          <cell r="E237">
            <v>1617.1912061999999</v>
          </cell>
          <cell r="F237">
            <v>1605.7820060700001</v>
          </cell>
          <cell r="G237">
            <v>1607.43779804</v>
          </cell>
          <cell r="H237">
            <v>1613.4554167900001</v>
          </cell>
          <cell r="I237">
            <v>1607.3298696500001</v>
          </cell>
          <cell r="J237">
            <v>1610.3897997399999</v>
          </cell>
          <cell r="K237">
            <v>1610.08607385</v>
          </cell>
          <cell r="L237">
            <v>1602.9202170200001</v>
          </cell>
          <cell r="M237">
            <v>1607.58785642</v>
          </cell>
          <cell r="N237">
            <v>1574</v>
          </cell>
        </row>
        <row r="238">
          <cell r="A238" t="str">
            <v>YM38O</v>
          </cell>
          <cell r="B238" t="str">
            <v>YM38OARS</v>
          </cell>
          <cell r="C238" t="str">
            <v>YM38OS - Z-Spread D</v>
          </cell>
          <cell r="D238">
            <v>270.25207409292886</v>
          </cell>
          <cell r="E238">
            <v>1610.9802152699999</v>
          </cell>
          <cell r="F238">
            <v>1599.3799065000001</v>
          </cell>
          <cell r="G238">
            <v>1600.91193802</v>
          </cell>
          <cell r="H238">
            <v>1606.8511534199999</v>
          </cell>
          <cell r="I238">
            <v>1600.80987759</v>
          </cell>
          <cell r="J238">
            <v>1603.9109276700001</v>
          </cell>
          <cell r="K238">
            <v>1603.4267971300001</v>
          </cell>
          <cell r="L238">
            <v>1613.6031400899999</v>
          </cell>
          <cell r="M238">
            <v>1618.30855948</v>
          </cell>
          <cell r="N238">
            <v>1602.95733984</v>
          </cell>
        </row>
        <row r="239">
          <cell r="A239" t="str">
            <v>PN38O</v>
          </cell>
          <cell r="B239" t="str">
            <v>PN38OARS</v>
          </cell>
          <cell r="C239" t="str">
            <v>ON Tier 1 - Tasa Fija USD Ley Argentina ON Pesos</v>
          </cell>
          <cell r="D239">
            <v>294.31066876981276</v>
          </cell>
          <cell r="E239">
            <v>1600.5248176800001</v>
          </cell>
          <cell r="F239">
            <v>1587.6712687700001</v>
          </cell>
          <cell r="G239">
            <v>1589.2644872343201</v>
          </cell>
          <cell r="H239">
            <v>1595.00870439</v>
          </cell>
          <cell r="I239">
            <v>1588.8957056500001</v>
          </cell>
          <cell r="J239">
            <v>1592.1239153363999</v>
          </cell>
          <cell r="K239">
            <v>1592.0164938600001</v>
          </cell>
          <cell r="L239">
            <v>1584.4094779899999</v>
          </cell>
          <cell r="M239">
            <v>1589.9483668299999</v>
          </cell>
          <cell r="N239">
            <v>1574.64199263</v>
          </cell>
        </row>
        <row r="240">
          <cell r="A240" t="str">
            <v>BYZ1O</v>
          </cell>
          <cell r="B240" t="str">
            <v>BYZ1OARS</v>
          </cell>
          <cell r="C240" t="str">
            <v>ON Tier 1 - Tasa Fija USD Ley Argentina ON Pesos</v>
          </cell>
          <cell r="D240">
            <v>288.04934099988731</v>
          </cell>
          <cell r="E240">
            <v>1553.2793050400001</v>
          </cell>
          <cell r="F240">
            <v>1541.15861238</v>
          </cell>
          <cell r="G240">
            <v>1552</v>
          </cell>
          <cell r="H240">
            <v>1548.4442557299999</v>
          </cell>
          <cell r="I240">
            <v>1542.49757015</v>
          </cell>
          <cell r="J240">
            <v>1545.59515584</v>
          </cell>
          <cell r="K240">
            <v>1545.4317134999999</v>
          </cell>
          <cell r="L240">
            <v>1538.14060485</v>
          </cell>
          <cell r="M240">
            <v>1543.3297003</v>
          </cell>
          <cell r="N240">
            <v>1528.43342405</v>
          </cell>
        </row>
        <row r="241">
          <cell r="A241" t="str">
            <v>BF40O</v>
          </cell>
          <cell r="B241" t="str">
            <v>BF40OARS</v>
          </cell>
          <cell r="C241" t="str">
            <v>ON Tier 1 - Tasa Fija USD Ley Argentina ON Pesos</v>
          </cell>
          <cell r="D241">
            <v>311.60948361130778</v>
          </cell>
          <cell r="E241">
            <v>1574.7375969899999</v>
          </cell>
          <cell r="F241">
            <v>1561.1590964300001</v>
          </cell>
          <cell r="G241">
            <v>1562.6434384300001</v>
          </cell>
          <cell r="H241">
            <v>1568.1369837</v>
          </cell>
          <cell r="I241">
            <v>1562.1150560799999</v>
          </cell>
          <cell r="J241">
            <v>1565.4036416599999</v>
          </cell>
          <cell r="K241">
            <v>1565.42903761</v>
          </cell>
          <cell r="L241">
            <v>1557.6550982199999</v>
          </cell>
          <cell r="M241">
            <v>1563.6383714399999</v>
          </cell>
          <cell r="N241">
            <v>1548.5510297599999</v>
          </cell>
        </row>
        <row r="242">
          <cell r="A242" t="str">
            <v>PN34O</v>
          </cell>
          <cell r="B242" t="str">
            <v>PN34OARS</v>
          </cell>
          <cell r="C242" t="str">
            <v>ON Tier 1 - Tasa Fija USD Ley Argentina ON Pesos</v>
          </cell>
          <cell r="D242">
            <v>342.63031240696631</v>
          </cell>
          <cell r="K242">
            <v>1557.17200774</v>
          </cell>
          <cell r="L242">
            <v>1548.9641290300001</v>
          </cell>
          <cell r="M242">
            <v>1555.8354700100001</v>
          </cell>
          <cell r="N242">
            <v>1540.94089489</v>
          </cell>
        </row>
        <row r="243">
          <cell r="A243" t="str">
            <v>TTCBO</v>
          </cell>
          <cell r="B243" t="str">
            <v>TTCBOARS</v>
          </cell>
          <cell r="C243" t="str">
            <v>ON Tier 1 - Tasa Fija USD Ley Argentina ON Pesos</v>
          </cell>
          <cell r="D243">
            <v>351.03102284373023</v>
          </cell>
          <cell r="E243">
            <v>1638.22840182</v>
          </cell>
          <cell r="F243">
            <v>1621.7122307499999</v>
          </cell>
          <cell r="G243">
            <v>1622.2759556000001</v>
          </cell>
          <cell r="H243">
            <v>1627.2204992100001</v>
          </cell>
          <cell r="I243">
            <v>1621.21368865</v>
          </cell>
          <cell r="J243">
            <v>1624.8230209200001</v>
          </cell>
          <cell r="K243">
            <v>1625.3605705699999</v>
          </cell>
          <cell r="L243">
            <v>1616.7872359099999</v>
          </cell>
          <cell r="M243">
            <v>1624.1603766600001</v>
          </cell>
          <cell r="N243">
            <v>1559.2390389699999</v>
          </cell>
        </row>
        <row r="244">
          <cell r="A244" t="str">
            <v>TTC8O</v>
          </cell>
          <cell r="B244" t="str">
            <v>TTC8OARS</v>
          </cell>
          <cell r="C244" t="str">
            <v>ON Tier 1 - Tasa Fija USD Ley Argentina ON Pesos</v>
          </cell>
          <cell r="D244">
            <v>361.81185396019396</v>
          </cell>
          <cell r="E244">
            <v>1602.2077906699999</v>
          </cell>
          <cell r="F244">
            <v>1585.52793189</v>
          </cell>
          <cell r="G244">
            <v>1586.07073231</v>
          </cell>
          <cell r="H244">
            <v>1590.8064347899999</v>
          </cell>
          <cell r="I244">
            <v>1584.9273299500001</v>
          </cell>
          <cell r="J244">
            <v>1593.8977585499999</v>
          </cell>
          <cell r="K244">
            <v>1589.13616226</v>
          </cell>
          <cell r="L244">
            <v>1580.5696693800001</v>
          </cell>
          <cell r="M244">
            <v>1588.09962023</v>
          </cell>
          <cell r="N244">
            <v>1578</v>
          </cell>
        </row>
        <row r="245">
          <cell r="A245" t="str">
            <v>PLC1O</v>
          </cell>
          <cell r="B245" t="str">
            <v>PLC1OARS</v>
          </cell>
          <cell r="C245" t="str">
            <v>ON Tier 1 - Tasa Fija USD Ley Argentina ON Pesos</v>
          </cell>
          <cell r="D245">
            <v>445.59220075345655</v>
          </cell>
          <cell r="E245">
            <v>1628.0819616900001</v>
          </cell>
          <cell r="F245">
            <v>1606.9195712000001</v>
          </cell>
          <cell r="G245">
            <v>1605.6136465300001</v>
          </cell>
          <cell r="H245">
            <v>1608.58071004</v>
          </cell>
          <cell r="I245">
            <v>1603.3074176099999</v>
          </cell>
          <cell r="J245">
            <v>1607.32173863</v>
          </cell>
          <cell r="K245">
            <v>1609.1137593999999</v>
          </cell>
          <cell r="L245">
            <v>1599.5166593199999</v>
          </cell>
          <cell r="M245">
            <v>1609.2516972999999</v>
          </cell>
          <cell r="N245">
            <v>1595.88845913</v>
          </cell>
        </row>
        <row r="246">
          <cell r="A246" t="str">
            <v>PLC3O</v>
          </cell>
          <cell r="B246" t="str">
            <v>PLC3OARS</v>
          </cell>
          <cell r="C246" t="str">
            <v>ON Tier 1 - Tasa Fija USD Ley Argentina ON Pesos</v>
          </cell>
          <cell r="D246">
            <v>536.26290038781099</v>
          </cell>
          <cell r="K246">
            <v>1614.38383684</v>
          </cell>
          <cell r="L246">
            <v>1592.24587494</v>
          </cell>
          <cell r="M246">
            <v>1597.3028627000001</v>
          </cell>
          <cell r="N246">
            <v>1604.11509179</v>
          </cell>
        </row>
        <row r="247">
          <cell r="A247" t="str">
            <v>OLC5O</v>
          </cell>
          <cell r="B247" t="str">
            <v>OLC5OARS</v>
          </cell>
          <cell r="C247" t="str">
            <v>ON Tier 1 - Tasa Fija USD Ley Argentina ON Pesos</v>
          </cell>
          <cell r="D247">
            <v>566.68553573852228</v>
          </cell>
          <cell r="E247">
            <v>1674.29084491</v>
          </cell>
          <cell r="F247">
            <v>1648.27086433</v>
          </cell>
          <cell r="G247">
            <v>1643.9408052199999</v>
          </cell>
          <cell r="H247">
            <v>1643.28284179</v>
          </cell>
          <cell r="I247">
            <v>1639.5799583200001</v>
          </cell>
          <cell r="J247">
            <v>1644.0527758600001</v>
          </cell>
          <cell r="K247">
            <v>1648.09433057</v>
          </cell>
          <cell r="L247">
            <v>1637.4361258599999</v>
          </cell>
          <cell r="M247">
            <v>1649.5526216400001</v>
          </cell>
          <cell r="N247">
            <v>1639.06310942</v>
          </cell>
        </row>
        <row r="248">
          <cell r="A248" t="str">
            <v>BF44O</v>
          </cell>
          <cell r="B248" t="str">
            <v>BF44OARS</v>
          </cell>
          <cell r="C248" t="str">
            <v>ON Tier 1 - Tasa Fija USD Ley Argentina ON Pesos</v>
          </cell>
          <cell r="D248">
            <v>544.69307532167159</v>
          </cell>
          <cell r="E248">
            <v>1596.7345164999999</v>
          </cell>
          <cell r="F248">
            <v>1572.29085364</v>
          </cell>
          <cell r="G248">
            <v>1568.75351252</v>
          </cell>
          <cell r="H248">
            <v>1565</v>
          </cell>
          <cell r="I248">
            <v>1564.99849034</v>
          </cell>
          <cell r="J248">
            <v>1569.2415217499999</v>
          </cell>
          <cell r="K248">
            <v>1572.62179745</v>
          </cell>
          <cell r="L248">
            <v>1562.48606786</v>
          </cell>
          <cell r="M248">
            <v>1573.8652325800001</v>
          </cell>
          <cell r="N248">
            <v>1563.09364822</v>
          </cell>
        </row>
        <row r="249">
          <cell r="A249" t="str">
            <v>YM40O</v>
          </cell>
          <cell r="B249" t="str">
            <v>YM40OARS</v>
          </cell>
          <cell r="C249" t="str">
            <v>YM40OS - Z-Spread D</v>
          </cell>
          <cell r="D249">
            <v>638.83639857799756</v>
          </cell>
          <cell r="E249">
            <v>1644.8657392099999</v>
          </cell>
          <cell r="F249">
            <v>1618.01866978</v>
          </cell>
          <cell r="G249">
            <v>1612.2498867100001</v>
          </cell>
          <cell r="H249">
            <v>1609.06652891</v>
          </cell>
          <cell r="I249">
            <v>1606.68550198</v>
          </cell>
          <cell r="J249">
            <v>1611.2143617900001</v>
          </cell>
          <cell r="K249">
            <v>1616.62513139</v>
          </cell>
          <cell r="L249">
            <v>1605.8938536799999</v>
          </cell>
          <cell r="M249">
            <v>1618.53126084</v>
          </cell>
          <cell r="N249">
            <v>1610.28299414</v>
          </cell>
        </row>
        <row r="250">
          <cell r="A250" t="str">
            <v>YMCYO</v>
          </cell>
          <cell r="B250" t="str">
            <v>YMCYOARS</v>
          </cell>
          <cell r="C250" t="str">
            <v>YMCYOS - Z-Spread D</v>
          </cell>
          <cell r="D250">
            <v>686.84861928482985</v>
          </cell>
          <cell r="E250">
            <v>1619.86037031</v>
          </cell>
          <cell r="F250">
            <v>1593.2814982899999</v>
          </cell>
          <cell r="G250">
            <v>1586.77105656</v>
          </cell>
          <cell r="H250">
            <v>1582.10029356</v>
          </cell>
          <cell r="I250">
            <v>1580.5890508099999</v>
          </cell>
          <cell r="J250">
            <v>1585.0835577600001</v>
          </cell>
          <cell r="K250">
            <v>1566.10335562</v>
          </cell>
          <cell r="L250">
            <v>1555.5539013099999</v>
          </cell>
          <cell r="M250">
            <v>1568.2006222099999</v>
          </cell>
          <cell r="N250">
            <v>1561.42868914</v>
          </cell>
        </row>
        <row r="251">
          <cell r="A251" t="str">
            <v>YMCZO</v>
          </cell>
          <cell r="B251" t="str">
            <v>YMCZOARS</v>
          </cell>
          <cell r="C251" t="str">
            <v>YMCZOS - Z-Spread D</v>
          </cell>
          <cell r="D251">
            <v>690.4487389922956</v>
          </cell>
          <cell r="E251">
            <v>1671.0018396999999</v>
          </cell>
          <cell r="F251">
            <v>1643.88953343</v>
          </cell>
          <cell r="G251">
            <v>1637.11268182</v>
          </cell>
          <cell r="H251">
            <v>1632.3814242599999</v>
          </cell>
          <cell r="I251">
            <v>1630.7990294399999</v>
          </cell>
          <cell r="J251">
            <v>1635.3697594600001</v>
          </cell>
          <cell r="K251">
            <v>1587.6582575299999</v>
          </cell>
          <cell r="L251">
            <v>1576.89196167</v>
          </cell>
          <cell r="M251">
            <v>1589.7948576199999</v>
          </cell>
          <cell r="N251">
            <v>1582.89006101</v>
          </cell>
        </row>
        <row r="252">
          <cell r="A252" t="str">
            <v>GN47O</v>
          </cell>
          <cell r="B252" t="str">
            <v>GN47OARS</v>
          </cell>
          <cell r="C252" t="str">
            <v>ON Tier 1 - Tasa Fija USD Ley Argentina ON Pesos</v>
          </cell>
          <cell r="D252">
            <v>681.79410302606516</v>
          </cell>
          <cell r="E252">
            <v>1629.8960677499999</v>
          </cell>
          <cell r="F252">
            <v>1603.2012575700001</v>
          </cell>
          <cell r="G252">
            <v>1596.43641994</v>
          </cell>
          <cell r="H252">
            <v>1591.4188763699999</v>
          </cell>
          <cell r="I252">
            <v>1590.0621865999999</v>
          </cell>
          <cell r="J252">
            <v>1594.56678029</v>
          </cell>
          <cell r="K252">
            <v>1600.97335896</v>
          </cell>
          <cell r="L252">
            <v>1590.3859474400001</v>
          </cell>
          <cell r="M252">
            <v>1603.01082253</v>
          </cell>
          <cell r="N252">
            <v>1596.4474352899999</v>
          </cell>
        </row>
        <row r="253">
          <cell r="A253" t="str">
            <v>YFCLO</v>
          </cell>
          <cell r="B253" t="str">
            <v>YFCLOARS</v>
          </cell>
          <cell r="C253" t="str">
            <v>YFCLOS - Z-Spread D</v>
          </cell>
          <cell r="D253">
            <v>717.4343221921298</v>
          </cell>
          <cell r="E253">
            <v>1623.77354044</v>
          </cell>
          <cell r="F253">
            <v>1597.22177571</v>
          </cell>
          <cell r="G253">
            <v>1590.1485265199999</v>
          </cell>
          <cell r="H253">
            <v>1583.87518026</v>
          </cell>
          <cell r="I253">
            <v>1583.15994572</v>
          </cell>
          <cell r="J253">
            <v>1587.7096449799999</v>
          </cell>
          <cell r="K253">
            <v>1594.7996908499999</v>
          </cell>
          <cell r="L253">
            <v>1584.15074018</v>
          </cell>
          <cell r="M253">
            <v>1596.8834261300001</v>
          </cell>
          <cell r="N253">
            <v>1591.1355220200001</v>
          </cell>
        </row>
        <row r="254">
          <cell r="A254" t="str">
            <v>YFCOO</v>
          </cell>
          <cell r="B254" t="str">
            <v>YFCOOARS</v>
          </cell>
          <cell r="C254" t="str">
            <v>YFCOOS - Z-Spread D</v>
          </cell>
          <cell r="D254">
            <v>740.34266178825158</v>
          </cell>
          <cell r="E254">
            <v>1616.84042765</v>
          </cell>
          <cell r="F254">
            <v>1590.56025342</v>
          </cell>
          <cell r="G254">
            <v>1583.25398154</v>
          </cell>
          <cell r="H254">
            <v>1576.1084887300001</v>
          </cell>
          <cell r="I254">
            <v>1575.8636891799999</v>
          </cell>
          <cell r="J254">
            <v>1580.4203780600001</v>
          </cell>
          <cell r="K254">
            <v>1587.98111081</v>
          </cell>
          <cell r="L254">
            <v>1577.3578955200001</v>
          </cell>
          <cell r="M254">
            <v>1590.06847911</v>
          </cell>
          <cell r="N254">
            <v>1584.95079403</v>
          </cell>
        </row>
        <row r="255">
          <cell r="A255" t="str">
            <v>YM42O</v>
          </cell>
          <cell r="B255" t="str">
            <v>YM42OARS</v>
          </cell>
          <cell r="C255" t="str">
            <v>YM42OS - Z-Spread D</v>
          </cell>
          <cell r="D255">
            <v>796.17318960433852</v>
          </cell>
          <cell r="E255">
            <v>1622.97247285</v>
          </cell>
          <cell r="F255">
            <v>1598.4968874900001</v>
          </cell>
          <cell r="G255">
            <v>1590.6065177099999</v>
          </cell>
          <cell r="H255">
            <v>1607.79062643</v>
          </cell>
          <cell r="I255">
            <v>1608.9932767400001</v>
          </cell>
          <cell r="J255">
            <v>1609.1002353399999</v>
          </cell>
          <cell r="K255">
            <v>1611.62042827</v>
          </cell>
          <cell r="L255">
            <v>1614.86155555</v>
          </cell>
          <cell r="M255">
            <v>1604.9330380399999</v>
          </cell>
          <cell r="N255">
            <v>1610.9999463900001</v>
          </cell>
        </row>
        <row r="256">
          <cell r="A256" t="str">
            <v>PLC6O</v>
          </cell>
          <cell r="B256" t="str">
            <v>PLC6OARS</v>
          </cell>
          <cell r="C256" t="str">
            <v>ON Tier 1 - Tasa Fija USD Ley Argentina ON Pesos</v>
          </cell>
          <cell r="D256">
            <v>786.3553964848918</v>
          </cell>
          <cell r="E256">
            <v>1658.45442417</v>
          </cell>
          <cell r="F256">
            <v>1633.5630490399999</v>
          </cell>
          <cell r="G256">
            <v>1625.43638483</v>
          </cell>
          <cell r="H256">
            <v>1607.9378317999999</v>
          </cell>
          <cell r="I256">
            <v>1616.72664594</v>
          </cell>
          <cell r="J256">
            <v>1606.1000065400001</v>
          </cell>
          <cell r="K256">
            <v>1630.4853282300001</v>
          </cell>
          <cell r="L256">
            <v>1619.9688255599999</v>
          </cell>
          <cell r="M256">
            <v>1632.26641307</v>
          </cell>
          <cell r="N256">
            <v>1628.95210339</v>
          </cell>
        </row>
        <row r="257">
          <cell r="A257" t="str">
            <v>TLCUO</v>
          </cell>
          <cell r="B257" t="str">
            <v>TLCUOARS</v>
          </cell>
          <cell r="C257" t="str">
            <v>ON Tier 1 - Tasa Fija USD Ley Argentina ON Pesos</v>
          </cell>
          <cell r="D257">
            <v>817.1837605911627</v>
          </cell>
          <cell r="E257">
            <v>1605.6847841599999</v>
          </cell>
          <cell r="F257">
            <v>1581.0605143499999</v>
          </cell>
          <cell r="G257">
            <v>1573.1586073999999</v>
          </cell>
          <cell r="H257">
            <v>1562.8050278000001</v>
          </cell>
          <cell r="I257">
            <v>1564.30083203</v>
          </cell>
          <cell r="J257">
            <v>1568.87340341</v>
          </cell>
          <cell r="K257">
            <v>1578.1784350200001</v>
          </cell>
          <cell r="L257">
            <v>1567.7044049399999</v>
          </cell>
          <cell r="M257">
            <v>1580.0703430399999</v>
          </cell>
          <cell r="N257">
            <v>1577.0795183</v>
          </cell>
        </row>
        <row r="258">
          <cell r="A258" t="str">
            <v>OLC6O</v>
          </cell>
          <cell r="B258" t="str">
            <v>OLC6OARS</v>
          </cell>
          <cell r="C258" t="str">
            <v>ON Tier 1 - Tasa Fija USD Ley Argentina ON Pesos</v>
          </cell>
          <cell r="D258">
            <v>872.58436438485421</v>
          </cell>
          <cell r="E258">
            <v>1670.0148806499999</v>
          </cell>
          <cell r="F258">
            <v>1648.34855748</v>
          </cell>
          <cell r="G258">
            <v>1640.17430558</v>
          </cell>
          <cell r="H258">
            <v>1619.9754</v>
          </cell>
          <cell r="I258">
            <v>1629.53837021</v>
          </cell>
          <cell r="J258">
            <v>1634.17976757</v>
          </cell>
          <cell r="K258">
            <v>1645.61052442</v>
          </cell>
          <cell r="L258">
            <v>1635.2485359</v>
          </cell>
          <cell r="M258">
            <v>1646.7632024899999</v>
          </cell>
          <cell r="N258">
            <v>1645.6116681599999</v>
          </cell>
        </row>
        <row r="259">
          <cell r="A259" t="str">
            <v>OLC7O</v>
          </cell>
          <cell r="B259" t="str">
            <v>OLC7OARS</v>
          </cell>
          <cell r="C259" t="str">
            <v>ON Tier 1 - Tasa Fija USD Ley Argentina ON Pesos</v>
          </cell>
          <cell r="D259">
            <v>1109.8526716797655</v>
          </cell>
          <cell r="E259">
            <v>1603.29266925</v>
          </cell>
          <cell r="F259">
            <v>1600.13369326</v>
          </cell>
          <cell r="G259">
            <v>1596.26089531</v>
          </cell>
          <cell r="H259">
            <v>1570.42588916</v>
          </cell>
          <cell r="I259">
            <v>1580.5783606499999</v>
          </cell>
          <cell r="J259">
            <v>1584.9109669300001</v>
          </cell>
          <cell r="K259">
            <v>1602.3793254300001</v>
          </cell>
          <cell r="L259">
            <v>1593.7775105600001</v>
          </cell>
          <cell r="M259">
            <v>1599.5777023999999</v>
          </cell>
          <cell r="N259">
            <v>1603.0181073199999</v>
          </cell>
        </row>
        <row r="260">
          <cell r="A260" t="str">
            <v>HJCFO</v>
          </cell>
          <cell r="B260" t="str">
            <v>HJCFOARS</v>
          </cell>
          <cell r="C260" t="str">
            <v>ON Tier 1 - Tasa Fija USD Ley Argentina ON Pesos</v>
          </cell>
          <cell r="D260">
            <v>5.9999999999986997</v>
          </cell>
          <cell r="E260">
            <v>1587.99161344</v>
          </cell>
          <cell r="F260">
            <v>1585.5821753299999</v>
          </cell>
          <cell r="G260">
            <v>1576.15546328</v>
          </cell>
          <cell r="H260">
            <v>1579.3163969</v>
          </cell>
          <cell r="I260">
            <v>1576.9869661499999</v>
          </cell>
          <cell r="J260">
            <v>1577.26114824</v>
          </cell>
          <cell r="K260">
            <v>1577.6299126199999</v>
          </cell>
          <cell r="L260">
            <v>1577.52759842</v>
          </cell>
          <cell r="M260">
            <v>1573.38653568</v>
          </cell>
          <cell r="N260">
            <v>1570.18681109</v>
          </cell>
        </row>
        <row r="261">
          <cell r="A261" t="str">
            <v>T672O</v>
          </cell>
          <cell r="B261" t="str">
            <v>T672OARS</v>
          </cell>
          <cell r="C261" t="str">
            <v>ON Tier 2 - Tasa Fija USD Ley Argentina ON Pesos</v>
          </cell>
          <cell r="D261">
            <v>128.87822322678244</v>
          </cell>
          <cell r="E261">
            <v>1561.4803315900001</v>
          </cell>
          <cell r="F261">
            <v>1557.1164236899999</v>
          </cell>
          <cell r="G261">
            <v>1556.3901340499999</v>
          </cell>
          <cell r="H261">
            <v>1562.0222529299999</v>
          </cell>
          <cell r="I261">
            <v>1552.22668015</v>
          </cell>
          <cell r="J261">
            <v>1556.63236155</v>
          </cell>
          <cell r="K261">
            <v>1555.4193542800001</v>
          </cell>
          <cell r="L261">
            <v>1551.6059846400001</v>
          </cell>
          <cell r="M261">
            <v>1551.6063739000001</v>
          </cell>
          <cell r="N261">
            <v>1540.1068363300001</v>
          </cell>
        </row>
        <row r="262">
          <cell r="A262" t="str">
            <v>CS48O</v>
          </cell>
          <cell r="B262" t="str">
            <v>CS48OARS</v>
          </cell>
          <cell r="C262" t="str">
            <v>ON Tier 1 - Tasa Fija USD Ley Argentina ON Pesos</v>
          </cell>
          <cell r="D262">
            <v>595.04663949397582</v>
          </cell>
          <cell r="E262">
            <v>1669.7825632300001</v>
          </cell>
          <cell r="F262">
            <v>1643.18606608</v>
          </cell>
          <cell r="G262">
            <v>1638.3029377800001</v>
          </cell>
          <cell r="H262">
            <v>1636.7164423900001</v>
          </cell>
          <cell r="I262">
            <v>1633.4700242700001</v>
          </cell>
          <cell r="J262">
            <v>1638.0004776400001</v>
          </cell>
          <cell r="K262">
            <v>1642.5717865399999</v>
          </cell>
          <cell r="L262">
            <v>1631.7964967099999</v>
          </cell>
          <cell r="M262">
            <v>1644.2466402699999</v>
          </cell>
          <cell r="N262">
            <v>1634.51918596</v>
          </cell>
        </row>
        <row r="263">
          <cell r="A263" t="str">
            <v>CS47O</v>
          </cell>
          <cell r="B263" t="str">
            <v>CS47OARS</v>
          </cell>
          <cell r="C263" t="str">
            <v>ON Tier 1 - Tasa Fija USD Ley Argentina ON Pesos</v>
          </cell>
          <cell r="D263">
            <v>703.37874916886551</v>
          </cell>
          <cell r="E263">
            <v>1658.7572551400001</v>
          </cell>
          <cell r="F263">
            <v>1631.8646662000001</v>
          </cell>
          <cell r="G263">
            <v>1624.7038505400001</v>
          </cell>
          <cell r="H263">
            <v>1618.6653146599999</v>
          </cell>
          <cell r="I263">
            <v>1617.7806622400001</v>
          </cell>
          <cell r="J263">
            <v>1622.3781504999999</v>
          </cell>
          <cell r="K263">
            <v>1629.411247</v>
          </cell>
          <cell r="L263">
            <v>1618.65256905</v>
          </cell>
          <cell r="M263">
            <v>1631.4691969099999</v>
          </cell>
          <cell r="N263">
            <v>1625.4393666999999</v>
          </cell>
        </row>
        <row r="264">
          <cell r="A264" t="str">
            <v>ZZC1O</v>
          </cell>
          <cell r="B264" t="str">
            <v>ZZC1OARS</v>
          </cell>
          <cell r="C264" t="str">
            <v>ON Tier 2 - Tasa Fija USD Ley Argentina ON Pesos</v>
          </cell>
          <cell r="D264">
            <v>129.99999999999861</v>
          </cell>
          <cell r="E264">
            <v>1584.22705802</v>
          </cell>
          <cell r="F264">
            <v>1579.77258418</v>
          </cell>
          <cell r="G264">
            <v>1579.10415893</v>
          </cell>
          <cell r="H264">
            <v>1584.8381204</v>
          </cell>
          <cell r="I264">
            <v>1574.83649788</v>
          </cell>
          <cell r="J264">
            <v>1579.34107395</v>
          </cell>
          <cell r="K264">
            <v>1578.0953824000001</v>
          </cell>
          <cell r="L264">
            <v>1574.1928343500001</v>
          </cell>
          <cell r="M264">
            <v>1574.23095754</v>
          </cell>
          <cell r="N264">
            <v>1562.49443148</v>
          </cell>
        </row>
        <row r="265">
          <cell r="A265" t="str">
            <v>BVCUO</v>
          </cell>
          <cell r="B265" t="str">
            <v>BVCUOARS</v>
          </cell>
          <cell r="C265" t="str">
            <v>ON Tier 3 - Tasa Fija USD Ley Argentina ON Pesos</v>
          </cell>
          <cell r="D265">
            <v>199.97335620603224</v>
          </cell>
          <cell r="E265">
            <v>1548.4795726499999</v>
          </cell>
          <cell r="F265">
            <v>1541.2328789799999</v>
          </cell>
          <cell r="G265">
            <v>1542.4767875099999</v>
          </cell>
          <cell r="H265">
            <v>1548.5257720499999</v>
          </cell>
          <cell r="I265">
            <v>1535.5025552899999</v>
          </cell>
          <cell r="J265">
            <v>1541.9034042999999</v>
          </cell>
          <cell r="K265">
            <v>1540.39297364</v>
          </cell>
          <cell r="L265">
            <v>1534.9628493299999</v>
          </cell>
          <cell r="M265">
            <v>1537.41154106</v>
          </cell>
          <cell r="N265">
            <v>1523.77808181</v>
          </cell>
        </row>
        <row r="266">
          <cell r="A266" t="str">
            <v>JNC6O</v>
          </cell>
          <cell r="B266" t="str">
            <v>JNC6OARS</v>
          </cell>
          <cell r="C266" t="str">
            <v>ON Tier 3 - Tasa Fija USD Ley Argentina ON Pesos</v>
          </cell>
          <cell r="D266">
            <v>346.23252824607908</v>
          </cell>
          <cell r="E266">
            <v>1660.33916316</v>
          </cell>
          <cell r="F266">
            <v>1575.0394042299999</v>
          </cell>
          <cell r="G266">
            <v>1576.21888014</v>
          </cell>
          <cell r="H266">
            <v>1581.4036267399999</v>
          </cell>
          <cell r="I266">
            <v>1562.3470036799999</v>
          </cell>
          <cell r="J266">
            <v>1572.67948787</v>
          </cell>
          <cell r="K266">
            <v>1571.0483220599999</v>
          </cell>
          <cell r="L266">
            <v>1562.8571523799999</v>
          </cell>
          <cell r="M266">
            <v>1570.0112305</v>
          </cell>
          <cell r="N266">
            <v>1555.1862982600001</v>
          </cell>
        </row>
        <row r="267">
          <cell r="A267" t="str">
            <v>HVS1O</v>
          </cell>
          <cell r="B267" t="str">
            <v>HVS1OARS</v>
          </cell>
          <cell r="C267" t="str">
            <v>ON Tier 3 - Tasa Fija USD Ley Argentina ON Pesos</v>
          </cell>
          <cell r="D267">
            <v>594.42736901395199</v>
          </cell>
          <cell r="E267">
            <v>1630.0334043299999</v>
          </cell>
          <cell r="F267">
            <v>1604.85789264</v>
          </cell>
          <cell r="G267">
            <v>1600.1499308699999</v>
          </cell>
          <cell r="H267">
            <v>1598.8688047099999</v>
          </cell>
          <cell r="I267">
            <v>1539.70190164</v>
          </cell>
          <cell r="J267">
            <v>1555.3921494900001</v>
          </cell>
          <cell r="K267">
            <v>1555.9700282599999</v>
          </cell>
          <cell r="L267">
            <v>1545.8633847900001</v>
          </cell>
          <cell r="M267">
            <v>1557.805728</v>
          </cell>
          <cell r="N267">
            <v>1548.60914583</v>
          </cell>
        </row>
        <row r="269">
          <cell r="A269" t="str">
            <v>Obligaciones Negociables Hard USD - Ley Extranjera</v>
          </cell>
          <cell r="C269">
            <v>0</v>
          </cell>
          <cell r="D269">
            <v>0</v>
          </cell>
        </row>
        <row r="271">
          <cell r="A271" t="str">
            <v>PNDCD</v>
          </cell>
          <cell r="B271" t="str">
            <v>PNDCDUSM</v>
          </cell>
          <cell r="C271" t="str">
            <v>ON Tier 1 - Tasa Fija USD Ley Extranjera ON</v>
          </cell>
          <cell r="D271">
            <v>104.87180242906405</v>
          </cell>
          <cell r="E271">
            <v>0.43057962</v>
          </cell>
          <cell r="F271">
            <v>0.43079339999999999</v>
          </cell>
          <cell r="G271">
            <v>0.43039648000000003</v>
          </cell>
          <cell r="H271">
            <v>0.43064734999999998</v>
          </cell>
          <cell r="I271">
            <v>0.43072081000000001</v>
          </cell>
          <cell r="J271">
            <v>0.43113478999999999</v>
          </cell>
          <cell r="K271">
            <v>0.43099886999999998</v>
          </cell>
          <cell r="L271">
            <v>0.43084436999999998</v>
          </cell>
          <cell r="M271">
            <v>0.43164021000000002</v>
          </cell>
          <cell r="N271">
            <v>0.43170298000000001</v>
          </cell>
        </row>
        <row r="272">
          <cell r="A272" t="str">
            <v>YCAMD</v>
          </cell>
          <cell r="B272" t="str">
            <v>YCAMDUSM</v>
          </cell>
          <cell r="C272" t="str">
            <v>ON Tier 1 - Tasa Fija USD Ley Extranjera ON</v>
          </cell>
          <cell r="D272">
            <v>273.17418470219133</v>
          </cell>
          <cell r="E272">
            <v>1.07503807</v>
          </cell>
          <cell r="F272">
            <v>1.0768749500000001</v>
          </cell>
          <cell r="G272">
            <v>1.0748651499999999</v>
          </cell>
          <cell r="H272">
            <v>1.0765618100000001</v>
          </cell>
          <cell r="I272">
            <v>1.0771994899999999</v>
          </cell>
          <cell r="J272">
            <v>1.0797998099999999</v>
          </cell>
          <cell r="K272">
            <v>1.08003118</v>
          </cell>
          <cell r="L272">
            <v>1.0793749699999999</v>
          </cell>
          <cell r="M272">
            <v>1.08439069</v>
          </cell>
          <cell r="N272">
            <v>1.0851238000000001</v>
          </cell>
        </row>
        <row r="273">
          <cell r="A273" t="str">
            <v>YMCID</v>
          </cell>
          <cell r="B273" t="str">
            <v>YMCICUSC</v>
          </cell>
          <cell r="C273" t="str">
            <v>ON Tier 1 - Tasa Fija USD Ley Extranjera ON</v>
          </cell>
          <cell r="D273">
            <v>506.18422303035379</v>
          </cell>
          <cell r="E273">
            <v>0.94788333999999996</v>
          </cell>
          <cell r="F273">
            <v>0.94382655999999998</v>
          </cell>
          <cell r="G273">
            <v>0.94779880000000005</v>
          </cell>
          <cell r="H273">
            <v>0.93765714</v>
          </cell>
          <cell r="I273">
            <v>0.94502184</v>
          </cell>
          <cell r="J273">
            <v>0.95358843000000004</v>
          </cell>
          <cell r="K273">
            <v>0.95394294000000002</v>
          </cell>
          <cell r="L273">
            <v>0.95326432000000005</v>
          </cell>
          <cell r="M273">
            <v>0.95414409</v>
          </cell>
          <cell r="N273">
            <v>0.96196649000000001</v>
          </cell>
        </row>
        <row r="274">
          <cell r="A274" t="str">
            <v>AER4D</v>
          </cell>
          <cell r="B274" t="str">
            <v>AER4DUSM</v>
          </cell>
          <cell r="C274" t="str">
            <v>ON Tier 1 - Tasa Fija USD Ley Extranjera ON</v>
          </cell>
          <cell r="D274">
            <v>503.788487898124</v>
          </cell>
          <cell r="E274">
            <v>0.76529959000000003</v>
          </cell>
          <cell r="F274">
            <v>0.76705151999999999</v>
          </cell>
          <cell r="G274">
            <v>0.76524217999999999</v>
          </cell>
          <cell r="H274">
            <v>0.76705263000000001</v>
          </cell>
          <cell r="I274">
            <v>0.76763658999999995</v>
          </cell>
          <cell r="J274">
            <v>0.77007181000000002</v>
          </cell>
          <cell r="K274">
            <v>0.77038994000000005</v>
          </cell>
          <cell r="L274">
            <v>0.76981931000000003</v>
          </cell>
          <cell r="M274">
            <v>0.77459822</v>
          </cell>
          <cell r="N274">
            <v>0.77552712999999995</v>
          </cell>
        </row>
        <row r="275">
          <cell r="A275" t="str">
            <v>YMCUD</v>
          </cell>
          <cell r="B275" t="str">
            <v>YMCUDUSM</v>
          </cell>
          <cell r="C275" t="str">
            <v>ON Tier 1 - Tasa Fija USD Ley Extranjera ON</v>
          </cell>
          <cell r="D275">
            <v>752.42735046702558</v>
          </cell>
          <cell r="E275">
            <v>1.00402499</v>
          </cell>
          <cell r="F275">
            <v>1.00648195</v>
          </cell>
          <cell r="G275">
            <v>1.00401118</v>
          </cell>
          <cell r="H275">
            <v>1.00696154</v>
          </cell>
          <cell r="I275">
            <v>1.00774491</v>
          </cell>
          <cell r="J275">
            <v>1.01126267</v>
          </cell>
          <cell r="K275">
            <v>1.0117200399999999</v>
          </cell>
          <cell r="L275">
            <v>1.01100031</v>
          </cell>
          <cell r="M275">
            <v>1.0179880699999999</v>
          </cell>
          <cell r="N275">
            <v>1.0196289700000001</v>
          </cell>
        </row>
        <row r="276">
          <cell r="A276" t="str">
            <v>BYCHD</v>
          </cell>
          <cell r="B276" t="str">
            <v>BYCHDUSM</v>
          </cell>
          <cell r="C276" t="str">
            <v>ON Tier 1 - Tasa Fija USD Ley Extranjera ON</v>
          </cell>
          <cell r="D276">
            <v>688.1061055472145</v>
          </cell>
          <cell r="E276">
            <v>1.1128201900000001</v>
          </cell>
          <cell r="F276">
            <v>1.1160159300000001</v>
          </cell>
          <cell r="G276">
            <v>1.1128526999999999</v>
          </cell>
          <cell r="H276">
            <v>1.1162198999999999</v>
          </cell>
          <cell r="I276">
            <v>1.1172740000000001</v>
          </cell>
          <cell r="J276">
            <v>1.1001094600000001</v>
          </cell>
          <cell r="K276">
            <v>1.08359951</v>
          </cell>
          <cell r="L276">
            <v>1.0826337399999999</v>
          </cell>
          <cell r="M276">
            <v>1.0912477937510801</v>
          </cell>
          <cell r="N276">
            <v>1.0930719652215399</v>
          </cell>
        </row>
        <row r="277">
          <cell r="A277" t="str">
            <v>YMC1D</v>
          </cell>
          <cell r="B277" t="str">
            <v>YMC1CUSC</v>
          </cell>
          <cell r="C277" t="str">
            <v>ON Tier 1 - Tasa Fija USD Ley Extranjera ON</v>
          </cell>
          <cell r="D277">
            <v>886.62428827711733</v>
          </cell>
          <cell r="E277">
            <v>1.1056076100000001</v>
          </cell>
          <cell r="F277">
            <v>1.1089559099999999</v>
          </cell>
          <cell r="G277">
            <v>1.1056827600000001</v>
          </cell>
          <cell r="H277">
            <v>1.10963429</v>
          </cell>
          <cell r="I277">
            <v>1.1106999399999999</v>
          </cell>
          <cell r="J277">
            <v>1.11537017</v>
          </cell>
          <cell r="K277">
            <v>1.1161095299999999</v>
          </cell>
          <cell r="L277">
            <v>1.1151493100000001</v>
          </cell>
          <cell r="M277">
            <v>1.1244573099999999</v>
          </cell>
          <cell r="N277">
            <v>1.1267161299999999</v>
          </cell>
        </row>
        <row r="278">
          <cell r="A278" t="str">
            <v>ARC1D</v>
          </cell>
          <cell r="B278" t="str">
            <v>ARC1DUSM</v>
          </cell>
          <cell r="C278" t="str">
            <v>ON Tier 1 - Tasa Fija USD Ley Extranjera ON</v>
          </cell>
          <cell r="D278">
            <v>911.22553864446547</v>
          </cell>
          <cell r="E278">
            <v>1.06359541</v>
          </cell>
          <cell r="F278">
            <v>1.0663430899999999</v>
          </cell>
          <cell r="G278">
            <v>1.0636326700000001</v>
          </cell>
          <cell r="H278">
            <v>1.0671877700000001</v>
          </cell>
          <cell r="I278">
            <v>1.0680417799999999</v>
          </cell>
          <cell r="J278">
            <v>1.0720358400000001</v>
          </cell>
          <cell r="K278">
            <v>1.07256431</v>
          </cell>
          <cell r="L278">
            <v>1.0718163199999999</v>
          </cell>
          <cell r="M278">
            <v>1.0798014300000001</v>
          </cell>
          <cell r="N278">
            <v>1.08184904</v>
          </cell>
        </row>
        <row r="279">
          <cell r="A279" t="str">
            <v>TTCDD</v>
          </cell>
          <cell r="B279" t="str">
            <v>TTCDDUSM</v>
          </cell>
          <cell r="C279" t="str">
            <v>ON Tier 1 - Tasa Fija USD Ley Extranjera ON</v>
          </cell>
          <cell r="D279">
            <v>1266.0248539034844</v>
          </cell>
          <cell r="E279">
            <v>1.07980225</v>
          </cell>
          <cell r="F279">
            <v>1.07908044</v>
          </cell>
          <cell r="G279">
            <v>1.0804749199999999</v>
          </cell>
          <cell r="H279">
            <v>1.0877171800000001</v>
          </cell>
          <cell r="I279">
            <v>1.08719162</v>
          </cell>
          <cell r="J279">
            <v>1.08600257</v>
          </cell>
          <cell r="K279">
            <v>1.0859527499999999</v>
          </cell>
          <cell r="L279">
            <v>1.0885</v>
          </cell>
          <cell r="M279">
            <v>1.0900512</v>
          </cell>
          <cell r="N279">
            <v>1.0935317899999999</v>
          </cell>
        </row>
        <row r="280">
          <cell r="A280" t="str">
            <v>YMCXD</v>
          </cell>
          <cell r="B280" t="str">
            <v>YMCXDUSM</v>
          </cell>
          <cell r="C280" t="str">
            <v>ON Tier 1 - Tasa Fija USD Ley Extranjera ON</v>
          </cell>
          <cell r="D280">
            <v>1343.0184098373177</v>
          </cell>
          <cell r="E280">
            <v>1.0848704899999999</v>
          </cell>
          <cell r="F280">
            <v>1.0829392499999999</v>
          </cell>
          <cell r="G280">
            <v>1.0803037799999999</v>
          </cell>
          <cell r="H280">
            <v>1.0825350199999999</v>
          </cell>
          <cell r="I280">
            <v>1.0800758399999999</v>
          </cell>
          <cell r="J280">
            <v>1.08540773</v>
          </cell>
          <cell r="K280">
            <v>1.0864257100000001</v>
          </cell>
          <cell r="L280">
            <v>1.0868810600000001</v>
          </cell>
          <cell r="M280">
            <v>1.0890453</v>
          </cell>
          <cell r="N280">
            <v>1.0906684200000001</v>
          </cell>
        </row>
        <row r="281">
          <cell r="A281" t="str">
            <v>PNXCD</v>
          </cell>
          <cell r="B281" t="str">
            <v>PNXCDUSM</v>
          </cell>
          <cell r="C281" t="str">
            <v>ON Tier 1 - Tasa Fija USD Ley Extranjera ON</v>
          </cell>
          <cell r="D281">
            <v>1368.3924420830499</v>
          </cell>
          <cell r="E281">
            <v>1.13060614</v>
          </cell>
          <cell r="F281">
            <v>1.1012413000000001</v>
          </cell>
          <cell r="G281">
            <v>1.0986557100000001</v>
          </cell>
          <cell r="H281">
            <v>1.1033381799999999</v>
          </cell>
          <cell r="I281">
            <v>1.10410605</v>
          </cell>
          <cell r="J281">
            <v>1.1084886300000001</v>
          </cell>
          <cell r="K281">
            <v>1.1089723300000001</v>
          </cell>
          <cell r="L281">
            <v>1.1084459099999999</v>
          </cell>
          <cell r="M281">
            <v>1.11737555</v>
          </cell>
          <cell r="N281">
            <v>1.1202698900000001</v>
          </cell>
        </row>
        <row r="282">
          <cell r="A282" t="str">
            <v>PLC5D</v>
          </cell>
          <cell r="B282" t="str">
            <v>PLC5DUSM</v>
          </cell>
          <cell r="C282" t="str">
            <v>ON Tier 1 - Tasa Fija USD Ley Extranjera ON</v>
          </cell>
          <cell r="D282">
            <v>1398.8140757603048</v>
          </cell>
          <cell r="E282">
            <v>1.0818354400000001</v>
          </cell>
          <cell r="F282">
            <v>1.08195051</v>
          </cell>
          <cell r="G282">
            <v>1.0830703100000001</v>
          </cell>
          <cell r="H282">
            <v>1.0842600099999999</v>
          </cell>
          <cell r="I282">
            <v>1.08153996</v>
          </cell>
          <cell r="J282">
            <v>1.08424305</v>
          </cell>
          <cell r="K282">
            <v>1.0860360600000001</v>
          </cell>
          <cell r="L282">
            <v>1.09001697</v>
          </cell>
          <cell r="M282">
            <v>1.0946808400000001</v>
          </cell>
          <cell r="N282">
            <v>1.0975870999999999</v>
          </cell>
        </row>
        <row r="283">
          <cell r="A283" t="str">
            <v>TSC3D</v>
          </cell>
          <cell r="B283" t="str">
            <v>TSC3CUSC</v>
          </cell>
          <cell r="C283" t="str">
            <v>ON Tier 1 - Tasa Fija USD Ley Extranjera ON</v>
          </cell>
          <cell r="D283">
            <v>1455.9283445268186</v>
          </cell>
          <cell r="E283">
            <v>1.0945</v>
          </cell>
          <cell r="F283">
            <v>1.07820738</v>
          </cell>
          <cell r="G283">
            <v>1.07571146</v>
          </cell>
          <cell r="H283">
            <v>1.0804950799999999</v>
          </cell>
          <cell r="I283">
            <v>1.0812279600000001</v>
          </cell>
          <cell r="J283">
            <v>1.1085</v>
          </cell>
          <cell r="K283">
            <v>1.0860431399999999</v>
          </cell>
          <cell r="L283">
            <v>1.085574</v>
          </cell>
          <cell r="M283">
            <v>1.09446431</v>
          </cell>
          <cell r="N283">
            <v>1.09744953</v>
          </cell>
        </row>
        <row r="284">
          <cell r="A284" t="str">
            <v>YFCJD</v>
          </cell>
          <cell r="B284" t="str">
            <v>YFCJDUSM</v>
          </cell>
          <cell r="C284" t="str">
            <v>ON Tier 1 - Tasa Fija USD Ley Extranjera ON</v>
          </cell>
          <cell r="D284">
            <v>1495.8933156122844</v>
          </cell>
          <cell r="E284">
            <v>1.07142794</v>
          </cell>
          <cell r="F284">
            <v>1.07059989</v>
          </cell>
          <cell r="G284">
            <v>1.06832141</v>
          </cell>
          <cell r="H284">
            <v>1.07304556</v>
          </cell>
          <cell r="I284">
            <v>1.0800075200000001</v>
          </cell>
          <cell r="J284">
            <v>1.07785551</v>
          </cell>
          <cell r="K284">
            <v>1.08000217</v>
          </cell>
          <cell r="L284">
            <v>1.08450118</v>
          </cell>
          <cell r="M284">
            <v>1.0864000300000001</v>
          </cell>
          <cell r="N284">
            <v>1.04998645</v>
          </cell>
        </row>
        <row r="285">
          <cell r="A285" t="str">
            <v>MGCMD</v>
          </cell>
          <cell r="B285" t="str">
            <v>MGCMDUSM</v>
          </cell>
          <cell r="C285" t="str">
            <v>ON Tier 1 - Tasa Fija USD Ley Extranjera ON</v>
          </cell>
          <cell r="D285">
            <v>1515.5396847911268</v>
          </cell>
          <cell r="E285">
            <v>1.0589999999999999</v>
          </cell>
          <cell r="F285">
            <v>1.0650404600000001</v>
          </cell>
          <cell r="G285">
            <v>1.03980527</v>
          </cell>
          <cell r="H285">
            <v>1.0445403799999999</v>
          </cell>
          <cell r="I285">
            <v>1.04522797</v>
          </cell>
          <cell r="J285">
            <v>1.0725</v>
          </cell>
          <cell r="K285">
            <v>1.0814249499999999</v>
          </cell>
          <cell r="L285">
            <v>1.0917025899999999</v>
          </cell>
          <cell r="M285">
            <v>1.0825</v>
          </cell>
          <cell r="N285">
            <v>1.06108117</v>
          </cell>
        </row>
        <row r="286">
          <cell r="A286" t="str">
            <v>TTCAD</v>
          </cell>
          <cell r="B286" t="str">
            <v>TTCADUSM</v>
          </cell>
          <cell r="C286" t="str">
            <v>ON Tier 1 - Tasa Fija USD Ley Extranjera ON</v>
          </cell>
          <cell r="D286">
            <v>1599.0597200103896</v>
          </cell>
          <cell r="E286">
            <v>1.04852463</v>
          </cell>
          <cell r="F286">
            <v>1.0496383199999999</v>
          </cell>
          <cell r="G286">
            <v>1.0332718299999999</v>
          </cell>
          <cell r="H286">
            <v>1.0449999999999999</v>
          </cell>
          <cell r="I286">
            <v>1.0472302099999999</v>
          </cell>
          <cell r="J286">
            <v>1.0500576500000001</v>
          </cell>
          <cell r="K286">
            <v>1.04305099</v>
          </cell>
          <cell r="L286">
            <v>1.04833964</v>
          </cell>
          <cell r="M286">
            <v>1.05109439</v>
          </cell>
          <cell r="N286">
            <v>1.0549999999999999</v>
          </cell>
        </row>
        <row r="287">
          <cell r="A287" t="str">
            <v>PLC4D</v>
          </cell>
          <cell r="B287" t="str">
            <v>PLC4DUSM</v>
          </cell>
          <cell r="C287" t="str">
            <v>ON Tier 1 - Tasa Fija USD Ley Extranjera ON</v>
          </cell>
          <cell r="D287">
            <v>1642.6559730328825</v>
          </cell>
          <cell r="E287">
            <v>1.0817199099999999</v>
          </cell>
          <cell r="F287">
            <v>1.0909373499999999</v>
          </cell>
          <cell r="G287">
            <v>1.0905</v>
          </cell>
          <cell r="H287">
            <v>1.0909203300000001</v>
          </cell>
          <cell r="I287">
            <v>1.0944942200000001</v>
          </cell>
          <cell r="J287">
            <v>1.0971138899999999</v>
          </cell>
          <cell r="K287">
            <v>1.09553441</v>
          </cell>
          <cell r="L287">
            <v>1.10598888</v>
          </cell>
          <cell r="M287">
            <v>1.10145662</v>
          </cell>
          <cell r="N287">
            <v>1.10597477</v>
          </cell>
        </row>
        <row r="288">
          <cell r="A288" t="str">
            <v>VSCVD</v>
          </cell>
          <cell r="B288" t="str">
            <v>VSCVDUSM</v>
          </cell>
          <cell r="C288" t="str">
            <v>ON Tier 1 - Tasa Fija USD Ley Extranjera ON</v>
          </cell>
          <cell r="D288">
            <v>1651.0694684536556</v>
          </cell>
          <cell r="E288">
            <v>1.0974999999999999</v>
          </cell>
          <cell r="F288">
            <v>1.1037914200000001</v>
          </cell>
          <cell r="G288">
            <v>1.10845766</v>
          </cell>
          <cell r="H288">
            <v>1.10596129</v>
          </cell>
          <cell r="I288">
            <v>1.1074784200000001</v>
          </cell>
          <cell r="J288">
            <v>1.1093973399999999</v>
          </cell>
          <cell r="K288">
            <v>1.10941227</v>
          </cell>
          <cell r="L288">
            <v>1.10997543</v>
          </cell>
          <cell r="M288">
            <v>1.10985983</v>
          </cell>
          <cell r="N288">
            <v>1.11698634</v>
          </cell>
        </row>
        <row r="289">
          <cell r="A289" t="str">
            <v>YM34D</v>
          </cell>
          <cell r="B289" t="str">
            <v>YMCICUSC</v>
          </cell>
          <cell r="C289" t="str">
            <v>ON Tier 1 - Tasa Fija USD Ley Extranjera ON</v>
          </cell>
          <cell r="D289">
            <v>1830.2528988865583</v>
          </cell>
          <cell r="E289">
            <v>1.0625699500000001</v>
          </cell>
          <cell r="F289">
            <v>1.0623716299999999</v>
          </cell>
          <cell r="G289">
            <v>1.0688041399999999</v>
          </cell>
          <cell r="H289">
            <v>1.0660977700000001</v>
          </cell>
          <cell r="I289">
            <v>1.0679434400000001</v>
          </cell>
          <cell r="J289">
            <v>1.0734451599999999</v>
          </cell>
          <cell r="K289">
            <v>1.08178675</v>
          </cell>
          <cell r="L289">
            <v>1.07740013</v>
          </cell>
          <cell r="M289">
            <v>1.0809056500000001</v>
          </cell>
          <cell r="N289">
            <v>1.08691721</v>
          </cell>
        </row>
        <row r="290">
          <cell r="A290" t="str">
            <v>YMCJD</v>
          </cell>
          <cell r="B290" t="str">
            <v>YMCJDUSM</v>
          </cell>
          <cell r="C290" t="str">
            <v>YMCJO - Z-Spread NY</v>
          </cell>
          <cell r="D290">
            <v>1920.3459166218349</v>
          </cell>
          <cell r="E290">
            <v>1.00345127</v>
          </cell>
          <cell r="F290">
            <v>1.0100151100000001</v>
          </cell>
          <cell r="G290">
            <v>1.01404151</v>
          </cell>
          <cell r="H290">
            <v>1.01162847</v>
          </cell>
          <cell r="I290">
            <v>1.00857138</v>
          </cell>
          <cell r="J290">
            <v>1.01252601</v>
          </cell>
          <cell r="K290">
            <v>1.01312208</v>
          </cell>
          <cell r="L290">
            <v>1.0146640600000001</v>
          </cell>
          <cell r="M290">
            <v>1.0157951300000001</v>
          </cell>
          <cell r="N290">
            <v>1.02360344</v>
          </cell>
        </row>
        <row r="291">
          <cell r="A291" t="str">
            <v>CAC5D</v>
          </cell>
          <cell r="B291" t="str">
            <v>CAC5DUSM</v>
          </cell>
          <cell r="C291" t="str">
            <v>ON Tier 2 - Tasa Fija USD Ley Extranjera ON</v>
          </cell>
          <cell r="D291">
            <v>395.35807915881799</v>
          </cell>
          <cell r="E291">
            <v>0.54447988000000003</v>
          </cell>
          <cell r="F291">
            <v>0.54550215000000002</v>
          </cell>
          <cell r="G291">
            <v>0.54425330999999999</v>
          </cell>
          <cell r="H291">
            <v>0.54499101000000005</v>
          </cell>
          <cell r="I291">
            <v>0.54543483000000004</v>
          </cell>
          <cell r="J291">
            <v>0.54681601999999996</v>
          </cell>
          <cell r="K291">
            <v>0.54692094000000002</v>
          </cell>
          <cell r="L291">
            <v>0.54661514</v>
          </cell>
          <cell r="M291">
            <v>0.54959164999999999</v>
          </cell>
          <cell r="N291">
            <v>0.55012819999999996</v>
          </cell>
        </row>
        <row r="292">
          <cell r="A292" t="str">
            <v>TLCMD</v>
          </cell>
          <cell r="B292" t="str">
            <v>TLCMDUSM</v>
          </cell>
          <cell r="C292" t="str">
            <v>ON Tier 2 - Tasa Fija USD Ley Extranjera ON</v>
          </cell>
          <cell r="D292">
            <v>1172.3555810661173</v>
          </cell>
          <cell r="E292">
            <v>1.0977331299999999</v>
          </cell>
          <cell r="F292">
            <v>1.09611803</v>
          </cell>
          <cell r="G292">
            <v>1.09882765</v>
          </cell>
          <cell r="H292">
            <v>1.1000073500000001</v>
          </cell>
          <cell r="I292">
            <v>1.1054717599999999</v>
          </cell>
          <cell r="J292">
            <v>1.1112585500000001</v>
          </cell>
          <cell r="K292">
            <v>1.1157946999999999</v>
          </cell>
          <cell r="L292">
            <v>1.12282159</v>
          </cell>
          <cell r="M292">
            <v>1.12294355</v>
          </cell>
          <cell r="N292">
            <v>1.12747284</v>
          </cell>
        </row>
        <row r="293">
          <cell r="A293" t="str">
            <v>TLCPD</v>
          </cell>
          <cell r="B293" t="str">
            <v>TLCMDUSM</v>
          </cell>
          <cell r="C293" t="str">
            <v>ON Tier 2 - Tasa Fija USD Ley Extranjera ON</v>
          </cell>
          <cell r="D293">
            <v>1712.257474134507</v>
          </cell>
          <cell r="E293">
            <v>1.09914179</v>
          </cell>
          <cell r="F293">
            <v>1.11409168</v>
          </cell>
          <cell r="G293">
            <v>1.10221327</v>
          </cell>
          <cell r="H293">
            <v>1.1034559100000001</v>
          </cell>
          <cell r="I293">
            <v>1.1049521600000001</v>
          </cell>
          <cell r="J293">
            <v>1.1079307300000001</v>
          </cell>
          <cell r="K293">
            <v>1.10971091</v>
          </cell>
          <cell r="L293">
            <v>1.10850268</v>
          </cell>
          <cell r="M293">
            <v>1.11700822</v>
          </cell>
          <cell r="N293">
            <v>1.1201880799999999</v>
          </cell>
        </row>
        <row r="294">
          <cell r="A294" t="str">
            <v>AEC2D</v>
          </cell>
          <cell r="B294" t="str">
            <v>AEC2DUSM</v>
          </cell>
          <cell r="C294" t="str">
            <v>ON Tier 3 - Tasa Fija USD Ley Extranjera ON</v>
          </cell>
          <cell r="D294">
            <v>225.8922159540013</v>
          </cell>
          <cell r="E294">
            <v>0.52962982000000003</v>
          </cell>
          <cell r="F294">
            <v>0.53056247000000001</v>
          </cell>
          <cell r="G294">
            <v>0.5296265</v>
          </cell>
          <cell r="H294">
            <v>0.53048466999999999</v>
          </cell>
          <cell r="I294">
            <v>0.53089984000000001</v>
          </cell>
          <cell r="J294">
            <v>0.53194775999999999</v>
          </cell>
          <cell r="K294">
            <v>0.53200855999999996</v>
          </cell>
          <cell r="L294">
            <v>0.53172193000000001</v>
          </cell>
          <cell r="M294">
            <v>0.53377374</v>
          </cell>
          <cell r="N294">
            <v>0.53396489000000003</v>
          </cell>
        </row>
        <row r="297">
          <cell r="A297" t="str">
            <v>PNDCO</v>
          </cell>
          <cell r="B297" t="str">
            <v>PNDCOARS</v>
          </cell>
          <cell r="C297" t="str">
            <v>ON Tier 1 - Tasa Fija USD Ley Extranjera ON Pesos</v>
          </cell>
          <cell r="D297">
            <v>102.47180281925395</v>
          </cell>
          <cell r="E297">
            <v>680.39961714000003</v>
          </cell>
          <cell r="F297">
            <v>680.74955977000002</v>
          </cell>
          <cell r="G297">
            <v>671.83958222000001</v>
          </cell>
          <cell r="H297">
            <v>674.60132973999998</v>
          </cell>
          <cell r="I297">
            <v>673.37737116999995</v>
          </cell>
          <cell r="J297">
            <v>675.06734539000001</v>
          </cell>
          <cell r="K297">
            <v>675.01872021999998</v>
          </cell>
          <cell r="L297">
            <v>674.47513164999998</v>
          </cell>
          <cell r="M297">
            <v>677.49887257</v>
          </cell>
          <cell r="N297">
            <v>677.50654621000001</v>
          </cell>
        </row>
        <row r="298">
          <cell r="A298" t="str">
            <v>YCAMO</v>
          </cell>
          <cell r="B298" t="str">
            <v>YCAMOARS</v>
          </cell>
          <cell r="C298" t="str">
            <v>ON Tier 1 - Tasa Fija USD Ley Extranjera ON Pesos</v>
          </cell>
          <cell r="D298">
            <v>272.91808567018097</v>
          </cell>
          <cell r="E298">
            <v>1651.0226603599999</v>
          </cell>
          <cell r="F298">
            <v>1651.82838666</v>
          </cell>
          <cell r="G298">
            <v>1626.42378676</v>
          </cell>
          <cell r="H298">
            <v>1635.4193837299999</v>
          </cell>
          <cell r="I298">
            <v>1630.4786718099999</v>
          </cell>
          <cell r="J298">
            <v>1634.9062748399999</v>
          </cell>
          <cell r="K298">
            <v>1634.5687270000001</v>
          </cell>
          <cell r="L298">
            <v>1633.73603619</v>
          </cell>
          <cell r="M298">
            <v>1641.03602925</v>
          </cell>
          <cell r="N298">
            <v>1641.0518640600001</v>
          </cell>
        </row>
        <row r="299">
          <cell r="A299" t="str">
            <v>YMCIO</v>
          </cell>
          <cell r="B299" t="str">
            <v>YMCIOARS</v>
          </cell>
          <cell r="C299" t="str">
            <v>ON Tier 1 - Tasa Fija USD Ley Extranjera ON Pesos</v>
          </cell>
          <cell r="D299">
            <v>493.33789521239106</v>
          </cell>
          <cell r="E299">
            <v>1464.8893294100001</v>
          </cell>
          <cell r="F299">
            <v>1456.41626339</v>
          </cell>
          <cell r="G299">
            <v>1437.0815654800001</v>
          </cell>
          <cell r="H299">
            <v>1454.4084709900001</v>
          </cell>
          <cell r="I299">
            <v>1443.3023758500001</v>
          </cell>
          <cell r="J299">
            <v>1447.4330007900001</v>
          </cell>
          <cell r="K299">
            <v>1447.29368899</v>
          </cell>
          <cell r="L299">
            <v>1462.8308891199999</v>
          </cell>
          <cell r="M299">
            <v>1468.58118848</v>
          </cell>
          <cell r="N299">
            <v>1479.9957526200001</v>
          </cell>
        </row>
        <row r="300">
          <cell r="A300" t="str">
            <v>AER4O</v>
          </cell>
          <cell r="B300" t="str">
            <v>AER4OARS</v>
          </cell>
          <cell r="C300" t="str">
            <v>ON Tier 1 - Tasa Fija USD Ley Extranjera ON Pesos</v>
          </cell>
          <cell r="D300">
            <v>494.22462518403273</v>
          </cell>
          <cell r="E300">
            <v>1174.0506389100001</v>
          </cell>
          <cell r="F300">
            <v>1174.6390451</v>
          </cell>
          <cell r="G300">
            <v>1157.77750197</v>
          </cell>
          <cell r="H300">
            <v>1164.9620601199999</v>
          </cell>
          <cell r="I300">
            <v>1162.83814723</v>
          </cell>
          <cell r="J300">
            <v>1166.17684304</v>
          </cell>
          <cell r="K300">
            <v>1166.03504213</v>
          </cell>
          <cell r="L300">
            <v>1165.6023578700001</v>
          </cell>
          <cell r="M300">
            <v>1170.81319816</v>
          </cell>
          <cell r="N300">
            <v>1170.89048258</v>
          </cell>
        </row>
        <row r="301">
          <cell r="A301" t="str">
            <v>YMCUO</v>
          </cell>
          <cell r="B301" t="str">
            <v>YMCUOARS</v>
          </cell>
          <cell r="C301" t="str">
            <v>ON Tier 1 - Tasa Fija USD Ley Extranjera ON Pesos</v>
          </cell>
          <cell r="D301">
            <v>733.69942903217543</v>
          </cell>
          <cell r="E301">
            <v>1541.93314033</v>
          </cell>
          <cell r="F301">
            <v>1538.12442255</v>
          </cell>
          <cell r="G301">
            <v>1543.41065622</v>
          </cell>
          <cell r="H301">
            <v>1549.1280845599999</v>
          </cell>
          <cell r="I301">
            <v>1531.9112584300001</v>
          </cell>
          <cell r="J301">
            <v>1537.5172099900001</v>
          </cell>
          <cell r="K301">
            <v>1537.8070823200001</v>
          </cell>
          <cell r="L301">
            <v>1542.4532736399999</v>
          </cell>
          <cell r="M301">
            <v>1541.58013951</v>
          </cell>
          <cell r="N301">
            <v>1540.2658062099999</v>
          </cell>
        </row>
        <row r="302">
          <cell r="A302" t="str">
            <v>BYCHO</v>
          </cell>
          <cell r="B302" t="str">
            <v>BYCHOARS</v>
          </cell>
          <cell r="C302" t="str">
            <v>ON Tier 1 - Tasa Fija USD Ley Extranjera ON Pesos</v>
          </cell>
          <cell r="D302">
            <v>686.34279567963642</v>
          </cell>
          <cell r="E302">
            <v>1695.9550425800001</v>
          </cell>
          <cell r="F302">
            <v>1696.80859736</v>
          </cell>
          <cell r="G302">
            <v>1672.6493298099999</v>
          </cell>
          <cell r="H302">
            <v>1684.19839484</v>
          </cell>
          <cell r="I302">
            <v>1681.87707383</v>
          </cell>
          <cell r="J302">
            <v>1686.9339341100001</v>
          </cell>
          <cell r="K302">
            <v>1624.30413942</v>
          </cell>
          <cell r="L302">
            <v>1623.9837661199999</v>
          </cell>
          <cell r="M302">
            <v>1631.2388888200001</v>
          </cell>
          <cell r="N302">
            <v>1631.4062638099999</v>
          </cell>
        </row>
        <row r="303">
          <cell r="A303" t="str">
            <v>YMC1O</v>
          </cell>
          <cell r="B303" t="str">
            <v>YMC1OARS</v>
          </cell>
          <cell r="C303" t="str">
            <v>ON Tier 1 - Tasa Fija USD Ley Extranjera ON Pesos</v>
          </cell>
          <cell r="D303">
            <v>881.98981900566162</v>
          </cell>
          <cell r="E303">
            <v>1694.75026538</v>
          </cell>
          <cell r="F303">
            <v>1695.63188713</v>
          </cell>
          <cell r="G303">
            <v>1674.2116785400001</v>
          </cell>
          <cell r="H303">
            <v>1686.1650163100001</v>
          </cell>
          <cell r="I303">
            <v>1685.9929542</v>
          </cell>
          <cell r="J303">
            <v>1691.26630542</v>
          </cell>
          <cell r="K303">
            <v>1691.4373983</v>
          </cell>
          <cell r="L303">
            <v>1691.08940319</v>
          </cell>
          <cell r="M303">
            <v>1698.6443021600001</v>
          </cell>
          <cell r="N303">
            <v>1698.9831938299999</v>
          </cell>
        </row>
        <row r="304">
          <cell r="A304" t="str">
            <v>ARC1O</v>
          </cell>
          <cell r="B304" t="str">
            <v>ARC1OARS</v>
          </cell>
          <cell r="C304" t="str">
            <v>ON Tier 1 - Tasa Fija USD Ley Extranjera ON Pesos</v>
          </cell>
          <cell r="D304">
            <v>893.80976687394332</v>
          </cell>
          <cell r="E304">
            <v>1640.1316963700001</v>
          </cell>
          <cell r="F304">
            <v>1640.98729377</v>
          </cell>
          <cell r="G304">
            <v>1621.0590653100001</v>
          </cell>
          <cell r="H304">
            <v>1631.84689157</v>
          </cell>
          <cell r="I304">
            <v>1631.5270549100001</v>
          </cell>
          <cell r="J304">
            <v>1623</v>
          </cell>
          <cell r="K304">
            <v>1636.9770566</v>
          </cell>
          <cell r="L304">
            <v>1615.1881081900001</v>
          </cell>
          <cell r="M304">
            <v>1632</v>
          </cell>
          <cell r="N304">
            <v>1644.1431799100001</v>
          </cell>
        </row>
        <row r="305">
          <cell r="A305" t="str">
            <v>TTCDO</v>
          </cell>
          <cell r="B305" t="str">
            <v>TTCDOARS</v>
          </cell>
          <cell r="C305" t="str">
            <v>ON Tier 1 - Tasa Fija USD Ley Extranjera ON Pesos</v>
          </cell>
          <cell r="D305">
            <v>1258.4186378114334</v>
          </cell>
          <cell r="E305">
            <v>1672.7786123599999</v>
          </cell>
          <cell r="F305">
            <v>1656.55402226</v>
          </cell>
          <cell r="G305">
            <v>1660.2758304500001</v>
          </cell>
          <cell r="H305">
            <v>1672.4631887200001</v>
          </cell>
          <cell r="I305">
            <v>1674.8915195899999</v>
          </cell>
          <cell r="J305">
            <v>1671.0297283499999</v>
          </cell>
          <cell r="K305">
            <v>1672.6</v>
          </cell>
          <cell r="L305">
            <v>1665.1080989500001</v>
          </cell>
          <cell r="M305">
            <v>1677.4569559700001</v>
          </cell>
          <cell r="N305">
            <v>1678.83908703</v>
          </cell>
        </row>
        <row r="306">
          <cell r="A306" t="str">
            <v>YMCXO</v>
          </cell>
          <cell r="B306" t="str">
            <v>YMCXOARS</v>
          </cell>
          <cell r="C306" t="str">
            <v>ON Tier 1 - Tasa Fija USD Ley Extranjera ON Pesos</v>
          </cell>
          <cell r="D306">
            <v>1333.2197358527576</v>
          </cell>
          <cell r="E306">
            <v>1683.17166129</v>
          </cell>
          <cell r="F306">
            <v>1690.0840693</v>
          </cell>
          <cell r="G306">
            <v>1664.72221178</v>
          </cell>
          <cell r="H306">
            <v>1669.5417463199999</v>
          </cell>
          <cell r="I306">
            <v>1668.7267848500001</v>
          </cell>
          <cell r="J306">
            <v>1674.0746520600001</v>
          </cell>
          <cell r="K306">
            <v>1672.3956407000001</v>
          </cell>
          <cell r="L306">
            <v>1665.31696182</v>
          </cell>
          <cell r="M306">
            <v>1667.95465175</v>
          </cell>
          <cell r="N306">
            <v>1670.9626485399999</v>
          </cell>
        </row>
        <row r="307">
          <cell r="A307" t="str">
            <v>PNXCO</v>
          </cell>
          <cell r="B307" t="str">
            <v>PNXCOARS</v>
          </cell>
          <cell r="C307" t="str">
            <v>ON Tier 1 - Tasa Fija USD Ley Extranjera ON Pesos</v>
          </cell>
          <cell r="D307">
            <v>1356.6671854792035</v>
          </cell>
          <cell r="E307">
            <v>1746.5783285699999</v>
          </cell>
          <cell r="F307">
            <v>1710.95051463</v>
          </cell>
          <cell r="G307">
            <v>1694.8222578499999</v>
          </cell>
          <cell r="H307">
            <v>1706.1870087</v>
          </cell>
          <cell r="I307">
            <v>1708.3488508400001</v>
          </cell>
          <cell r="J307">
            <v>1714.02826353</v>
          </cell>
          <cell r="K307">
            <v>1715.40211039</v>
          </cell>
          <cell r="L307">
            <v>1714.6403582</v>
          </cell>
          <cell r="M307">
            <v>1722.2535623900001</v>
          </cell>
          <cell r="N307">
            <v>1723.1841516500001</v>
          </cell>
        </row>
        <row r="308">
          <cell r="A308" t="str">
            <v>PLC5O</v>
          </cell>
          <cell r="B308" t="str">
            <v>PLC5OARS</v>
          </cell>
          <cell r="C308" t="str">
            <v>ON Tier 1 - Tasa Fija USD Ley Extranjera ON Pesos</v>
          </cell>
          <cell r="D308">
            <v>1389.9684072599282</v>
          </cell>
          <cell r="E308">
            <v>1691.61619238</v>
          </cell>
          <cell r="F308">
            <v>1678.3130912500001</v>
          </cell>
          <cell r="G308">
            <v>1663.03638394</v>
          </cell>
          <cell r="H308">
            <v>1674.24101999</v>
          </cell>
          <cell r="I308">
            <v>1676.81133901</v>
          </cell>
          <cell r="J308">
            <v>1682.4163215599999</v>
          </cell>
          <cell r="K308">
            <v>1671.2882286399999</v>
          </cell>
          <cell r="L308">
            <v>1676.0605709199999</v>
          </cell>
          <cell r="M308">
            <v>1690.55055941</v>
          </cell>
          <cell r="N308">
            <v>1691.4888791000001</v>
          </cell>
        </row>
        <row r="309">
          <cell r="A309" t="str">
            <v>TSC3O</v>
          </cell>
          <cell r="B309" t="str">
            <v>TSC3OARS</v>
          </cell>
          <cell r="C309" t="str">
            <v>ON Tier 1 - Tasa Fija USD Ley Extranjera ON Pesos</v>
          </cell>
          <cell r="D309">
            <v>1447.2816611623089</v>
          </cell>
          <cell r="E309">
            <v>1676.8542679300001</v>
          </cell>
          <cell r="F309">
            <v>1710.5</v>
          </cell>
          <cell r="G309">
            <v>1662.79834899</v>
          </cell>
          <cell r="H309">
            <v>1673.98824446</v>
          </cell>
          <cell r="I309">
            <v>1676.5603471100001</v>
          </cell>
          <cell r="J309">
            <v>1701.27123734</v>
          </cell>
          <cell r="K309">
            <v>1683.7413801099999</v>
          </cell>
          <cell r="L309">
            <v>1682.96466562</v>
          </cell>
          <cell r="M309">
            <v>1690.43008824</v>
          </cell>
          <cell r="N309">
            <v>1691.43646644</v>
          </cell>
        </row>
        <row r="310">
          <cell r="A310" t="str">
            <v>YFCJO</v>
          </cell>
          <cell r="B310" t="str">
            <v>YFCJOARS</v>
          </cell>
          <cell r="C310" t="str">
            <v>ON Tier 1 - Tasa Fija USD Ley Extranjera ON Pesos</v>
          </cell>
          <cell r="D310">
            <v>1483.7200088925158</v>
          </cell>
          <cell r="E310">
            <v>1667.0436423199999</v>
          </cell>
          <cell r="F310">
            <v>1667.9504707799999</v>
          </cell>
          <cell r="G310">
            <v>1653.26413568</v>
          </cell>
          <cell r="H310">
            <v>1664.08634979</v>
          </cell>
          <cell r="I310">
            <v>1666.3028054500001</v>
          </cell>
          <cell r="J310">
            <v>1671.92859572</v>
          </cell>
          <cell r="K310">
            <v>1673.61107253</v>
          </cell>
          <cell r="L310">
            <v>1672.7289968699999</v>
          </cell>
          <cell r="M310">
            <v>1680.1371829699999</v>
          </cell>
          <cell r="N310">
            <v>1617.56210599</v>
          </cell>
        </row>
        <row r="311">
          <cell r="A311" t="str">
            <v>MGCMO</v>
          </cell>
          <cell r="B311" t="str">
            <v>MGC3OARS</v>
          </cell>
          <cell r="C311" t="str">
            <v>ON Tier 1 - Tasa Fija USD Ley Extranjera ON Pesos</v>
          </cell>
          <cell r="D311">
            <v>1507.5800138836103</v>
          </cell>
          <cell r="E311">
            <v>1621.80788336</v>
          </cell>
          <cell r="F311">
            <v>1622.6946888800001</v>
          </cell>
          <cell r="G311">
            <v>1608.6293767100001</v>
          </cell>
          <cell r="H311">
            <v>1619.4328479200001</v>
          </cell>
          <cell r="I311">
            <v>1622.0232338000001</v>
          </cell>
          <cell r="J311">
            <v>1627.5385639199999</v>
          </cell>
          <cell r="K311">
            <v>1663.8500835899999</v>
          </cell>
          <cell r="L311">
            <v>1676.3967856500001</v>
          </cell>
          <cell r="M311">
            <v>1635.5775711399999</v>
          </cell>
          <cell r="N311">
            <v>1636.61951374</v>
          </cell>
        </row>
        <row r="312">
          <cell r="A312" t="str">
            <v>TTCAO</v>
          </cell>
          <cell r="B312" t="str">
            <v>TTCAOARS</v>
          </cell>
          <cell r="C312" t="str">
            <v>ON Tier 1 - Tasa Fija USD Ley Extranjera ON Pesos</v>
          </cell>
          <cell r="D312">
            <v>1587.7928856821613</v>
          </cell>
          <cell r="E312">
            <v>1612.3957908</v>
          </cell>
          <cell r="F312">
            <v>1635.4312833399999</v>
          </cell>
          <cell r="G312">
            <v>1599.5795389699999</v>
          </cell>
          <cell r="H312">
            <v>1610.02812032</v>
          </cell>
          <cell r="I312">
            <v>1612.1615830799999</v>
          </cell>
          <cell r="J312">
            <v>1617.68816984</v>
          </cell>
          <cell r="K312">
            <v>1619.5393859200001</v>
          </cell>
          <cell r="L312">
            <v>1618.6239282199999</v>
          </cell>
          <cell r="M312">
            <v>1625.77815493</v>
          </cell>
          <cell r="N312">
            <v>1626.9427610099999</v>
          </cell>
        </row>
        <row r="313">
          <cell r="A313" t="str">
            <v>PLC4O</v>
          </cell>
          <cell r="B313" t="str">
            <v>PLC4OARS</v>
          </cell>
          <cell r="C313" t="str">
            <v>ON Tier 1 - Tasa Fija USD Ley Extranjera ON Pesos</v>
          </cell>
          <cell r="D313">
            <v>1631.0114319055976</v>
          </cell>
          <cell r="E313">
            <v>1681.38336297</v>
          </cell>
          <cell r="F313">
            <v>1692.33390175</v>
          </cell>
          <cell r="G313">
            <v>1674.6603280700001</v>
          </cell>
          <cell r="H313">
            <v>1679.9928764599999</v>
          </cell>
          <cell r="I313">
            <v>1679.41739325</v>
          </cell>
          <cell r="J313">
            <v>1688.8177127399999</v>
          </cell>
          <cell r="K313">
            <v>1682.3912763200001</v>
          </cell>
          <cell r="L313">
            <v>1700.2275896900001</v>
          </cell>
          <cell r="M313">
            <v>1693.01597339</v>
          </cell>
          <cell r="N313">
            <v>1697.84403505</v>
          </cell>
        </row>
        <row r="314">
          <cell r="A314" t="str">
            <v>VSCVO</v>
          </cell>
          <cell r="B314" t="str">
            <v>VSCVOARS</v>
          </cell>
          <cell r="C314" t="str">
            <v>ON Tier 1 - Tasa Fija USD Ley Extranjera ON Pesos</v>
          </cell>
          <cell r="D314">
            <v>1637.6539503219622</v>
          </cell>
          <cell r="E314">
            <v>1705.3479591099999</v>
          </cell>
          <cell r="F314">
            <v>1706.5097265500001</v>
          </cell>
          <cell r="G314">
            <v>1703.2782538900001</v>
          </cell>
          <cell r="H314">
            <v>1704.54208958</v>
          </cell>
          <cell r="I314">
            <v>1701.80809832</v>
          </cell>
          <cell r="J314">
            <v>1705.4891813900001</v>
          </cell>
          <cell r="K314">
            <v>1705.86211366</v>
          </cell>
          <cell r="L314">
            <v>1709.3668225199999</v>
          </cell>
          <cell r="M314">
            <v>1706.22275498</v>
          </cell>
          <cell r="N314">
            <v>1714.64636933</v>
          </cell>
        </row>
        <row r="315">
          <cell r="A315" t="str">
            <v>YM34O</v>
          </cell>
          <cell r="B315" t="str">
            <v>YM34OARS</v>
          </cell>
          <cell r="C315" t="str">
            <v>ON Tier 1 - Tasa Fija USD Ley Extranjera ON Pesos</v>
          </cell>
          <cell r="D315">
            <v>1815.397075144461</v>
          </cell>
          <cell r="E315">
            <v>1648.7556800499999</v>
          </cell>
          <cell r="F315">
            <v>1644.36176432</v>
          </cell>
          <cell r="G315">
            <v>1640.93463217</v>
          </cell>
          <cell r="H315">
            <v>1639.73041812</v>
          </cell>
          <cell r="I315">
            <v>1642.5246542499999</v>
          </cell>
          <cell r="J315">
            <v>1657.9059748699999</v>
          </cell>
          <cell r="K315">
            <v>1669.3648626700001</v>
          </cell>
          <cell r="L315">
            <v>1656.42586622</v>
          </cell>
          <cell r="M315">
            <v>1660.02525657</v>
          </cell>
          <cell r="N315">
            <v>1664.5701995500001</v>
          </cell>
        </row>
        <row r="316">
          <cell r="A316" t="str">
            <v>YMCJO</v>
          </cell>
          <cell r="B316" t="str">
            <v>YMCJOARS</v>
          </cell>
          <cell r="C316" t="str">
            <v>YMCJO - Z-Spread NY Pesos</v>
          </cell>
          <cell r="D316">
            <v>1913.5697224271303</v>
          </cell>
          <cell r="E316">
            <v>1556.8332453800001</v>
          </cell>
          <cell r="F316">
            <v>1579.27075302</v>
          </cell>
          <cell r="G316">
            <v>1563.21611459</v>
          </cell>
          <cell r="H316">
            <v>1559.2503578200001</v>
          </cell>
          <cell r="I316">
            <v>1552.57475884</v>
          </cell>
          <cell r="J316">
            <v>1559.4917927700001</v>
          </cell>
          <cell r="K316">
            <v>1559.26204263</v>
          </cell>
          <cell r="L316">
            <v>1560.33051387</v>
          </cell>
          <cell r="M316">
            <v>1559.90754943</v>
          </cell>
          <cell r="N316">
            <v>1566.6988351099999</v>
          </cell>
        </row>
        <row r="317">
          <cell r="A317" t="str">
            <v>CAC5O</v>
          </cell>
          <cell r="B317" t="str">
            <v>CAC5OARS</v>
          </cell>
          <cell r="C317" t="str">
            <v>ON Tier 2 - Tasa Fija USD Ley Extranjera ON Pesos</v>
          </cell>
          <cell r="D317">
            <v>387.94425848400903</v>
          </cell>
          <cell r="E317">
            <v>834.20414038000001</v>
          </cell>
          <cell r="F317">
            <v>834.58720391999998</v>
          </cell>
          <cell r="G317">
            <v>821.79614153</v>
          </cell>
          <cell r="H317">
            <v>826.29536465000001</v>
          </cell>
          <cell r="I317">
            <v>824.18465644000003</v>
          </cell>
          <cell r="J317">
            <v>826.20586060999995</v>
          </cell>
          <cell r="K317">
            <v>825.87248862000001</v>
          </cell>
          <cell r="L317">
            <v>825.61724356000002</v>
          </cell>
          <cell r="M317">
            <v>829.51440943</v>
          </cell>
          <cell r="N317">
            <v>829.52357602999996</v>
          </cell>
        </row>
        <row r="318">
          <cell r="A318" t="str">
            <v>TLCMO</v>
          </cell>
          <cell r="B318" t="str">
            <v>TLCMOARS</v>
          </cell>
          <cell r="C318" t="str">
            <v>ON Tier 2 - Tasa Fija USD Ley Extranjera ON Pesos</v>
          </cell>
          <cell r="D318">
            <v>1161.1294855012118</v>
          </cell>
          <cell r="E318">
            <v>1704.13248054</v>
          </cell>
          <cell r="F318">
            <v>1694.9585097199999</v>
          </cell>
          <cell r="G318">
            <v>1695.9896354</v>
          </cell>
          <cell r="H318">
            <v>1694.98233228</v>
          </cell>
          <cell r="I318">
            <v>1695.3000952299999</v>
          </cell>
          <cell r="J318">
            <v>1707.94270443</v>
          </cell>
          <cell r="K318">
            <v>1709.5013069500001</v>
          </cell>
          <cell r="L318">
            <v>1723.0319344699999</v>
          </cell>
          <cell r="M318">
            <v>1709.9214901</v>
          </cell>
          <cell r="N318">
            <v>1729.5727799199999</v>
          </cell>
        </row>
        <row r="319">
          <cell r="A319" t="str">
            <v>TLCPO</v>
          </cell>
          <cell r="B319" t="str">
            <v>TLCPOARS</v>
          </cell>
          <cell r="C319" t="str">
            <v>ON Tier 2 - Tasa Fija USD Ley Extranjera ON Pesos</v>
          </cell>
          <cell r="D319">
            <v>1695.310758225246</v>
          </cell>
          <cell r="E319">
            <v>1733.5736800699999</v>
          </cell>
          <cell r="F319">
            <v>1721.1808468500001</v>
          </cell>
          <cell r="G319">
            <v>1696.02337162</v>
          </cell>
          <cell r="H319">
            <v>1704.1092585199999</v>
          </cell>
          <cell r="I319">
            <v>1705.5584832500001</v>
          </cell>
          <cell r="J319">
            <v>1702.15415308</v>
          </cell>
          <cell r="K319">
            <v>1701.58571749</v>
          </cell>
          <cell r="L319">
            <v>1704.0721578099999</v>
          </cell>
          <cell r="M319">
            <v>1712.87403993</v>
          </cell>
          <cell r="N319">
            <v>1719.81274031</v>
          </cell>
        </row>
        <row r="320">
          <cell r="A320" t="str">
            <v>AEC2O</v>
          </cell>
          <cell r="B320" t="str">
            <v>AEC2OARS</v>
          </cell>
          <cell r="C320" t="str">
            <v>ON Tier 3 - Tasa Fija USD Ley Extranjera ON Pesos</v>
          </cell>
          <cell r="D320">
            <v>223.77393300416074</v>
          </cell>
          <cell r="E320">
            <v>819.35940262999998</v>
          </cell>
          <cell r="F320">
            <v>820.0855067</v>
          </cell>
          <cell r="G320">
            <v>807.81770326000003</v>
          </cell>
          <cell r="H320">
            <v>812.23460522000005</v>
          </cell>
          <cell r="I320">
            <v>810.17012512999997</v>
          </cell>
          <cell r="J320">
            <v>812.31068183000002</v>
          </cell>
          <cell r="K320">
            <v>812.24000882999997</v>
          </cell>
          <cell r="L320">
            <v>811.72890115999996</v>
          </cell>
          <cell r="M320">
            <v>815.35395503999996</v>
          </cell>
          <cell r="N320">
            <v>815.25067676000003</v>
          </cell>
        </row>
        <row r="322">
          <cell r="A322" t="str">
            <v>Obligaciones Negociables Dólar linked</v>
          </cell>
          <cell r="B322" t="str">
            <v>Obligaciones Negociables Dólar linkedARS</v>
          </cell>
        </row>
        <row r="324">
          <cell r="A324" t="str">
            <v>GE22P</v>
          </cell>
          <cell r="B324" t="str">
            <v>GE22PARS</v>
          </cell>
          <cell r="C324" t="str">
            <v>ON PyME Gar - Tasa Fija USD Link ON</v>
          </cell>
          <cell r="D324">
            <v>129.1052534287187</v>
          </cell>
          <cell r="E324">
            <v>515.53140459999997</v>
          </cell>
          <cell r="F324">
            <v>515.71114867999995</v>
          </cell>
          <cell r="G324">
            <v>516.67333697000004</v>
          </cell>
          <cell r="H324">
            <v>517.00749540000004</v>
          </cell>
          <cell r="I324">
            <v>517.27073786999995</v>
          </cell>
          <cell r="J324">
            <v>516.99649685999998</v>
          </cell>
          <cell r="K324">
            <v>516.81929855999999</v>
          </cell>
          <cell r="L324">
            <v>516.94365468000001</v>
          </cell>
          <cell r="M324">
            <v>516.58008455000004</v>
          </cell>
          <cell r="N324">
            <v>520.63846892000004</v>
          </cell>
        </row>
        <row r="325">
          <cell r="A325" t="str">
            <v>HA12L</v>
          </cell>
          <cell r="B325" t="str">
            <v>HA12LARS</v>
          </cell>
          <cell r="C325" t="str">
            <v>ON PyME Gar - Tasa Fija USD Link ON</v>
          </cell>
          <cell r="D325">
            <v>265.48537882097628</v>
          </cell>
          <cell r="E325">
            <v>1562.1811405000001</v>
          </cell>
          <cell r="F325">
            <v>1564.0407768</v>
          </cell>
          <cell r="G325">
            <v>1572.6153697499999</v>
          </cell>
          <cell r="H325">
            <v>1576.5549172999999</v>
          </cell>
          <cell r="I325">
            <v>1579.07860882</v>
          </cell>
          <cell r="J325">
            <v>1578.0293981299999</v>
          </cell>
          <cell r="K325">
            <v>1579.6454243600001</v>
          </cell>
          <cell r="L325">
            <v>1579.8947735500001</v>
          </cell>
          <cell r="M325">
            <v>1580.7632803700001</v>
          </cell>
          <cell r="N325">
            <v>1565.6435914599999</v>
          </cell>
        </row>
        <row r="326">
          <cell r="A326" t="str">
            <v>APS1L</v>
          </cell>
          <cell r="B326" t="str">
            <v>APS1LARS</v>
          </cell>
          <cell r="C326" t="str">
            <v>ON PyME Gar - Tasa Fija USD Link ON</v>
          </cell>
          <cell r="D326">
            <v>388.49795298609075</v>
          </cell>
          <cell r="E326">
            <v>1522.1838016199999</v>
          </cell>
          <cell r="F326">
            <v>1522.45744898</v>
          </cell>
          <cell r="G326">
            <v>1519.25294749</v>
          </cell>
          <cell r="H326">
            <v>1519.7018694200001</v>
          </cell>
          <cell r="I326">
            <v>1520.8535314200001</v>
          </cell>
          <cell r="J326">
            <v>1518.9818857299999</v>
          </cell>
          <cell r="K326">
            <v>1521.0214462599999</v>
          </cell>
          <cell r="L326">
            <v>1521.6195374900001</v>
          </cell>
          <cell r="M326">
            <v>1520.60780383</v>
          </cell>
          <cell r="N326">
            <v>1534.71398712</v>
          </cell>
        </row>
        <row r="327">
          <cell r="A327" t="str">
            <v>GN37O</v>
          </cell>
          <cell r="B327" t="str">
            <v>GN37OARS</v>
          </cell>
          <cell r="C327" t="str">
            <v>ON Tier 1 - Tasa Fija USD Link ON</v>
          </cell>
          <cell r="D327">
            <v>27.00000000000145</v>
          </cell>
          <cell r="E327">
            <v>505.26982366999999</v>
          </cell>
          <cell r="F327">
            <v>505.41800454999998</v>
          </cell>
          <cell r="G327">
            <v>505.01134685</v>
          </cell>
          <cell r="H327">
            <v>505.40504609999999</v>
          </cell>
          <cell r="I327">
            <v>505.41810062000002</v>
          </cell>
          <cell r="J327">
            <v>504.84100102000002</v>
          </cell>
          <cell r="K327">
            <v>504.15515017000001</v>
          </cell>
          <cell r="L327">
            <v>504.20587346999997</v>
          </cell>
          <cell r="M327">
            <v>503.82137089999998</v>
          </cell>
          <cell r="N327">
            <v>504.76104951999997</v>
          </cell>
        </row>
        <row r="328">
          <cell r="A328" t="str">
            <v>VSCIO</v>
          </cell>
          <cell r="B328" t="str">
            <v>VSCIOARS</v>
          </cell>
          <cell r="C328" t="str">
            <v>ON Tier 1 - Tasa Fija USD Link ON</v>
          </cell>
          <cell r="D328">
            <v>55.000000000000249</v>
          </cell>
          <cell r="E328">
            <v>1510.3331143800001</v>
          </cell>
          <cell r="F328">
            <v>1510.7705454500001</v>
          </cell>
          <cell r="G328">
            <v>1510.90298936</v>
          </cell>
          <cell r="H328">
            <v>1512.0905796500001</v>
          </cell>
          <cell r="I328">
            <v>1511.75241422</v>
          </cell>
          <cell r="J328">
            <v>1510.26308896</v>
          </cell>
          <cell r="K328">
            <v>1508.2235452899999</v>
          </cell>
          <cell r="L328">
            <v>1508.42451065</v>
          </cell>
          <cell r="M328">
            <v>1507.28657985</v>
          </cell>
          <cell r="N328">
            <v>1513.17288596</v>
          </cell>
        </row>
        <row r="329">
          <cell r="A329" t="str">
            <v>PNJCO</v>
          </cell>
          <cell r="B329" t="str">
            <v>PNJCOARS</v>
          </cell>
          <cell r="C329" t="str">
            <v>ON Tier 1 - Tasa Fija USD Link ON</v>
          </cell>
          <cell r="D329">
            <v>115.71431922838805</v>
          </cell>
          <cell r="E329">
            <v>1509.1313034</v>
          </cell>
          <cell r="F329">
            <v>1509.5593315799999</v>
          </cell>
          <cell r="G329">
            <v>1511.2775968399999</v>
          </cell>
          <cell r="H329">
            <v>1512.48421164</v>
          </cell>
          <cell r="I329">
            <v>1511.38680183</v>
          </cell>
          <cell r="J329">
            <v>1510.12739347</v>
          </cell>
          <cell r="K329">
            <v>1508.1115275499999</v>
          </cell>
          <cell r="L329">
            <v>1508.40711874</v>
          </cell>
          <cell r="M329">
            <v>1507.2930065999999</v>
          </cell>
          <cell r="N329">
            <v>1518.2443563700001</v>
          </cell>
        </row>
        <row r="330">
          <cell r="A330" t="str">
            <v>VSCJO</v>
          </cell>
          <cell r="B330" t="str">
            <v>VSCJOARS</v>
          </cell>
          <cell r="C330" t="str">
            <v>ON Tier 1 - Tasa Fija USD Link ON</v>
          </cell>
          <cell r="D330">
            <v>139.00000000000031</v>
          </cell>
          <cell r="E330">
            <v>1495.6699864</v>
          </cell>
          <cell r="F330">
            <v>1496.09166086</v>
          </cell>
          <cell r="G330">
            <v>1497.9929937500001</v>
          </cell>
          <cell r="H330">
            <v>1494.3393000000001</v>
          </cell>
          <cell r="I330">
            <v>1493.63</v>
          </cell>
          <cell r="J330">
            <v>1493.6</v>
          </cell>
          <cell r="K330">
            <v>1501.7535292800001</v>
          </cell>
          <cell r="L330">
            <v>1494.9226670800001</v>
          </cell>
          <cell r="M330">
            <v>1493.8265848599999</v>
          </cell>
          <cell r="N330">
            <v>1507.50283233</v>
          </cell>
        </row>
        <row r="331">
          <cell r="A331" t="str">
            <v>TLCDO</v>
          </cell>
          <cell r="B331" t="str">
            <v>TLCDOARS</v>
          </cell>
          <cell r="C331" t="str">
            <v>ON Tier 1 - Tasa Fija USD Link ON</v>
          </cell>
          <cell r="D331">
            <v>144.77594043922488</v>
          </cell>
          <cell r="E331">
            <v>1504.32</v>
          </cell>
          <cell r="F331">
            <v>1502.5346961299999</v>
          </cell>
          <cell r="G331">
            <v>1504.4567188599999</v>
          </cell>
          <cell r="H331">
            <v>1505.66579568</v>
          </cell>
          <cell r="I331">
            <v>1504.2296982600001</v>
          </cell>
          <cell r="J331">
            <v>1502.97232364</v>
          </cell>
          <cell r="K331">
            <v>1500.97589565</v>
          </cell>
          <cell r="L331">
            <v>1501.3099210299999</v>
          </cell>
          <cell r="M331">
            <v>1500.2110716</v>
          </cell>
          <cell r="N331">
            <v>1512.7</v>
          </cell>
        </row>
        <row r="332">
          <cell r="A332" t="str">
            <v>PNZCO</v>
          </cell>
          <cell r="B332" t="str">
            <v>PNZCOARS</v>
          </cell>
          <cell r="C332" t="str">
            <v>ON Tier 1 - Tasa Fija USD Link ON</v>
          </cell>
          <cell r="D332">
            <v>263.00000000000023</v>
          </cell>
          <cell r="E332">
            <v>1475.4143746100001</v>
          </cell>
          <cell r="F332">
            <v>1475.82403647</v>
          </cell>
          <cell r="G332">
            <v>1481.0355999999999</v>
          </cell>
          <cell r="H332">
            <v>1477.09522861</v>
          </cell>
          <cell r="I332">
            <v>1483.6131331700001</v>
          </cell>
          <cell r="J332">
            <v>1472.5594560500001</v>
          </cell>
          <cell r="K332">
            <v>1470.6354842999999</v>
          </cell>
          <cell r="L332">
            <v>1471.0919609</v>
          </cell>
          <cell r="M332">
            <v>1470.04774236</v>
          </cell>
          <cell r="N332">
            <v>1485.89258187</v>
          </cell>
        </row>
        <row r="333">
          <cell r="A333" t="str">
            <v>OLC3O</v>
          </cell>
          <cell r="B333" t="str">
            <v>OLC3OARS</v>
          </cell>
          <cell r="C333" t="str">
            <v>ON Tier 1 - Tasa Fija USD Link ON</v>
          </cell>
          <cell r="D333">
            <v>269.99999999999989</v>
          </cell>
          <cell r="E333">
            <v>1474.2949877799999</v>
          </cell>
          <cell r="F333">
            <v>1469.6733999999999</v>
          </cell>
          <cell r="G333">
            <v>1474.5507566399999</v>
          </cell>
          <cell r="H333">
            <v>1475.76286656</v>
          </cell>
          <cell r="I333">
            <v>1472.92762687</v>
          </cell>
          <cell r="J333">
            <v>1471.09763026</v>
          </cell>
          <cell r="K333">
            <v>1469.17713712</v>
          </cell>
          <cell r="L333">
            <v>1469.6394851800001</v>
          </cell>
          <cell r="M333">
            <v>1468.59788948</v>
          </cell>
          <cell r="N333">
            <v>1483.24</v>
          </cell>
        </row>
        <row r="334">
          <cell r="A334" t="str">
            <v>MGCEO</v>
          </cell>
          <cell r="B334" t="str">
            <v>MGCEOARS</v>
          </cell>
          <cell r="C334" t="str">
            <v>ON Tier 1 - Tasa Fija USD Link ON</v>
          </cell>
          <cell r="D334">
            <v>431.00000000000392</v>
          </cell>
          <cell r="E334">
            <v>1448.5286968600001</v>
          </cell>
          <cell r="F334">
            <v>1448.93581672</v>
          </cell>
          <cell r="G334">
            <v>1442.1830076799999</v>
          </cell>
          <cell r="H334">
            <v>1443.3909311</v>
          </cell>
          <cell r="I334">
            <v>1438.59978813</v>
          </cell>
          <cell r="J334">
            <v>1435.3590467199999</v>
          </cell>
          <cell r="K334">
            <v>1433.51256302</v>
          </cell>
          <cell r="L334">
            <v>1434.07401615</v>
          </cell>
          <cell r="M334">
            <v>1433.0854109899999</v>
          </cell>
          <cell r="N334">
            <v>1447.04122654</v>
          </cell>
        </row>
        <row r="335">
          <cell r="A335" t="str">
            <v>OLC2O</v>
          </cell>
          <cell r="B335" t="str">
            <v>OLC2OARS</v>
          </cell>
          <cell r="C335" t="str">
            <v>ON Tier 1 - Tasa Fija USD Link ON</v>
          </cell>
          <cell r="D335">
            <v>598.04514067670686</v>
          </cell>
          <cell r="E335">
            <v>1445.4515927699999</v>
          </cell>
          <cell r="F335">
            <v>1445.87195316</v>
          </cell>
          <cell r="G335">
            <v>1430.9583675599999</v>
          </cell>
          <cell r="H335">
            <v>1432.1700892900001</v>
          </cell>
          <cell r="I335">
            <v>1424.7494612999999</v>
          </cell>
          <cell r="J335">
            <v>1420.0012680299999</v>
          </cell>
          <cell r="K335">
            <v>1418.1901341099999</v>
          </cell>
          <cell r="L335">
            <v>1418.80857186</v>
          </cell>
          <cell r="M335">
            <v>1417.8463737</v>
          </cell>
          <cell r="N335">
            <v>1429.25</v>
          </cell>
        </row>
        <row r="336">
          <cell r="A336" t="str">
            <v>MR43O</v>
          </cell>
          <cell r="B336" t="str">
            <v>MR43OARS</v>
          </cell>
          <cell r="C336" t="e">
            <v>#N/A</v>
          </cell>
          <cell r="D336" t="e">
            <v>#N/A</v>
          </cell>
          <cell r="E336">
            <v>456.96762000000001</v>
          </cell>
          <cell r="F336">
            <v>456.92604</v>
          </cell>
          <cell r="G336">
            <v>455.77443</v>
          </cell>
          <cell r="H336">
            <v>456.09005999999999</v>
          </cell>
          <cell r="I336">
            <v>456.21408000000002</v>
          </cell>
          <cell r="J336">
            <v>455.53089</v>
          </cell>
          <cell r="K336">
            <v>454.76298000000003</v>
          </cell>
          <cell r="L336">
            <v>454.75628999999998</v>
          </cell>
          <cell r="M336">
            <v>454.36964999999998</v>
          </cell>
          <cell r="N336">
            <v>454.17923999999999</v>
          </cell>
        </row>
        <row r="337">
          <cell r="A337" t="str">
            <v>DRSAO</v>
          </cell>
          <cell r="B337" t="str">
            <v>DRSAOARS</v>
          </cell>
          <cell r="C337" t="e">
            <v>#N/A</v>
          </cell>
          <cell r="D337" t="e">
            <v>#N/A</v>
          </cell>
          <cell r="E337">
            <v>9.9999999999999995E-8</v>
          </cell>
          <cell r="F337">
            <v>9.9999999999999995E-8</v>
          </cell>
          <cell r="G337">
            <v>9.9999999999999995E-8</v>
          </cell>
          <cell r="H337">
            <v>9.9999999999999995E-8</v>
          </cell>
          <cell r="I337">
            <v>9.9999999999999995E-8</v>
          </cell>
          <cell r="J337">
            <v>9.9999999999999995E-8</v>
          </cell>
          <cell r="K337">
            <v>9.9999999999999995E-8</v>
          </cell>
          <cell r="L337">
            <v>9.9999999999999995E-8</v>
          </cell>
          <cell r="M337">
            <v>9.9999999999999995E-8</v>
          </cell>
          <cell r="N337">
            <v>9.9999999999999995E-8</v>
          </cell>
        </row>
        <row r="339">
          <cell r="A339" t="str">
            <v>Fideicomisos Financieros Tamar</v>
          </cell>
        </row>
        <row r="341">
          <cell r="A341" t="str">
            <v>CO18A</v>
          </cell>
          <cell r="B341" t="str">
            <v>CO18AARS</v>
          </cell>
          <cell r="C341" t="str">
            <v>FF PyME - TAMAR FF</v>
          </cell>
          <cell r="D341">
            <v>4.9999999999940501</v>
          </cell>
          <cell r="E341">
            <v>0.24858078</v>
          </cell>
          <cell r="F341">
            <v>0.24914475999999999</v>
          </cell>
          <cell r="G341">
            <v>0.24934798999999999</v>
          </cell>
          <cell r="H341">
            <v>0.2495242</v>
          </cell>
          <cell r="I341">
            <v>0.24972501999999999</v>
          </cell>
          <cell r="J341">
            <v>0.24996604</v>
          </cell>
          <cell r="K341">
            <v>0.25068829999999998</v>
          </cell>
          <cell r="L341">
            <v>0.25090884000000002</v>
          </cell>
          <cell r="M341">
            <v>0.25110321000000002</v>
          </cell>
          <cell r="N341">
            <v>0.25131713999999999</v>
          </cell>
        </row>
        <row r="342">
          <cell r="A342" t="str">
            <v>CO17A</v>
          </cell>
          <cell r="B342" t="str">
            <v>CO17AARS</v>
          </cell>
          <cell r="C342" t="str">
            <v>FF PyME - TAMAR FF</v>
          </cell>
          <cell r="D342">
            <v>5.00000000000135</v>
          </cell>
          <cell r="E342">
            <v>0.25550337000000001</v>
          </cell>
          <cell r="F342">
            <v>0.25608304999999998</v>
          </cell>
          <cell r="G342">
            <v>0.25629194</v>
          </cell>
          <cell r="H342">
            <v>0.25647305999999997</v>
          </cell>
          <cell r="I342">
            <v>0.25667947000000002</v>
          </cell>
          <cell r="J342">
            <v>0.25692721000000002</v>
          </cell>
          <cell r="K342">
            <v>0.25766958000000001</v>
          </cell>
          <cell r="L342">
            <v>0.25789625999999999</v>
          </cell>
          <cell r="M342">
            <v>0.25809604000000003</v>
          </cell>
          <cell r="N342">
            <v>0.25831591999999998</v>
          </cell>
        </row>
        <row r="343">
          <cell r="A343" t="str">
            <v>CO19A</v>
          </cell>
          <cell r="B343" t="str">
            <v>CO19AARS</v>
          </cell>
          <cell r="C343" t="str">
            <v>FF Tier 1 - TAMAR FF</v>
          </cell>
          <cell r="D343">
            <v>164.83004045025615</v>
          </cell>
          <cell r="E343">
            <v>0.87776131000000002</v>
          </cell>
          <cell r="F343">
            <v>0.87933216000000003</v>
          </cell>
          <cell r="G343">
            <v>0.88086299000000001</v>
          </cell>
          <cell r="H343">
            <v>0.88148320999999996</v>
          </cell>
          <cell r="I343">
            <v>0.88157518000000001</v>
          </cell>
          <cell r="J343">
            <v>0.88198122999999995</v>
          </cell>
          <cell r="K343">
            <v>0.88415927999999999</v>
          </cell>
          <cell r="L343">
            <v>0.88711264999999995</v>
          </cell>
          <cell r="M343">
            <v>0.88801664999999996</v>
          </cell>
          <cell r="N343">
            <v>0.88615838999999996</v>
          </cell>
        </row>
        <row r="344">
          <cell r="A344" t="str">
            <v>CO20A</v>
          </cell>
          <cell r="B344" t="str">
            <v>CO20AARS</v>
          </cell>
          <cell r="C344" t="str">
            <v>FF Tier 1 - TAMAR FF</v>
          </cell>
          <cell r="D344">
            <v>202.45741100688596</v>
          </cell>
          <cell r="E344">
            <v>0.99710160000000003</v>
          </cell>
          <cell r="F344">
            <v>0.99878445000000005</v>
          </cell>
          <cell r="G344">
            <v>1.0008513699999999</v>
          </cell>
          <cell r="H344">
            <v>1.00169946</v>
          </cell>
          <cell r="I344">
            <v>1.00147795</v>
          </cell>
          <cell r="J344">
            <v>1.0014357</v>
          </cell>
          <cell r="K344">
            <v>1.00405224</v>
          </cell>
          <cell r="L344">
            <v>1.0079268400000001</v>
          </cell>
          <cell r="M344">
            <v>1.00896915</v>
          </cell>
          <cell r="N344">
            <v>1.0052874599999999</v>
          </cell>
        </row>
        <row r="345">
          <cell r="A345" t="str">
            <v>M320A</v>
          </cell>
          <cell r="B345" t="str">
            <v>M320AARS</v>
          </cell>
          <cell r="C345" t="str">
            <v>FF Tier 1 - TAMAR FF</v>
          </cell>
          <cell r="D345">
            <v>12.00000000013245</v>
          </cell>
          <cell r="E345">
            <v>2.385557E-2</v>
          </cell>
          <cell r="F345">
            <v>2.3908829999999999E-2</v>
          </cell>
          <cell r="G345">
            <v>2.392886E-2</v>
          </cell>
          <cell r="H345">
            <v>2.3944989999999999E-2</v>
          </cell>
          <cell r="I345">
            <v>2.3964579999999999E-2</v>
          </cell>
          <cell r="J345">
            <v>2.3990379999999999E-2</v>
          </cell>
          <cell r="K345">
            <v>2.4057149999999999E-2</v>
          </cell>
          <cell r="L345">
            <v>2.4081439999999999E-2</v>
          </cell>
          <cell r="M345">
            <v>2.4100940000000001E-2</v>
          </cell>
          <cell r="N345">
            <v>2.4125520000000001E-2</v>
          </cell>
        </row>
        <row r="346">
          <cell r="A346" t="str">
            <v>M322A</v>
          </cell>
          <cell r="B346" t="str">
            <v>M322AARS</v>
          </cell>
          <cell r="C346" t="str">
            <v>FF Tier 1 - TAMAR FF</v>
          </cell>
          <cell r="D346">
            <v>12.00000000003025</v>
          </cell>
          <cell r="E346">
            <v>7.8070979999999998E-2</v>
          </cell>
          <cell r="F346">
            <v>7.824528E-2</v>
          </cell>
          <cell r="G346">
            <v>7.8310829999999998E-2</v>
          </cell>
          <cell r="H346">
            <v>7.8363630000000004E-2</v>
          </cell>
          <cell r="I346">
            <v>7.8427730000000001E-2</v>
          </cell>
          <cell r="J346">
            <v>7.8512170000000006E-2</v>
          </cell>
          <cell r="K346">
            <v>7.8730690000000006E-2</v>
          </cell>
          <cell r="L346">
            <v>7.8810179999999994E-2</v>
          </cell>
          <cell r="M346">
            <v>7.8873990000000005E-2</v>
          </cell>
          <cell r="N346">
            <v>7.8954440000000001E-2</v>
          </cell>
        </row>
        <row r="347">
          <cell r="A347" t="str">
            <v>CF82A</v>
          </cell>
          <cell r="B347" t="str">
            <v>CF82AARS</v>
          </cell>
          <cell r="C347" t="str">
            <v>FF Tier 1 - TAMAR FF</v>
          </cell>
          <cell r="D347">
            <v>5.0000000000159499</v>
          </cell>
          <cell r="E347">
            <v>6.6745319999999997E-2</v>
          </cell>
          <cell r="F347">
            <v>6.6895940000000001E-2</v>
          </cell>
          <cell r="G347">
            <v>6.6950519999999999E-2</v>
          </cell>
          <cell r="H347">
            <v>6.6997849999999998E-2</v>
          </cell>
          <cell r="I347">
            <v>6.7051780000000005E-2</v>
          </cell>
          <cell r="J347">
            <v>6.7116510000000004E-2</v>
          </cell>
          <cell r="K347">
            <v>6.7310499999999995E-2</v>
          </cell>
          <cell r="L347">
            <v>6.7369719999999994E-2</v>
          </cell>
          <cell r="M347">
            <v>6.7421930000000005E-2</v>
          </cell>
          <cell r="N347">
            <v>6.7479380000000005E-2</v>
          </cell>
        </row>
        <row r="348">
          <cell r="A348" t="str">
            <v>M327A</v>
          </cell>
          <cell r="B348" t="str">
            <v>M327AARS</v>
          </cell>
          <cell r="C348" t="str">
            <v>FF Tier 1 - TAMAR FF</v>
          </cell>
          <cell r="D348">
            <v>10.999999999865</v>
          </cell>
          <cell r="E348">
            <v>2.6459099999999999E-2</v>
          </cell>
          <cell r="F348">
            <v>2.6518259999999998E-2</v>
          </cell>
          <cell r="G348">
            <v>2.6540399999999999E-2</v>
          </cell>
          <cell r="H348">
            <v>2.6558410000000001E-2</v>
          </cell>
          <cell r="I348">
            <v>2.6580099999999999E-2</v>
          </cell>
          <cell r="J348">
            <v>2.660831E-2</v>
          </cell>
          <cell r="K348">
            <v>2.668276E-2</v>
          </cell>
          <cell r="L348">
            <v>2.6709210000000001E-2</v>
          </cell>
          <cell r="M348">
            <v>2.67307E-2</v>
          </cell>
          <cell r="N348">
            <v>2.6757369999999999E-2</v>
          </cell>
        </row>
        <row r="349">
          <cell r="A349" t="str">
            <v>M329A</v>
          </cell>
          <cell r="B349" t="str">
            <v>M329AARS</v>
          </cell>
          <cell r="C349" t="str">
            <v>FF Tier 1 - TAMAR FF</v>
          </cell>
          <cell r="D349">
            <v>11.000000000010999</v>
          </cell>
          <cell r="E349">
            <v>5.8720210000000002E-2</v>
          </cell>
          <cell r="F349">
            <v>5.8851519999999997E-2</v>
          </cell>
          <cell r="G349">
            <v>5.8900639999999997E-2</v>
          </cell>
          <cell r="H349">
            <v>5.8940619999999999E-2</v>
          </cell>
          <cell r="I349">
            <v>5.898875E-2</v>
          </cell>
          <cell r="J349">
            <v>5.9051359999999997E-2</v>
          </cell>
          <cell r="K349">
            <v>5.921659E-2</v>
          </cell>
          <cell r="L349">
            <v>5.927528E-2</v>
          </cell>
          <cell r="M349">
            <v>5.9322979999999997E-2</v>
          </cell>
          <cell r="N349">
            <v>5.9382160000000003E-2</v>
          </cell>
        </row>
        <row r="350">
          <cell r="A350" t="str">
            <v>M331A</v>
          </cell>
          <cell r="B350" t="str">
            <v>M331AARS</v>
          </cell>
          <cell r="C350" t="str">
            <v>FF Tier 1 - TAMAR FF</v>
          </cell>
          <cell r="D350">
            <v>10.99999999995625</v>
          </cell>
          <cell r="E350">
            <v>9.5912990000000004E-2</v>
          </cell>
          <cell r="F350">
            <v>9.6127459999999998E-2</v>
          </cell>
          <cell r="G350">
            <v>9.6207699999999993E-2</v>
          </cell>
          <cell r="H350">
            <v>9.6273010000000006E-2</v>
          </cell>
          <cell r="I350">
            <v>9.6351610000000004E-2</v>
          </cell>
          <cell r="J350">
            <v>9.6453880000000006E-2</v>
          </cell>
          <cell r="K350">
            <v>9.6723770000000001E-2</v>
          </cell>
          <cell r="L350">
            <v>9.6819630000000004E-2</v>
          </cell>
          <cell r="M350">
            <v>9.6897540000000004E-2</v>
          </cell>
          <cell r="N350">
            <v>9.6994200000000003E-2</v>
          </cell>
        </row>
        <row r="351">
          <cell r="A351" t="str">
            <v>M333A</v>
          </cell>
          <cell r="B351" t="str">
            <v>M333AARS</v>
          </cell>
          <cell r="C351" t="str">
            <v>FF Tier 1 - TAMAR FF</v>
          </cell>
          <cell r="D351">
            <v>11.00000000001465</v>
          </cell>
          <cell r="E351">
            <v>0.18882254000000001</v>
          </cell>
          <cell r="F351">
            <v>0.18924477000000001</v>
          </cell>
          <cell r="G351">
            <v>0.18940272999999999</v>
          </cell>
          <cell r="H351">
            <v>0.18953130000000001</v>
          </cell>
          <cell r="I351">
            <v>0.18968604</v>
          </cell>
          <cell r="J351">
            <v>0.18988737999999999</v>
          </cell>
          <cell r="K351">
            <v>0.1904187</v>
          </cell>
          <cell r="L351">
            <v>0.19060743999999999</v>
          </cell>
          <cell r="M351">
            <v>0.19076082</v>
          </cell>
          <cell r="N351">
            <v>0.19095110000000001</v>
          </cell>
        </row>
        <row r="352">
          <cell r="A352" t="str">
            <v>DT39A</v>
          </cell>
          <cell r="B352" t="str">
            <v>DT39AARS</v>
          </cell>
          <cell r="C352" t="str">
            <v>FF Tier 1 - TAMAR FF</v>
          </cell>
          <cell r="D352">
            <v>0</v>
          </cell>
          <cell r="E352">
            <v>3.928624E-2</v>
          </cell>
          <cell r="F352">
            <v>3.9375540000000001E-2</v>
          </cell>
          <cell r="G352">
            <v>3.9407039999999997E-2</v>
          </cell>
          <cell r="H352">
            <v>3.9435810000000002E-2</v>
          </cell>
          <cell r="I352">
            <v>3.9467080000000002E-2</v>
          </cell>
          <cell r="J352">
            <v>3.950178E-2</v>
          </cell>
          <cell r="K352">
            <v>3.961916E-2</v>
          </cell>
          <cell r="L352">
            <v>3.9650339999999999E-2</v>
          </cell>
          <cell r="M352">
            <v>3.968E-2</v>
          </cell>
          <cell r="N352">
            <v>3.968E-2</v>
          </cell>
        </row>
        <row r="353">
          <cell r="A353" t="str">
            <v>C199A</v>
          </cell>
          <cell r="B353" t="str">
            <v>C199AARS</v>
          </cell>
          <cell r="C353" t="str">
            <v>FF Tier 1 - TAMAR FF</v>
          </cell>
          <cell r="D353">
            <v>11.000000000138751</v>
          </cell>
          <cell r="E353">
            <v>2.514837E-2</v>
          </cell>
          <cell r="F353">
            <v>2.5204609999999999E-2</v>
          </cell>
          <cell r="G353">
            <v>2.5225649999999999E-2</v>
          </cell>
          <cell r="H353">
            <v>2.5242770000000001E-2</v>
          </cell>
          <cell r="I353">
            <v>2.5263379999999998E-2</v>
          </cell>
          <cell r="J353">
            <v>2.5290199999999999E-2</v>
          </cell>
          <cell r="K353">
            <v>2.5360959999999998E-2</v>
          </cell>
          <cell r="L353">
            <v>2.5386100000000002E-2</v>
          </cell>
          <cell r="M353">
            <v>2.5406519999999998E-2</v>
          </cell>
          <cell r="N353">
            <v>2.5431869999999999E-2</v>
          </cell>
        </row>
        <row r="354">
          <cell r="A354" t="str">
            <v>CF83A</v>
          </cell>
          <cell r="B354" t="str">
            <v>CF83AARS</v>
          </cell>
          <cell r="C354" t="str">
            <v>FF Tier 1 - TAMAR FF</v>
          </cell>
          <cell r="D354">
            <v>5.0000000000049996</v>
          </cell>
          <cell r="E354">
            <v>0.24622869999999999</v>
          </cell>
          <cell r="F354">
            <v>0.24678433999999999</v>
          </cell>
          <cell r="G354">
            <v>0.24698569000000001</v>
          </cell>
          <cell r="H354">
            <v>0.24716029</v>
          </cell>
          <cell r="I354">
            <v>0.24735926</v>
          </cell>
          <cell r="J354">
            <v>0.24759806000000001</v>
          </cell>
          <cell r="K354">
            <v>0.24831368000000001</v>
          </cell>
          <cell r="L354">
            <v>0.24853217999999999</v>
          </cell>
          <cell r="M354">
            <v>0.24872477000000001</v>
          </cell>
          <cell r="N354">
            <v>0.24893672</v>
          </cell>
        </row>
        <row r="355">
          <cell r="A355" t="str">
            <v>CF84A</v>
          </cell>
          <cell r="B355" t="str">
            <v>CF84AARS</v>
          </cell>
          <cell r="C355" t="str">
            <v>FF Tier 1 - TAMAR FF</v>
          </cell>
          <cell r="D355">
            <v>4.9999999998589999</v>
          </cell>
          <cell r="E355">
            <v>1.5751149999999998E-2</v>
          </cell>
          <cell r="F355">
            <v>1.5787010000000001E-2</v>
          </cell>
          <cell r="G355">
            <v>1.5800359999999999E-2</v>
          </cell>
          <cell r="H355">
            <v>1.581202E-2</v>
          </cell>
          <cell r="I355">
            <v>1.582561E-2</v>
          </cell>
          <cell r="J355">
            <v>1.5841089999999999E-2</v>
          </cell>
          <cell r="K355">
            <v>1.5886979999999998E-2</v>
          </cell>
          <cell r="L355">
            <v>1.5900959999999999E-2</v>
          </cell>
          <cell r="M355">
            <v>1.5913279999999998E-2</v>
          </cell>
          <cell r="N355">
            <v>1.5926840000000001E-2</v>
          </cell>
        </row>
        <row r="356">
          <cell r="A356" t="str">
            <v>M341A</v>
          </cell>
          <cell r="B356" t="str">
            <v>M341AARS</v>
          </cell>
          <cell r="C356" t="str">
            <v>FF Tier 1 - TAMAR FF</v>
          </cell>
          <cell r="D356">
            <v>41.7062204899701</v>
          </cell>
          <cell r="E356">
            <v>0.23164752</v>
          </cell>
          <cell r="F356">
            <v>0.23213655999999999</v>
          </cell>
          <cell r="G356">
            <v>0.23235021</v>
          </cell>
          <cell r="H356">
            <v>0.23249553000000001</v>
          </cell>
          <cell r="I356">
            <v>0.23269165</v>
          </cell>
          <cell r="J356">
            <v>0.23300345</v>
          </cell>
          <cell r="K356">
            <v>0.23357331000000001</v>
          </cell>
          <cell r="L356">
            <v>0.23392262</v>
          </cell>
          <cell r="M356">
            <v>0.23413233</v>
          </cell>
          <cell r="N356">
            <v>0.23469999999999999</v>
          </cell>
        </row>
        <row r="357">
          <cell r="A357" t="str">
            <v>CU56A</v>
          </cell>
          <cell r="B357" t="str">
            <v>CU56AARS</v>
          </cell>
          <cell r="C357" t="str">
            <v>FF Tier 1 - TAMAR FF</v>
          </cell>
          <cell r="D357">
            <v>4.9999999999721503</v>
          </cell>
          <cell r="E357">
            <v>3.9509629999999997E-2</v>
          </cell>
          <cell r="F357">
            <v>3.959878E-2</v>
          </cell>
          <cell r="G357">
            <v>3.9631090000000001E-2</v>
          </cell>
          <cell r="H357">
            <v>3.9659109999999997E-2</v>
          </cell>
          <cell r="I357">
            <v>3.9691030000000002E-2</v>
          </cell>
          <cell r="J357">
            <v>3.9729349999999997E-2</v>
          </cell>
          <cell r="K357">
            <v>3.984418E-2</v>
          </cell>
          <cell r="L357">
            <v>3.9879240000000003E-2</v>
          </cell>
          <cell r="M357">
            <v>3.9910139999999997E-2</v>
          </cell>
          <cell r="N357">
            <v>3.9944149999999998E-2</v>
          </cell>
        </row>
        <row r="358">
          <cell r="A358" t="str">
            <v>M343A</v>
          </cell>
          <cell r="B358" t="str">
            <v>M343AARS</v>
          </cell>
          <cell r="C358" t="str">
            <v>FF Tier 1 - TAMAR FF</v>
          </cell>
          <cell r="D358">
            <v>52.782159272559902</v>
          </cell>
          <cell r="E358">
            <v>0.34714234999999999</v>
          </cell>
          <cell r="F358">
            <v>0.34790785000000002</v>
          </cell>
          <cell r="G358">
            <v>0.34831498</v>
          </cell>
          <cell r="H358">
            <v>0.34858046999999998</v>
          </cell>
          <cell r="I358">
            <v>0.34886975999999997</v>
          </cell>
          <cell r="J358">
            <v>0.34935260000000001</v>
          </cell>
          <cell r="K358">
            <v>0.3501707</v>
          </cell>
          <cell r="L358">
            <v>0.35075334000000002</v>
          </cell>
          <cell r="M358">
            <v>0.35106135999999999</v>
          </cell>
          <cell r="N358">
            <v>0.35151437000000002</v>
          </cell>
        </row>
        <row r="359">
          <cell r="A359" t="str">
            <v>CU57A</v>
          </cell>
          <cell r="B359" t="str">
            <v>CU57AARS</v>
          </cell>
          <cell r="C359" t="str">
            <v>FF Tier 1 - TAMAR FF</v>
          </cell>
          <cell r="D359">
            <v>19.609445878629803</v>
          </cell>
          <cell r="E359">
            <v>0.21295823999999999</v>
          </cell>
          <cell r="F359">
            <v>0.21343449</v>
          </cell>
          <cell r="G359">
            <v>0.21362922000000001</v>
          </cell>
          <cell r="H359">
            <v>0.21378084999999999</v>
          </cell>
          <cell r="I359">
            <v>0.21396049</v>
          </cell>
          <cell r="J359">
            <v>0.21420674000000001</v>
          </cell>
          <cell r="K359">
            <v>0.21478174999999999</v>
          </cell>
          <cell r="L359">
            <v>0.21502315999999999</v>
          </cell>
          <cell r="M359">
            <v>0.21519680999999999</v>
          </cell>
          <cell r="N359">
            <v>0.21543802000000001</v>
          </cell>
        </row>
        <row r="360">
          <cell r="A360" t="str">
            <v>CU58A</v>
          </cell>
          <cell r="B360" t="str">
            <v>CU58AARS</v>
          </cell>
          <cell r="C360" t="str">
            <v>FF Tier 1 - TAMAR FF</v>
          </cell>
          <cell r="D360">
            <v>29.818683136572702</v>
          </cell>
          <cell r="E360">
            <v>0.29980027999999997</v>
          </cell>
          <cell r="F360">
            <v>0.30046569000000001</v>
          </cell>
          <cell r="G360">
            <v>0.30075966999999998</v>
          </cell>
          <cell r="H360">
            <v>0.30097359000000001</v>
          </cell>
          <cell r="I360">
            <v>0.30123055999999998</v>
          </cell>
          <cell r="J360">
            <v>0.30160856000000003</v>
          </cell>
          <cell r="K360">
            <v>0.30238042999999998</v>
          </cell>
          <cell r="L360">
            <v>0.30277133000000001</v>
          </cell>
          <cell r="M360">
            <v>0.30302244</v>
          </cell>
          <cell r="N360">
            <v>0.30340075999999999</v>
          </cell>
        </row>
        <row r="361">
          <cell r="A361" t="str">
            <v>M345A</v>
          </cell>
          <cell r="B361" t="str">
            <v>M345AARS</v>
          </cell>
          <cell r="C361" t="str">
            <v>FF Tier 1 - TAMAR FF</v>
          </cell>
          <cell r="D361">
            <v>63.501333498290499</v>
          </cell>
          <cell r="E361">
            <v>0.42291030000000002</v>
          </cell>
          <cell r="F361">
            <v>0.42383138999999997</v>
          </cell>
          <cell r="G361">
            <v>0.42435477999999999</v>
          </cell>
          <cell r="H361">
            <v>0.42467834999999998</v>
          </cell>
          <cell r="I361">
            <v>0.42501999000000001</v>
          </cell>
          <cell r="J361">
            <v>0.42561516999999999</v>
          </cell>
          <cell r="K361">
            <v>0.42658448999999998</v>
          </cell>
          <cell r="L361">
            <v>0.42736681999999998</v>
          </cell>
          <cell r="M361">
            <v>0.42775018999999997</v>
          </cell>
          <cell r="N361">
            <v>0.42826718000000003</v>
          </cell>
        </row>
        <row r="362">
          <cell r="A362" t="str">
            <v>C200A</v>
          </cell>
          <cell r="B362" t="str">
            <v>C200AARS</v>
          </cell>
          <cell r="C362" t="str">
            <v>FF Tier 1 - TAMAR FF</v>
          </cell>
          <cell r="D362">
            <v>44.895594967556498</v>
          </cell>
          <cell r="E362">
            <v>0.36014351999999999</v>
          </cell>
          <cell r="F362">
            <v>0.36092671999999998</v>
          </cell>
          <cell r="G362">
            <v>0.36130635</v>
          </cell>
          <cell r="H362">
            <v>0.36155353000000001</v>
          </cell>
          <cell r="I362">
            <v>0.36185595999999998</v>
          </cell>
          <cell r="J362">
            <v>0.36234328999999998</v>
          </cell>
          <cell r="K362">
            <v>0.36322210999999999</v>
          </cell>
          <cell r="L362">
            <v>0.36378385000000002</v>
          </cell>
          <cell r="M362">
            <v>0.36410178999999998</v>
          </cell>
          <cell r="N362">
            <v>0.36456897999999999</v>
          </cell>
        </row>
        <row r="363">
          <cell r="A363" t="str">
            <v>DT44A</v>
          </cell>
          <cell r="B363" t="str">
            <v>DT44AARS</v>
          </cell>
          <cell r="C363" t="str">
            <v>FF Tier 1 - TAMAR FF</v>
          </cell>
          <cell r="D363">
            <v>31.999999999984549</v>
          </cell>
          <cell r="E363">
            <v>0.31889836999999999</v>
          </cell>
          <cell r="F363">
            <v>0.31962298</v>
          </cell>
          <cell r="G363">
            <v>0.31990074000000002</v>
          </cell>
          <cell r="H363">
            <v>0.32013456000000001</v>
          </cell>
          <cell r="I363">
            <v>0.32039775999999998</v>
          </cell>
          <cell r="J363">
            <v>0.3207257</v>
          </cell>
          <cell r="K363">
            <v>0.32162875000000002</v>
          </cell>
          <cell r="L363">
            <v>0.32175555</v>
          </cell>
          <cell r="M363">
            <v>0.16030923999999999</v>
          </cell>
          <cell r="N363">
            <v>0.16052791999999999</v>
          </cell>
        </row>
        <row r="364">
          <cell r="A364" t="str">
            <v>CF86A</v>
          </cell>
          <cell r="B364" t="str">
            <v>CF86A</v>
          </cell>
          <cell r="C364" t="str">
            <v>FF Tier 1 - TAMAR FF</v>
          </cell>
          <cell r="D364">
            <v>50.488641034658045</v>
          </cell>
          <cell r="E364">
            <v>0.52974131999999996</v>
          </cell>
          <cell r="F364">
            <v>0.53090457999999996</v>
          </cell>
          <cell r="G364">
            <v>0.53150892999999999</v>
          </cell>
          <cell r="H364">
            <v>0.53190588000000005</v>
          </cell>
          <cell r="I364">
            <v>0.5323793</v>
          </cell>
          <cell r="J364">
            <v>0.53310714999999997</v>
          </cell>
          <cell r="K364">
            <v>0.53438215</v>
          </cell>
          <cell r="L364">
            <v>0.53525060999999996</v>
          </cell>
          <cell r="M364">
            <v>0.53571482000000004</v>
          </cell>
          <cell r="N364">
            <v>0.53638481999999998</v>
          </cell>
        </row>
        <row r="365">
          <cell r="A365" t="str">
            <v>SK01A</v>
          </cell>
          <cell r="B365" t="str">
            <v>SK01AARS</v>
          </cell>
          <cell r="C365" t="str">
            <v>FF Tier 1 - TAMAR FF</v>
          </cell>
          <cell r="D365">
            <v>87.648374756400699</v>
          </cell>
          <cell r="E365">
            <v>0.41183830999999999</v>
          </cell>
          <cell r="F365">
            <v>0.41263820000000001</v>
          </cell>
          <cell r="G365">
            <v>0.413049</v>
          </cell>
          <cell r="H365">
            <v>0.41334558999999998</v>
          </cell>
          <cell r="I365">
            <v>0.41365818999999998</v>
          </cell>
          <cell r="J365">
            <v>0.41420342999999998</v>
          </cell>
          <cell r="K365">
            <v>0.41514986999999998</v>
          </cell>
          <cell r="L365">
            <v>0.41625359000000001</v>
          </cell>
          <cell r="M365">
            <v>0.32026729999999998</v>
          </cell>
          <cell r="N365">
            <v>0.32060068000000003</v>
          </cell>
        </row>
        <row r="366">
          <cell r="A366" t="str">
            <v>DT45A</v>
          </cell>
          <cell r="B366" t="str">
            <v>DT45AARS</v>
          </cell>
          <cell r="C366" t="str">
            <v>FF Tier 1 - TAMAR FF</v>
          </cell>
          <cell r="D366">
            <v>40.547632138540848</v>
          </cell>
          <cell r="E366">
            <v>0.45781973999999998</v>
          </cell>
          <cell r="F366">
            <v>0.45885728999999997</v>
          </cell>
          <cell r="G366">
            <v>0.45926850000000002</v>
          </cell>
          <cell r="H366">
            <v>0.45960447999999998</v>
          </cell>
          <cell r="I366">
            <v>0.45998662000000001</v>
          </cell>
          <cell r="J366">
            <v>0.46048098999999998</v>
          </cell>
          <cell r="K366">
            <v>0.46175115</v>
          </cell>
          <cell r="L366">
            <v>0.46192144000000002</v>
          </cell>
          <cell r="M366">
            <v>0.26520081000000001</v>
          </cell>
          <cell r="N366">
            <v>0.26557682999999999</v>
          </cell>
        </row>
        <row r="367">
          <cell r="A367" t="str">
            <v>CU59A</v>
          </cell>
          <cell r="B367" t="str">
            <v>CU59AARS</v>
          </cell>
          <cell r="C367" t="str">
            <v>FF Tier 1 - TAMAR FF</v>
          </cell>
          <cell r="D367">
            <v>40.443162641318196</v>
          </cell>
          <cell r="E367">
            <v>0.62412895999999995</v>
          </cell>
          <cell r="F367">
            <v>0.62549926</v>
          </cell>
          <cell r="G367">
            <v>0.62615233000000003</v>
          </cell>
          <cell r="H367">
            <v>0.62659825000000002</v>
          </cell>
          <cell r="I367">
            <v>0.62712491999999997</v>
          </cell>
          <cell r="J367">
            <v>0.62793927000000005</v>
          </cell>
          <cell r="K367">
            <v>0.62949372999999997</v>
          </cell>
          <cell r="L367">
            <v>0.63041493000000004</v>
          </cell>
          <cell r="M367">
            <v>0.63095027999999997</v>
          </cell>
          <cell r="N367">
            <v>0.63172737000000001</v>
          </cell>
        </row>
        <row r="368">
          <cell r="A368" t="str">
            <v>CU60A</v>
          </cell>
          <cell r="B368" t="str">
            <v>CU60AARS</v>
          </cell>
          <cell r="C368" t="str">
            <v>FF Tier 1 - TAMAR FF</v>
          </cell>
          <cell r="D368">
            <v>49.877935021940601</v>
          </cell>
          <cell r="E368">
            <v>1.00657072</v>
          </cell>
          <cell r="F368">
            <v>1.0087556799999999</v>
          </cell>
          <cell r="G368">
            <v>1.00986522</v>
          </cell>
          <cell r="H368">
            <v>1.01058351</v>
          </cell>
          <cell r="I368">
            <v>1.0114079600000001</v>
          </cell>
          <cell r="J368">
            <v>1.01273134</v>
          </cell>
          <cell r="K368">
            <v>1.01518457</v>
          </cell>
          <cell r="L368">
            <v>1.0168219300000001</v>
          </cell>
          <cell r="M368">
            <v>1.01770268</v>
          </cell>
          <cell r="N368">
            <v>1.0188719399999999</v>
          </cell>
        </row>
        <row r="369">
          <cell r="A369" t="str">
            <v>CU61A</v>
          </cell>
          <cell r="B369" t="str">
            <v>CU61AARS</v>
          </cell>
          <cell r="C369" t="str">
            <v>FF Tier 1 - TAMAR FF</v>
          </cell>
          <cell r="D369">
            <v>68.393924672753357</v>
          </cell>
          <cell r="E369">
            <v>0.98281662000000003</v>
          </cell>
          <cell r="F369">
            <v>0.98494055999999996</v>
          </cell>
          <cell r="G369">
            <v>0.98602820000000002</v>
          </cell>
          <cell r="H369">
            <v>0.98658029999999997</v>
          </cell>
          <cell r="I369">
            <v>0.98733300999999996</v>
          </cell>
          <cell r="J369">
            <v>0.98877042000000004</v>
          </cell>
          <cell r="K369">
            <v>0.99100527000000005</v>
          </cell>
          <cell r="L369">
            <v>0.99295317999999999</v>
          </cell>
          <cell r="M369">
            <v>0.99393103000000005</v>
          </cell>
          <cell r="N369">
            <v>0.99550000000000005</v>
          </cell>
        </row>
        <row r="370">
          <cell r="A370" t="str">
            <v>M347A</v>
          </cell>
          <cell r="B370" t="str">
            <v>M347AARS</v>
          </cell>
          <cell r="C370" t="str">
            <v>FF Tier 1 - TAMAR FF</v>
          </cell>
          <cell r="D370">
            <v>80.113545523084554</v>
          </cell>
          <cell r="E370">
            <v>0.51516627999999998</v>
          </cell>
          <cell r="F370">
            <v>0.51626455999999998</v>
          </cell>
          <cell r="G370">
            <v>0.51695314000000003</v>
          </cell>
          <cell r="H370">
            <v>0.51734780999999996</v>
          </cell>
          <cell r="I370">
            <v>0.51773382000000001</v>
          </cell>
          <cell r="J370">
            <v>0.51844869000000005</v>
          </cell>
          <cell r="K370">
            <v>0.51959440999999995</v>
          </cell>
          <cell r="L370">
            <v>0.52068219999999998</v>
          </cell>
          <cell r="M370">
            <v>0.52116324999999997</v>
          </cell>
          <cell r="N370">
            <v>0.52167286000000002</v>
          </cell>
        </row>
        <row r="371">
          <cell r="A371" t="str">
            <v>DT46A</v>
          </cell>
          <cell r="B371" t="str">
            <v>DT46AARS</v>
          </cell>
          <cell r="C371" t="str">
            <v>FF Tier 1 - TAMAR FF</v>
          </cell>
          <cell r="D371">
            <v>58.203918465197653</v>
          </cell>
          <cell r="E371">
            <v>1.0058975699999999</v>
          </cell>
          <cell r="F371">
            <v>1.00812301</v>
          </cell>
          <cell r="G371">
            <v>1.0092064300000001</v>
          </cell>
          <cell r="H371">
            <v>1.0099501799999999</v>
          </cell>
          <cell r="I371">
            <v>1.01079045</v>
          </cell>
          <cell r="J371">
            <v>1.0120756900000001</v>
          </cell>
          <cell r="K371">
            <v>1.0145838899999999</v>
          </cell>
          <cell r="L371">
            <v>1.0167199200000001</v>
          </cell>
          <cell r="M371">
            <v>0.62513430999999997</v>
          </cell>
          <cell r="N371">
            <v>0.62601167999999996</v>
          </cell>
        </row>
        <row r="372">
          <cell r="A372" t="str">
            <v>M349A</v>
          </cell>
          <cell r="B372" t="str">
            <v>M349AARS</v>
          </cell>
          <cell r="C372" t="str">
            <v>FF Tier 1 - TAMAR FF</v>
          </cell>
          <cell r="D372">
            <v>95.573035571936998</v>
          </cell>
          <cell r="E372">
            <v>0.62455282999999995</v>
          </cell>
          <cell r="F372">
            <v>0.62585338999999995</v>
          </cell>
          <cell r="G372">
            <v>0.62674333999999998</v>
          </cell>
          <cell r="H372">
            <v>0.62722144000000002</v>
          </cell>
          <cell r="I372">
            <v>0.62763875999999996</v>
          </cell>
          <cell r="J372">
            <v>0.62845547999999996</v>
          </cell>
          <cell r="K372">
            <v>0.62983270999999996</v>
          </cell>
          <cell r="L372">
            <v>0.63130010999999997</v>
          </cell>
          <cell r="M372">
            <v>0.63189753999999998</v>
          </cell>
          <cell r="N372">
            <v>0.63228983999999999</v>
          </cell>
        </row>
        <row r="373">
          <cell r="A373" t="str">
            <v>M351A</v>
          </cell>
          <cell r="B373" t="str">
            <v>M351AARS</v>
          </cell>
          <cell r="C373" t="str">
            <v>FF Tier 1 - TAMAR FF</v>
          </cell>
          <cell r="D373">
            <v>100.0911616648586</v>
          </cell>
          <cell r="E373">
            <v>0.68620334999999999</v>
          </cell>
          <cell r="F373">
            <v>0.68762175000000003</v>
          </cell>
          <cell r="G373">
            <v>0.68861691000000003</v>
          </cell>
          <cell r="H373">
            <v>0.68914193000000001</v>
          </cell>
          <cell r="I373">
            <v>0.68958176000000004</v>
          </cell>
          <cell r="J373">
            <v>0.69045751</v>
          </cell>
          <cell r="K373">
            <v>0.69197092000000004</v>
          </cell>
          <cell r="L373">
            <v>0.69363041999999997</v>
          </cell>
          <cell r="M373">
            <v>0.69429116999999996</v>
          </cell>
          <cell r="N373">
            <v>0.69463675999999996</v>
          </cell>
        </row>
        <row r="374">
          <cell r="A374" t="str">
            <v>C201A</v>
          </cell>
          <cell r="B374" t="str">
            <v>C201AARS</v>
          </cell>
          <cell r="C374" t="str">
            <v>FF Tier 1 - TAMAR FF</v>
          </cell>
          <cell r="D374">
            <v>50.326765495554852</v>
          </cell>
          <cell r="E374">
            <v>0.40025738</v>
          </cell>
          <cell r="F374">
            <v>0.40112279000000001</v>
          </cell>
          <cell r="G374">
            <v>0.40155822000000002</v>
          </cell>
          <cell r="H374">
            <v>0.40183333999999998</v>
          </cell>
          <cell r="I374">
            <v>0.40216580000000002</v>
          </cell>
          <cell r="J374">
            <v>0.40271404</v>
          </cell>
          <cell r="K374">
            <v>0.40367521000000001</v>
          </cell>
          <cell r="L374">
            <v>0.40433445000000001</v>
          </cell>
          <cell r="M374">
            <v>0.40469168</v>
          </cell>
          <cell r="N374">
            <v>0.40520201</v>
          </cell>
        </row>
        <row r="375">
          <cell r="A375" t="str">
            <v>C202A</v>
          </cell>
          <cell r="B375" t="str">
            <v>C202AARS</v>
          </cell>
          <cell r="C375" t="str">
            <v>FF Tier 1 - TAMAR FF</v>
          </cell>
          <cell r="D375">
            <v>98.531435425100398</v>
          </cell>
          <cell r="E375">
            <v>0.71093890999999998</v>
          </cell>
          <cell r="F375">
            <v>0.71237746000000002</v>
          </cell>
          <cell r="G375">
            <v>0.71335342999999996</v>
          </cell>
          <cell r="H375">
            <v>0.71384433000000003</v>
          </cell>
          <cell r="I375">
            <v>0.71429880999999995</v>
          </cell>
          <cell r="J375">
            <v>0.71519522999999996</v>
          </cell>
          <cell r="K375">
            <v>0.71678841000000004</v>
          </cell>
          <cell r="L375">
            <v>0.71849492000000004</v>
          </cell>
          <cell r="M375">
            <v>0.71918325000000005</v>
          </cell>
          <cell r="N375">
            <v>0.71952355000000001</v>
          </cell>
        </row>
        <row r="376">
          <cell r="A376" t="str">
            <v>DT47A</v>
          </cell>
          <cell r="B376" t="str">
            <v>DT47AARS</v>
          </cell>
          <cell r="C376" t="str">
            <v>FF Tier 1 - TAMAR FF</v>
          </cell>
          <cell r="D376">
            <v>79.723435910374349</v>
          </cell>
          <cell r="E376">
            <v>1.0023903999999999</v>
          </cell>
          <cell r="F376">
            <v>1.0045310000000001</v>
          </cell>
          <cell r="G376">
            <v>1.00583303</v>
          </cell>
          <cell r="H376">
            <v>1.00657942</v>
          </cell>
          <cell r="I376">
            <v>1.0073821199999999</v>
          </cell>
          <cell r="J376">
            <v>1.00883177</v>
          </cell>
          <cell r="K376">
            <v>1.0110340099999999</v>
          </cell>
          <cell r="L376">
            <v>1.01311522</v>
          </cell>
          <cell r="M376">
            <v>0.99341031000000002</v>
          </cell>
          <cell r="N376">
            <v>0.99454737000000004</v>
          </cell>
        </row>
        <row r="377">
          <cell r="A377" t="str">
            <v>M353A</v>
          </cell>
          <cell r="B377" t="str">
            <v>M353AARS</v>
          </cell>
          <cell r="C377" t="str">
            <v>FF Tier 1 - TAMAR FF</v>
          </cell>
          <cell r="D377">
            <v>103.708940443774</v>
          </cell>
          <cell r="E377">
            <v>0.78005524000000004</v>
          </cell>
          <cell r="F377">
            <v>0.78165653000000002</v>
          </cell>
          <cell r="G377">
            <v>0.78280276000000004</v>
          </cell>
          <cell r="H377">
            <v>0.78339913999999999</v>
          </cell>
          <cell r="I377">
            <v>0.78387571</v>
          </cell>
          <cell r="J377">
            <v>0.78483665000000002</v>
          </cell>
          <cell r="K377">
            <v>0.78656800000000004</v>
          </cell>
          <cell r="L377">
            <v>0.78849597999999999</v>
          </cell>
          <cell r="M377">
            <v>0.78925034999999999</v>
          </cell>
          <cell r="N377">
            <v>0.78953068999999998</v>
          </cell>
        </row>
        <row r="378">
          <cell r="A378" t="str">
            <v>WC08A</v>
          </cell>
          <cell r="B378" t="str">
            <v>WC08AARS</v>
          </cell>
          <cell r="C378" t="str">
            <v>FF Tier 1 - TAMAR FF</v>
          </cell>
          <cell r="D378">
            <v>157.2253937160267</v>
          </cell>
          <cell r="E378">
            <v>0.90941046000000003</v>
          </cell>
          <cell r="F378">
            <v>0.91112992999999998</v>
          </cell>
          <cell r="G378">
            <v>0.91261738000000003</v>
          </cell>
          <cell r="H378">
            <v>0.91329234999999998</v>
          </cell>
          <cell r="I378">
            <v>0.91359104000000002</v>
          </cell>
          <cell r="J378">
            <v>0.91429727000000005</v>
          </cell>
          <cell r="K378">
            <v>0.91645476999999997</v>
          </cell>
          <cell r="L378">
            <v>0.91917406000000001</v>
          </cell>
          <cell r="M378">
            <v>0.81826155</v>
          </cell>
          <cell r="N378">
            <v>0.8171851</v>
          </cell>
        </row>
        <row r="379">
          <cell r="A379" t="str">
            <v>DT48A</v>
          </cell>
          <cell r="B379" t="str">
            <v>DT48AARS</v>
          </cell>
          <cell r="C379" t="str">
            <v>FF Tier 1 - TAMAR FF</v>
          </cell>
          <cell r="D379">
            <v>106.11707494419986</v>
          </cell>
          <cell r="E379">
            <v>1.00011965</v>
          </cell>
          <cell r="F379">
            <v>1.00218681</v>
          </cell>
          <cell r="G379">
            <v>1.0036425600000001</v>
          </cell>
          <cell r="H379">
            <v>1.0043909900000001</v>
          </cell>
          <cell r="I379">
            <v>1.00511157</v>
          </cell>
          <cell r="J379">
            <v>1.0065506399999999</v>
          </cell>
          <cell r="K379">
            <v>1.0086247100000001</v>
          </cell>
          <cell r="L379">
            <v>1.0111099400000001</v>
          </cell>
          <cell r="M379">
            <v>0.99144527000000005</v>
          </cell>
          <cell r="N379">
            <v>0.99227204000000002</v>
          </cell>
        </row>
        <row r="380">
          <cell r="A380" t="str">
            <v>M355A</v>
          </cell>
          <cell r="B380" t="str">
            <v>M355AARS</v>
          </cell>
          <cell r="C380" t="str">
            <v>FF Tier 1 - TAMAR FF</v>
          </cell>
          <cell r="D380">
            <v>113.29553439392944</v>
          </cell>
          <cell r="E380">
            <v>0.90756258999999995</v>
          </cell>
          <cell r="F380">
            <v>0.90939433999999997</v>
          </cell>
          <cell r="G380">
            <v>0.91077553</v>
          </cell>
          <cell r="H380">
            <v>0.91146813000000004</v>
          </cell>
          <cell r="I380">
            <v>0.91196341000000003</v>
          </cell>
          <cell r="J380">
            <v>0.91300537000000004</v>
          </cell>
          <cell r="K380">
            <v>0.91503151999999999</v>
          </cell>
          <cell r="L380">
            <v>0.91740557</v>
          </cell>
          <cell r="M380">
            <v>0.91829477999999998</v>
          </cell>
          <cell r="N380">
            <v>0.91834532000000002</v>
          </cell>
        </row>
        <row r="381">
          <cell r="A381" t="str">
            <v>M357A</v>
          </cell>
          <cell r="B381" t="str">
            <v>M357AARS</v>
          </cell>
          <cell r="C381" t="str">
            <v>FF Tier 1 - TAMAR FF</v>
          </cell>
          <cell r="D381">
            <v>130.96392939628529</v>
          </cell>
          <cell r="E381">
            <v>1.0294700299999999</v>
          </cell>
          <cell r="F381">
            <v>1.03147974</v>
          </cell>
          <cell r="G381">
            <v>1.0331432899999999</v>
          </cell>
          <cell r="H381">
            <v>1.03392453</v>
          </cell>
          <cell r="I381">
            <v>1.0343582</v>
          </cell>
          <cell r="J381">
            <v>1.0353686200000001</v>
          </cell>
          <cell r="K381">
            <v>1.0377008999999999</v>
          </cell>
          <cell r="L381">
            <v>1.04066547</v>
          </cell>
          <cell r="M381">
            <v>1.04169661</v>
          </cell>
          <cell r="N381">
            <v>1.04114968</v>
          </cell>
        </row>
        <row r="382">
          <cell r="A382" t="str">
            <v>SK02A</v>
          </cell>
          <cell r="B382" t="str">
            <v>SK02AARS</v>
          </cell>
          <cell r="C382" t="str">
            <v>FF Tier 1 - TAMAR FF</v>
          </cell>
          <cell r="D382">
            <v>170.125767690499</v>
          </cell>
          <cell r="E382">
            <v>0.76180862000000005</v>
          </cell>
          <cell r="F382">
            <v>0.76322681999999997</v>
          </cell>
          <cell r="G382">
            <v>0.76453428999999995</v>
          </cell>
          <cell r="H382">
            <v>0.76511428000000004</v>
          </cell>
          <cell r="I382">
            <v>0.76527265</v>
          </cell>
          <cell r="J382">
            <v>0.76570956999999995</v>
          </cell>
          <cell r="K382">
            <v>0.76758775000000001</v>
          </cell>
          <cell r="L382">
            <v>0.76983424</v>
          </cell>
          <cell r="M382">
            <v>0.69091265999999996</v>
          </cell>
          <cell r="N382">
            <v>0.68951382000000006</v>
          </cell>
        </row>
        <row r="383">
          <cell r="A383" t="str">
            <v>DT49A</v>
          </cell>
          <cell r="B383" t="str">
            <v>DT49AARS</v>
          </cell>
          <cell r="C383" t="str">
            <v>FF Tier 1 - TAMAR FF</v>
          </cell>
          <cell r="D383">
            <v>129.1892929631822</v>
          </cell>
          <cell r="E383">
            <v>0.99790730000000005</v>
          </cell>
          <cell r="F383">
            <v>0.99990049999999997</v>
          </cell>
          <cell r="G383">
            <v>1.00148378</v>
          </cell>
          <cell r="H383">
            <v>1.00223065</v>
          </cell>
          <cell r="I383">
            <v>1.00284248</v>
          </cell>
          <cell r="J383">
            <v>1.0041870799999999</v>
          </cell>
          <cell r="K383">
            <v>1.0062106399999999</v>
          </cell>
          <cell r="L383">
            <v>1.00904014</v>
          </cell>
          <cell r="M383">
            <v>0.98940744000000003</v>
          </cell>
          <cell r="N383">
            <v>0.98976476999999996</v>
          </cell>
        </row>
        <row r="384">
          <cell r="A384" t="str">
            <v>DT50A</v>
          </cell>
          <cell r="B384" t="str">
            <v>DT50AARS</v>
          </cell>
          <cell r="C384" t="str">
            <v>FF Tier 1 - TAMAR FF</v>
          </cell>
          <cell r="D384">
            <v>134.43501566728531</v>
          </cell>
          <cell r="E384">
            <v>0.99729020999999995</v>
          </cell>
          <cell r="F384">
            <v>0.99926229</v>
          </cell>
          <cell r="G384">
            <v>1.0008716600000001</v>
          </cell>
          <cell r="H384">
            <v>1.0016167899999999</v>
          </cell>
          <cell r="I384">
            <v>1.0021877800000001</v>
          </cell>
          <cell r="J384">
            <v>1.00347392</v>
          </cell>
          <cell r="K384">
            <v>1.0055125300000001</v>
          </cell>
          <cell r="L384">
            <v>1.00841636</v>
          </cell>
          <cell r="M384">
            <v>0.98878944999999996</v>
          </cell>
          <cell r="N384">
            <v>0.98895407999999996</v>
          </cell>
        </row>
        <row r="385">
          <cell r="A385" t="str">
            <v>M359A</v>
          </cell>
          <cell r="B385" t="str">
            <v>M359AARS</v>
          </cell>
          <cell r="C385" t="str">
            <v>FF Tier 1 - TAMAR FF</v>
          </cell>
          <cell r="D385">
            <v>148.81646710984475</v>
          </cell>
          <cell r="E385">
            <v>1.00117301</v>
          </cell>
          <cell r="F385">
            <v>1.0030731799999999</v>
          </cell>
          <cell r="G385">
            <v>1.0047922600000001</v>
          </cell>
          <cell r="H385">
            <v>1.00554754</v>
          </cell>
          <cell r="I385">
            <v>1.0058950200000001</v>
          </cell>
          <cell r="J385">
            <v>1.0068354100000001</v>
          </cell>
          <cell r="K385">
            <v>1.0090466</v>
          </cell>
          <cell r="L385">
            <v>1.0122099499999999</v>
          </cell>
          <cell r="M385">
            <v>1.01324367</v>
          </cell>
          <cell r="N385">
            <v>1.01241041</v>
          </cell>
        </row>
        <row r="386">
          <cell r="A386" t="str">
            <v>DT54A</v>
          </cell>
          <cell r="B386" t="str">
            <v>DT54AARS</v>
          </cell>
          <cell r="C386" t="str">
            <v>FF Tier 1 - TAMAR FF</v>
          </cell>
          <cell r="D386">
            <v>218.73042803791529</v>
          </cell>
          <cell r="E386">
            <v>0.97226961000000001</v>
          </cell>
          <cell r="F386">
            <v>0.97386326999999995</v>
          </cell>
          <cell r="G386">
            <v>0.97587734000000004</v>
          </cell>
          <cell r="H386">
            <v>0.97659342000000005</v>
          </cell>
          <cell r="I386">
            <v>0.97643957000000003</v>
          </cell>
          <cell r="J386">
            <v>0.97662875000000005</v>
          </cell>
          <cell r="K386">
            <v>0.97896689000000003</v>
          </cell>
          <cell r="L386">
            <v>0.98302480000000003</v>
          </cell>
          <cell r="M386">
            <v>0.98065654000000002</v>
          </cell>
          <cell r="N386">
            <v>0.97740302999999995</v>
          </cell>
        </row>
        <row r="387">
          <cell r="A387" t="str">
            <v>DT55A</v>
          </cell>
          <cell r="B387" t="str">
            <v>DT55AARS</v>
          </cell>
          <cell r="C387" t="str">
            <v>FF Tier 1 - TAMAR FF</v>
          </cell>
          <cell r="D387">
            <v>241.6319600717321</v>
          </cell>
        </row>
        <row r="389">
          <cell r="A389" t="str">
            <v>Acciones en pesos</v>
          </cell>
        </row>
        <row r="391">
          <cell r="A391" t="str">
            <v>GGAL</v>
          </cell>
          <cell r="B391" t="str">
            <v>GGALARS</v>
          </cell>
          <cell r="C391">
            <v>0</v>
          </cell>
          <cell r="D391">
            <v>0</v>
          </cell>
          <cell r="E391">
            <v>5865</v>
          </cell>
          <cell r="F391">
            <v>5835</v>
          </cell>
          <cell r="G391">
            <v>6135</v>
          </cell>
          <cell r="H391">
            <v>6165</v>
          </cell>
          <cell r="I391">
            <v>5970</v>
          </cell>
          <cell r="J391">
            <v>5950</v>
          </cell>
          <cell r="K391">
            <v>5940</v>
          </cell>
          <cell r="L391">
            <v>5940</v>
          </cell>
          <cell r="M391">
            <v>5750</v>
          </cell>
          <cell r="N391">
            <v>5900</v>
          </cell>
        </row>
        <row r="392">
          <cell r="A392" t="str">
            <v>TXAR</v>
          </cell>
          <cell r="B392" t="str">
            <v>TXARARS</v>
          </cell>
          <cell r="C392">
            <v>0</v>
          </cell>
          <cell r="D392">
            <v>0</v>
          </cell>
          <cell r="E392">
            <v>662.5</v>
          </cell>
          <cell r="F392">
            <v>674.5</v>
          </cell>
          <cell r="G392">
            <v>673</v>
          </cell>
          <cell r="H392">
            <v>665.5</v>
          </cell>
          <cell r="I392">
            <v>659</v>
          </cell>
          <cell r="J392">
            <v>669</v>
          </cell>
          <cell r="K392">
            <v>671</v>
          </cell>
          <cell r="L392">
            <v>702.5</v>
          </cell>
          <cell r="M392">
            <v>698.5</v>
          </cell>
          <cell r="N392">
            <v>723.5</v>
          </cell>
        </row>
        <row r="393">
          <cell r="A393" t="str">
            <v>YPFD</v>
          </cell>
          <cell r="B393" t="str">
            <v>YPFDARS</v>
          </cell>
          <cell r="C393">
            <v>0</v>
          </cell>
          <cell r="D393">
            <v>0</v>
          </cell>
          <cell r="E393">
            <v>8005</v>
          </cell>
          <cell r="F393">
            <v>8050</v>
          </cell>
          <cell r="G393">
            <v>8225</v>
          </cell>
          <cell r="H393">
            <v>8245</v>
          </cell>
          <cell r="I393">
            <v>7980</v>
          </cell>
          <cell r="J393">
            <v>8045</v>
          </cell>
          <cell r="K393">
            <v>8065</v>
          </cell>
          <cell r="L393">
            <v>8330</v>
          </cell>
          <cell r="M393">
            <v>8460</v>
          </cell>
          <cell r="N393">
            <v>8270</v>
          </cell>
        </row>
        <row r="394">
          <cell r="A394" t="str">
            <v>PAMP</v>
          </cell>
          <cell r="B394" t="str">
            <v>PAMPARS</v>
          </cell>
          <cell r="C394">
            <v>0</v>
          </cell>
          <cell r="D394">
            <v>0</v>
          </cell>
          <cell r="E394">
            <v>4942.5</v>
          </cell>
          <cell r="F394">
            <v>4972.5</v>
          </cell>
          <cell r="G394">
            <v>5130</v>
          </cell>
          <cell r="H394">
            <v>5265</v>
          </cell>
          <cell r="I394">
            <v>5150</v>
          </cell>
          <cell r="J394">
            <v>5190</v>
          </cell>
          <cell r="K394">
            <v>5190</v>
          </cell>
          <cell r="L394">
            <v>5235</v>
          </cell>
          <cell r="M394">
            <v>5220</v>
          </cell>
          <cell r="N394">
            <v>5205</v>
          </cell>
        </row>
        <row r="395">
          <cell r="A395" t="str">
            <v>BBAR</v>
          </cell>
          <cell r="B395" t="str">
            <v>BBARARS</v>
          </cell>
          <cell r="C395">
            <v>0</v>
          </cell>
          <cell r="D395">
            <v>0</v>
          </cell>
          <cell r="E395">
            <v>6750</v>
          </cell>
          <cell r="F395">
            <v>6750</v>
          </cell>
          <cell r="G395">
            <v>7130</v>
          </cell>
          <cell r="H395">
            <v>7325</v>
          </cell>
          <cell r="I395">
            <v>6975</v>
          </cell>
          <cell r="J395">
            <v>6820</v>
          </cell>
          <cell r="K395">
            <v>6800</v>
          </cell>
          <cell r="L395">
            <v>6965</v>
          </cell>
          <cell r="M395">
            <v>6760</v>
          </cell>
          <cell r="N395">
            <v>6980</v>
          </cell>
        </row>
        <row r="396">
          <cell r="A396" t="str">
            <v>ALUA</v>
          </cell>
          <cell r="B396" t="str">
            <v>ALUAARS</v>
          </cell>
          <cell r="C396">
            <v>0</v>
          </cell>
          <cell r="D396">
            <v>0</v>
          </cell>
          <cell r="E396">
            <v>812</v>
          </cell>
          <cell r="F396">
            <v>817</v>
          </cell>
          <cell r="G396">
            <v>830</v>
          </cell>
          <cell r="H396">
            <v>813.5</v>
          </cell>
          <cell r="I396">
            <v>808</v>
          </cell>
          <cell r="J396">
            <v>812</v>
          </cell>
          <cell r="K396">
            <v>839.5</v>
          </cell>
          <cell r="L396">
            <v>849.5</v>
          </cell>
          <cell r="M396">
            <v>830</v>
          </cell>
          <cell r="N396">
            <v>845</v>
          </cell>
        </row>
        <row r="397">
          <cell r="A397" t="str">
            <v>LOMA</v>
          </cell>
          <cell r="B397" t="str">
            <v>LOMAARS</v>
          </cell>
          <cell r="C397">
            <v>0</v>
          </cell>
          <cell r="D397">
            <v>0</v>
          </cell>
          <cell r="E397">
            <v>2925</v>
          </cell>
          <cell r="F397">
            <v>2980</v>
          </cell>
          <cell r="G397">
            <v>3127.5</v>
          </cell>
          <cell r="H397">
            <v>3135</v>
          </cell>
          <cell r="I397">
            <v>3067.5</v>
          </cell>
          <cell r="J397">
            <v>3220</v>
          </cell>
          <cell r="K397">
            <v>3257.5</v>
          </cell>
          <cell r="L397">
            <v>3222.5</v>
          </cell>
          <cell r="M397">
            <v>3215</v>
          </cell>
          <cell r="N397">
            <v>3257.5</v>
          </cell>
        </row>
        <row r="398">
          <cell r="A398" t="str">
            <v>CEPU</v>
          </cell>
          <cell r="B398" t="str">
            <v>CEPUARS</v>
          </cell>
          <cell r="C398">
            <v>0</v>
          </cell>
          <cell r="D398">
            <v>0</v>
          </cell>
          <cell r="E398">
            <v>1913</v>
          </cell>
          <cell r="F398">
            <v>1893</v>
          </cell>
          <cell r="G398">
            <v>1987</v>
          </cell>
          <cell r="H398">
            <v>2049</v>
          </cell>
          <cell r="I398">
            <v>2016</v>
          </cell>
          <cell r="J398">
            <v>2033</v>
          </cell>
          <cell r="K398">
            <v>2034</v>
          </cell>
          <cell r="L398">
            <v>2119</v>
          </cell>
          <cell r="M398">
            <v>2056</v>
          </cell>
          <cell r="N398">
            <v>2071</v>
          </cell>
        </row>
        <row r="399">
          <cell r="A399" t="str">
            <v>BYMA</v>
          </cell>
          <cell r="B399" t="str">
            <v>BYMAARS</v>
          </cell>
          <cell r="C399">
            <v>0</v>
          </cell>
          <cell r="D399">
            <v>0</v>
          </cell>
          <cell r="E399">
            <v>242.5</v>
          </cell>
          <cell r="F399">
            <v>251.5</v>
          </cell>
          <cell r="G399">
            <v>257</v>
          </cell>
          <cell r="H399">
            <v>261.25</v>
          </cell>
          <cell r="I399">
            <v>258</v>
          </cell>
          <cell r="J399">
            <v>254</v>
          </cell>
          <cell r="K399">
            <v>255.25</v>
          </cell>
          <cell r="L399">
            <v>257.75</v>
          </cell>
          <cell r="M399">
            <v>256.75</v>
          </cell>
          <cell r="N399">
            <v>257.25</v>
          </cell>
        </row>
        <row r="400">
          <cell r="A400" t="str">
            <v>SUPV</v>
          </cell>
          <cell r="B400" t="str">
            <v>SUPVARS</v>
          </cell>
          <cell r="C400">
            <v>0</v>
          </cell>
          <cell r="D400">
            <v>0</v>
          </cell>
          <cell r="E400">
            <v>2235</v>
          </cell>
          <cell r="F400">
            <v>2249</v>
          </cell>
          <cell r="G400">
            <v>2369</v>
          </cell>
          <cell r="H400">
            <v>2412</v>
          </cell>
          <cell r="I400">
            <v>2316</v>
          </cell>
          <cell r="J400">
            <v>2305</v>
          </cell>
          <cell r="K400">
            <v>2314</v>
          </cell>
          <cell r="L400">
            <v>2331</v>
          </cell>
          <cell r="M400">
            <v>2273</v>
          </cell>
          <cell r="N400">
            <v>2386</v>
          </cell>
        </row>
        <row r="401">
          <cell r="A401" t="str">
            <v>TGNO4</v>
          </cell>
          <cell r="B401" t="str">
            <v>TGNO4ARS</v>
          </cell>
          <cell r="C401">
            <v>0</v>
          </cell>
          <cell r="D401">
            <v>0</v>
          </cell>
          <cell r="E401">
            <v>3252.5</v>
          </cell>
          <cell r="F401">
            <v>3285</v>
          </cell>
          <cell r="G401">
            <v>3372.5</v>
          </cell>
          <cell r="H401">
            <v>3340</v>
          </cell>
          <cell r="I401">
            <v>3315</v>
          </cell>
          <cell r="J401">
            <v>3312.5</v>
          </cell>
          <cell r="K401">
            <v>3297.5</v>
          </cell>
          <cell r="L401">
            <v>3252.5</v>
          </cell>
          <cell r="M401">
            <v>3195</v>
          </cell>
          <cell r="N401">
            <v>3265</v>
          </cell>
        </row>
        <row r="402">
          <cell r="A402" t="str">
            <v>CRES</v>
          </cell>
          <cell r="B402" t="str">
            <v>CRESARS</v>
          </cell>
          <cell r="C402">
            <v>0</v>
          </cell>
          <cell r="D402">
            <v>0</v>
          </cell>
          <cell r="E402">
            <v>1841</v>
          </cell>
          <cell r="F402">
            <v>1829</v>
          </cell>
          <cell r="G402">
            <v>1907</v>
          </cell>
          <cell r="H402">
            <v>1952</v>
          </cell>
          <cell r="I402">
            <v>1873</v>
          </cell>
          <cell r="J402">
            <v>1873</v>
          </cell>
          <cell r="K402">
            <v>1837</v>
          </cell>
          <cell r="L402">
            <v>1851</v>
          </cell>
          <cell r="M402">
            <v>1793</v>
          </cell>
          <cell r="N402">
            <v>1840</v>
          </cell>
        </row>
        <row r="403">
          <cell r="A403" t="str">
            <v>TECO2</v>
          </cell>
          <cell r="B403" t="str">
            <v>TECO2ARS</v>
          </cell>
          <cell r="C403">
            <v>0</v>
          </cell>
          <cell r="D403">
            <v>0</v>
          </cell>
          <cell r="E403">
            <v>3802.5</v>
          </cell>
          <cell r="F403">
            <v>3832.5</v>
          </cell>
          <cell r="G403">
            <v>4032.5</v>
          </cell>
          <cell r="H403">
            <v>4075</v>
          </cell>
          <cell r="I403">
            <v>4077.5</v>
          </cell>
          <cell r="J403">
            <v>4142.5</v>
          </cell>
          <cell r="K403">
            <v>3990</v>
          </cell>
          <cell r="L403">
            <v>3977.5</v>
          </cell>
          <cell r="M403">
            <v>4017.5</v>
          </cell>
          <cell r="N403">
            <v>4052.5</v>
          </cell>
        </row>
        <row r="404">
          <cell r="A404" t="str">
            <v>VALO</v>
          </cell>
          <cell r="B404" t="str">
            <v>VALOARS</v>
          </cell>
          <cell r="C404">
            <v>0</v>
          </cell>
          <cell r="D404">
            <v>0</v>
          </cell>
          <cell r="E404">
            <v>534.5</v>
          </cell>
          <cell r="F404">
            <v>535.5</v>
          </cell>
          <cell r="G404">
            <v>541</v>
          </cell>
          <cell r="H404">
            <v>545</v>
          </cell>
          <cell r="I404">
            <v>543.5</v>
          </cell>
          <cell r="J404">
            <v>540</v>
          </cell>
          <cell r="K404">
            <v>540.5</v>
          </cell>
          <cell r="L404">
            <v>540.5</v>
          </cell>
          <cell r="M404">
            <v>529.5</v>
          </cell>
          <cell r="N404">
            <v>525</v>
          </cell>
        </row>
        <row r="405">
          <cell r="A405" t="str">
            <v>TGSU2</v>
          </cell>
          <cell r="B405" t="str">
            <v>TGSU2ARS</v>
          </cell>
          <cell r="C405">
            <v>0</v>
          </cell>
          <cell r="D405">
            <v>0</v>
          </cell>
          <cell r="E405">
            <v>8120</v>
          </cell>
          <cell r="F405">
            <v>8105</v>
          </cell>
          <cell r="G405">
            <v>8580</v>
          </cell>
          <cell r="H405">
            <v>8715</v>
          </cell>
          <cell r="I405">
            <v>8475</v>
          </cell>
          <cell r="J405">
            <v>8490</v>
          </cell>
          <cell r="K405">
            <v>8340</v>
          </cell>
          <cell r="L405">
            <v>8415</v>
          </cell>
          <cell r="M405">
            <v>8395</v>
          </cell>
          <cell r="N405">
            <v>8370</v>
          </cell>
        </row>
        <row r="406">
          <cell r="A406" t="str">
            <v>AUSO</v>
          </cell>
          <cell r="B406" t="str">
            <v>AUSOARS</v>
          </cell>
          <cell r="C406">
            <v>0</v>
          </cell>
          <cell r="D406">
            <v>0</v>
          </cell>
          <cell r="E406">
            <v>2810</v>
          </cell>
          <cell r="F406">
            <v>2875</v>
          </cell>
          <cell r="G406">
            <v>2930</v>
          </cell>
          <cell r="H406">
            <v>2950</v>
          </cell>
          <cell r="I406">
            <v>2890</v>
          </cell>
          <cell r="J406">
            <v>2915</v>
          </cell>
          <cell r="K406">
            <v>2980</v>
          </cell>
          <cell r="L406">
            <v>2900</v>
          </cell>
          <cell r="M406">
            <v>2855</v>
          </cell>
          <cell r="N406">
            <v>2790</v>
          </cell>
        </row>
        <row r="407">
          <cell r="A407" t="str">
            <v>METR</v>
          </cell>
          <cell r="B407" t="str">
            <v>METRARS</v>
          </cell>
          <cell r="C407">
            <v>0</v>
          </cell>
          <cell r="D407">
            <v>0</v>
          </cell>
          <cell r="E407">
            <v>2280</v>
          </cell>
          <cell r="F407">
            <v>2287</v>
          </cell>
          <cell r="G407">
            <v>2327</v>
          </cell>
          <cell r="H407">
            <v>2296</v>
          </cell>
          <cell r="I407">
            <v>2372</v>
          </cell>
          <cell r="J407">
            <v>2409</v>
          </cell>
          <cell r="K407">
            <v>2379</v>
          </cell>
          <cell r="L407">
            <v>2358</v>
          </cell>
          <cell r="M407">
            <v>2335</v>
          </cell>
          <cell r="N407">
            <v>2351</v>
          </cell>
        </row>
        <row r="408">
          <cell r="A408" t="str">
            <v>ECOG</v>
          </cell>
          <cell r="B408" t="str">
            <v>ECOGARS</v>
          </cell>
          <cell r="C408">
            <v>0</v>
          </cell>
          <cell r="D408">
            <v>0</v>
          </cell>
          <cell r="E408">
            <v>2420</v>
          </cell>
          <cell r="F408">
            <v>2429</v>
          </cell>
          <cell r="G408">
            <v>2510</v>
          </cell>
          <cell r="H408">
            <v>2522.5</v>
          </cell>
          <cell r="I408">
            <v>2485</v>
          </cell>
          <cell r="J408">
            <v>2448</v>
          </cell>
          <cell r="K408">
            <v>2482</v>
          </cell>
          <cell r="L408">
            <v>2433</v>
          </cell>
          <cell r="M408">
            <v>2391</v>
          </cell>
          <cell r="N408">
            <v>2380</v>
          </cell>
        </row>
        <row r="409">
          <cell r="A409" t="str">
            <v>COME</v>
          </cell>
          <cell r="B409" t="str">
            <v>COMEARS</v>
          </cell>
          <cell r="C409">
            <v>0</v>
          </cell>
          <cell r="D409">
            <v>0</v>
          </cell>
          <cell r="E409">
            <v>38.93</v>
          </cell>
          <cell r="F409">
            <v>38.96</v>
          </cell>
          <cell r="G409">
            <v>39.99</v>
          </cell>
          <cell r="H409">
            <v>39.79</v>
          </cell>
          <cell r="I409">
            <v>38.92</v>
          </cell>
          <cell r="J409">
            <v>39.03</v>
          </cell>
          <cell r="K409">
            <v>39.01</v>
          </cell>
          <cell r="L409">
            <v>39.07</v>
          </cell>
          <cell r="M409">
            <v>38.43</v>
          </cell>
          <cell r="N409">
            <v>38.28</v>
          </cell>
        </row>
        <row r="410">
          <cell r="A410" t="str">
            <v>MIRG</v>
          </cell>
          <cell r="B410" t="str">
            <v>MIRGARS</v>
          </cell>
          <cell r="C410">
            <v>0</v>
          </cell>
          <cell r="D410">
            <v>0</v>
          </cell>
          <cell r="E410">
            <v>1675</v>
          </cell>
          <cell r="F410">
            <v>1720</v>
          </cell>
          <cell r="G410">
            <v>1725</v>
          </cell>
          <cell r="H410">
            <v>1765</v>
          </cell>
          <cell r="I410">
            <v>1835</v>
          </cell>
          <cell r="J410">
            <v>1805</v>
          </cell>
          <cell r="K410">
            <v>1770</v>
          </cell>
          <cell r="L410">
            <v>1740</v>
          </cell>
          <cell r="M410">
            <v>1745</v>
          </cell>
          <cell r="N410">
            <v>1710</v>
          </cell>
        </row>
        <row r="411">
          <cell r="A411" t="str">
            <v>CVH</v>
          </cell>
          <cell r="B411" t="str">
            <v>CVHARS</v>
          </cell>
          <cell r="C411">
            <v>0</v>
          </cell>
          <cell r="D411">
            <v>0</v>
          </cell>
          <cell r="E411">
            <v>9260</v>
          </cell>
          <cell r="F411">
            <v>9260</v>
          </cell>
          <cell r="G411">
            <v>9310</v>
          </cell>
          <cell r="H411">
            <v>9250</v>
          </cell>
          <cell r="I411">
            <v>9210</v>
          </cell>
          <cell r="J411">
            <v>9300</v>
          </cell>
          <cell r="K411">
            <v>9290</v>
          </cell>
          <cell r="L411">
            <v>9260</v>
          </cell>
          <cell r="M411">
            <v>9250</v>
          </cell>
          <cell r="N411">
            <v>9220</v>
          </cell>
        </row>
        <row r="412">
          <cell r="A412" t="str">
            <v>TRAN</v>
          </cell>
          <cell r="B412" t="str">
            <v>TRANARS</v>
          </cell>
          <cell r="C412">
            <v>0</v>
          </cell>
          <cell r="D412">
            <v>0</v>
          </cell>
          <cell r="E412">
            <v>3007.5</v>
          </cell>
          <cell r="F412">
            <v>2967.5</v>
          </cell>
          <cell r="G412">
            <v>2927.5</v>
          </cell>
          <cell r="H412">
            <v>2842.5</v>
          </cell>
          <cell r="I412">
            <v>2742.5</v>
          </cell>
          <cell r="J412">
            <v>2770</v>
          </cell>
          <cell r="K412">
            <v>2777.5</v>
          </cell>
          <cell r="L412">
            <v>2705</v>
          </cell>
          <cell r="M412">
            <v>2682.5</v>
          </cell>
          <cell r="N412">
            <v>2700</v>
          </cell>
        </row>
        <row r="413">
          <cell r="A413" t="str">
            <v>HARG</v>
          </cell>
          <cell r="B413" t="str">
            <v>HARGARS</v>
          </cell>
          <cell r="C413">
            <v>0</v>
          </cell>
          <cell r="D413">
            <v>0</v>
          </cell>
          <cell r="E413">
            <v>1250</v>
          </cell>
          <cell r="F413">
            <v>1270</v>
          </cell>
          <cell r="G413">
            <v>1305</v>
          </cell>
          <cell r="H413">
            <v>1350</v>
          </cell>
          <cell r="I413">
            <v>1315</v>
          </cell>
          <cell r="J413">
            <v>1335</v>
          </cell>
          <cell r="K413">
            <v>1335</v>
          </cell>
          <cell r="L413">
            <v>1330</v>
          </cell>
          <cell r="M413">
            <v>1340</v>
          </cell>
          <cell r="N413">
            <v>1320</v>
          </cell>
        </row>
        <row r="414">
          <cell r="A414" t="str">
            <v>EDN</v>
          </cell>
          <cell r="B414" t="str">
            <v>EDNARS</v>
          </cell>
          <cell r="C414">
            <v>0</v>
          </cell>
          <cell r="D414">
            <v>0</v>
          </cell>
          <cell r="E414">
            <v>1629</v>
          </cell>
          <cell r="F414">
            <v>1616</v>
          </cell>
          <cell r="G414">
            <v>1683</v>
          </cell>
          <cell r="H414">
            <v>1667</v>
          </cell>
          <cell r="I414">
            <v>1635</v>
          </cell>
          <cell r="J414">
            <v>1622</v>
          </cell>
          <cell r="K414">
            <v>1627</v>
          </cell>
          <cell r="L414">
            <v>1653</v>
          </cell>
          <cell r="M414">
            <v>1660</v>
          </cell>
          <cell r="N414">
            <v>1672</v>
          </cell>
        </row>
        <row r="415">
          <cell r="A415" t="str">
            <v>MASU</v>
          </cell>
          <cell r="B415" t="str">
            <v>MASUARS</v>
          </cell>
          <cell r="C415">
            <v>0</v>
          </cell>
          <cell r="D415">
            <v>0</v>
          </cell>
          <cell r="E415">
            <v>0.01</v>
          </cell>
          <cell r="F415">
            <v>0.01</v>
          </cell>
          <cell r="G415">
            <v>0.01</v>
          </cell>
          <cell r="H415">
            <v>0.01</v>
          </cell>
          <cell r="I415">
            <v>0.01</v>
          </cell>
          <cell r="J415">
            <v>0.01</v>
          </cell>
          <cell r="K415">
            <v>0.01</v>
          </cell>
          <cell r="L415">
            <v>0.01</v>
          </cell>
          <cell r="M415">
            <v>0.01</v>
          </cell>
          <cell r="N415">
            <v>0.01</v>
          </cell>
        </row>
        <row r="416">
          <cell r="A416" t="str">
            <v>INVJ</v>
          </cell>
          <cell r="B416" t="str">
            <v>INVJARS</v>
          </cell>
          <cell r="C416">
            <v>0</v>
          </cell>
          <cell r="D416">
            <v>0</v>
          </cell>
          <cell r="E416">
            <v>383</v>
          </cell>
          <cell r="F416">
            <v>383.5</v>
          </cell>
          <cell r="G416">
            <v>390.5</v>
          </cell>
          <cell r="H416">
            <v>400</v>
          </cell>
          <cell r="I416">
            <v>396</v>
          </cell>
          <cell r="J416">
            <v>402</v>
          </cell>
          <cell r="K416">
            <v>394.5</v>
          </cell>
          <cell r="L416">
            <v>389.5</v>
          </cell>
          <cell r="M416">
            <v>388</v>
          </cell>
          <cell r="N416">
            <v>385.5</v>
          </cell>
        </row>
        <row r="417">
          <cell r="A417" t="str">
            <v>IRSA</v>
          </cell>
          <cell r="B417" t="str">
            <v>IRSAARS</v>
          </cell>
          <cell r="C417">
            <v>0</v>
          </cell>
          <cell r="D417">
            <v>0</v>
          </cell>
          <cell r="E417">
            <v>2140</v>
          </cell>
          <cell r="F417">
            <v>2175</v>
          </cell>
          <cell r="G417">
            <v>2255</v>
          </cell>
          <cell r="H417">
            <v>2305</v>
          </cell>
          <cell r="I417">
            <v>2270</v>
          </cell>
          <cell r="J417">
            <v>2230</v>
          </cell>
          <cell r="K417">
            <v>2205</v>
          </cell>
          <cell r="L417">
            <v>2290</v>
          </cell>
          <cell r="M417">
            <v>2225</v>
          </cell>
          <cell r="N417">
            <v>2270</v>
          </cell>
        </row>
        <row r="418">
          <cell r="A418" t="str">
            <v>DGCE</v>
          </cell>
          <cell r="B418" t="str">
            <v>DGCEARS</v>
          </cell>
          <cell r="C418">
            <v>0</v>
          </cell>
          <cell r="D418">
            <v>0</v>
          </cell>
          <cell r="E418">
            <v>1850</v>
          </cell>
          <cell r="F418">
            <v>1850</v>
          </cell>
          <cell r="G418">
            <v>1850</v>
          </cell>
          <cell r="H418">
            <v>1850</v>
          </cell>
          <cell r="I418">
            <v>1850</v>
          </cell>
          <cell r="J418">
            <v>1850</v>
          </cell>
          <cell r="K418">
            <v>1850</v>
          </cell>
          <cell r="L418">
            <v>1850</v>
          </cell>
          <cell r="M418">
            <v>1850</v>
          </cell>
          <cell r="N418">
            <v>1850</v>
          </cell>
        </row>
        <row r="419">
          <cell r="A419" t="str">
            <v>BHIP</v>
          </cell>
          <cell r="B419" t="str">
            <v>BHIPARS</v>
          </cell>
          <cell r="C419">
            <v>0</v>
          </cell>
          <cell r="D419">
            <v>0</v>
          </cell>
          <cell r="E419">
            <v>257.5</v>
          </cell>
          <cell r="F419">
            <v>260.5</v>
          </cell>
          <cell r="G419">
            <v>267.5</v>
          </cell>
          <cell r="H419">
            <v>265</v>
          </cell>
          <cell r="I419">
            <v>258</v>
          </cell>
          <cell r="J419">
            <v>254</v>
          </cell>
          <cell r="K419">
            <v>255</v>
          </cell>
          <cell r="L419">
            <v>259</v>
          </cell>
          <cell r="M419">
            <v>251</v>
          </cell>
          <cell r="N419">
            <v>253.5</v>
          </cell>
        </row>
        <row r="421">
          <cell r="A421" t="str">
            <v>Cedears en pesos</v>
          </cell>
        </row>
        <row r="423">
          <cell r="A423" t="str">
            <v>MELI</v>
          </cell>
          <cell r="B423" t="str">
            <v>MELIARS</v>
          </cell>
          <cell r="C423">
            <v>0</v>
          </cell>
          <cell r="D423">
            <v>0</v>
          </cell>
          <cell r="E423">
            <v>22840</v>
          </cell>
          <cell r="F423">
            <v>22990</v>
          </cell>
          <cell r="G423">
            <v>24920</v>
          </cell>
          <cell r="H423">
            <v>24880</v>
          </cell>
          <cell r="I423">
            <v>25120</v>
          </cell>
          <cell r="J423">
            <v>24910</v>
          </cell>
          <cell r="K423">
            <v>25360</v>
          </cell>
          <cell r="L423">
            <v>25220</v>
          </cell>
          <cell r="M423">
            <v>24690</v>
          </cell>
          <cell r="N423">
            <v>24970</v>
          </cell>
        </row>
        <row r="424">
          <cell r="A424" t="str">
            <v>NU</v>
          </cell>
          <cell r="B424" t="str">
            <v>NUARS</v>
          </cell>
          <cell r="C424">
            <v>0</v>
          </cell>
          <cell r="D424">
            <v>0</v>
          </cell>
          <cell r="E424">
            <v>10770</v>
          </cell>
          <cell r="F424">
            <v>10900</v>
          </cell>
          <cell r="G424">
            <v>12210</v>
          </cell>
          <cell r="H424">
            <v>12580</v>
          </cell>
          <cell r="I424">
            <v>12530</v>
          </cell>
          <cell r="J424">
            <v>12380</v>
          </cell>
          <cell r="K424">
            <v>12960</v>
          </cell>
          <cell r="L424">
            <v>12550</v>
          </cell>
          <cell r="M424">
            <v>11990</v>
          </cell>
          <cell r="N424">
            <v>11970</v>
          </cell>
        </row>
        <row r="425">
          <cell r="A425" t="str">
            <v>VALE</v>
          </cell>
          <cell r="B425" t="str">
            <v>VALEARS</v>
          </cell>
          <cell r="C425">
            <v>0</v>
          </cell>
          <cell r="D425">
            <v>0</v>
          </cell>
          <cell r="E425">
            <v>10960</v>
          </cell>
          <cell r="F425">
            <v>11160</v>
          </cell>
          <cell r="G425">
            <v>11410</v>
          </cell>
          <cell r="H425">
            <v>11390</v>
          </cell>
          <cell r="I425">
            <v>11000</v>
          </cell>
          <cell r="J425">
            <v>10850</v>
          </cell>
          <cell r="K425">
            <v>11010</v>
          </cell>
          <cell r="L425">
            <v>10800</v>
          </cell>
          <cell r="M425">
            <v>10710</v>
          </cell>
          <cell r="N425">
            <v>10540</v>
          </cell>
        </row>
        <row r="426">
          <cell r="A426" t="str">
            <v>BBDC3</v>
          </cell>
          <cell r="B426" t="str">
            <v>BBDC3ARS</v>
          </cell>
          <cell r="C426">
            <v>0</v>
          </cell>
          <cell r="D426">
            <v>0</v>
          </cell>
          <cell r="E426">
            <v>5130</v>
          </cell>
          <cell r="F426">
            <v>5210</v>
          </cell>
          <cell r="G426">
            <v>6190</v>
          </cell>
          <cell r="H426">
            <v>6110</v>
          </cell>
          <cell r="I426">
            <v>6085</v>
          </cell>
          <cell r="J426">
            <v>6050</v>
          </cell>
          <cell r="K426">
            <v>6305</v>
          </cell>
          <cell r="L426">
            <v>6100</v>
          </cell>
          <cell r="M426">
            <v>6100</v>
          </cell>
          <cell r="N426">
            <v>5995</v>
          </cell>
        </row>
        <row r="427">
          <cell r="A427" t="str">
            <v>VALE3</v>
          </cell>
          <cell r="B427" t="str">
            <v>VALE3ARS</v>
          </cell>
          <cell r="C427">
            <v>0</v>
          </cell>
          <cell r="D427">
            <v>0</v>
          </cell>
          <cell r="E427">
            <v>21740</v>
          </cell>
          <cell r="F427">
            <v>22430</v>
          </cell>
          <cell r="G427">
            <v>23200</v>
          </cell>
          <cell r="H427">
            <v>23070</v>
          </cell>
          <cell r="I427">
            <v>22150</v>
          </cell>
          <cell r="J427">
            <v>21720</v>
          </cell>
          <cell r="K427">
            <v>21850</v>
          </cell>
          <cell r="L427">
            <v>21610</v>
          </cell>
          <cell r="M427">
            <v>21350</v>
          </cell>
          <cell r="N427">
            <v>21080</v>
          </cell>
        </row>
        <row r="428">
          <cell r="A428" t="str">
            <v>ITUB3</v>
          </cell>
          <cell r="B428" t="str">
            <v>ITUB3ARS</v>
          </cell>
          <cell r="C428">
            <v>0</v>
          </cell>
          <cell r="D428">
            <v>0</v>
          </cell>
          <cell r="E428">
            <v>15390</v>
          </cell>
          <cell r="F428">
            <v>16370</v>
          </cell>
          <cell r="G428">
            <v>17420</v>
          </cell>
          <cell r="H428">
            <v>17860</v>
          </cell>
          <cell r="I428">
            <v>16480</v>
          </cell>
          <cell r="J428">
            <v>17090</v>
          </cell>
          <cell r="K428">
            <v>17420</v>
          </cell>
          <cell r="L428">
            <v>17400</v>
          </cell>
          <cell r="M428">
            <v>17070</v>
          </cell>
          <cell r="N428">
            <v>18320</v>
          </cell>
        </row>
        <row r="429">
          <cell r="A429" t="str">
            <v>PETR3</v>
          </cell>
          <cell r="B429" t="str">
            <v>PETR3ARS</v>
          </cell>
          <cell r="C429">
            <v>0</v>
          </cell>
          <cell r="D429">
            <v>0</v>
          </cell>
          <cell r="E429">
            <v>17150</v>
          </cell>
          <cell r="F429">
            <v>17520</v>
          </cell>
          <cell r="G429">
            <v>19450</v>
          </cell>
          <cell r="H429">
            <v>19330</v>
          </cell>
          <cell r="I429">
            <v>19390</v>
          </cell>
          <cell r="J429">
            <v>19990</v>
          </cell>
          <cell r="K429">
            <v>20700</v>
          </cell>
          <cell r="L429">
            <v>20480</v>
          </cell>
          <cell r="M429">
            <v>20890</v>
          </cell>
          <cell r="N429">
            <v>20780</v>
          </cell>
        </row>
        <row r="430">
          <cell r="A430" t="str">
            <v>SUZB3</v>
          </cell>
          <cell r="B430" t="str">
            <v>SUZB3ARS</v>
          </cell>
          <cell r="C430">
            <v>0</v>
          </cell>
          <cell r="D430">
            <v>0</v>
          </cell>
          <cell r="E430">
            <v>13930</v>
          </cell>
          <cell r="F430">
            <v>13820</v>
          </cell>
          <cell r="G430">
            <v>13450</v>
          </cell>
          <cell r="H430">
            <v>13500</v>
          </cell>
          <cell r="I430">
            <v>13500</v>
          </cell>
          <cell r="J430">
            <v>13500</v>
          </cell>
          <cell r="K430">
            <v>13660</v>
          </cell>
          <cell r="L430">
            <v>13950</v>
          </cell>
          <cell r="M430">
            <v>13830</v>
          </cell>
          <cell r="N430">
            <v>13590</v>
          </cell>
        </row>
        <row r="431">
          <cell r="A431" t="str">
            <v>SBSP3</v>
          </cell>
          <cell r="B431" t="str">
            <v>SBSP3ARS</v>
          </cell>
          <cell r="C431">
            <v>0</v>
          </cell>
          <cell r="D431">
            <v>0</v>
          </cell>
          <cell r="E431">
            <v>8445</v>
          </cell>
          <cell r="F431">
            <v>8790</v>
          </cell>
          <cell r="G431">
            <v>10100</v>
          </cell>
          <cell r="H431">
            <v>10240</v>
          </cell>
          <cell r="I431">
            <v>10390</v>
          </cell>
          <cell r="J431">
            <v>10390</v>
          </cell>
          <cell r="K431">
            <v>10970</v>
          </cell>
          <cell r="L431">
            <v>10520</v>
          </cell>
          <cell r="M431">
            <v>10540</v>
          </cell>
          <cell r="N431">
            <v>10280</v>
          </cell>
        </row>
        <row r="432">
          <cell r="A432" t="str">
            <v>ABEV3</v>
          </cell>
          <cell r="B432" t="str">
            <v>ABEV3ARS</v>
          </cell>
          <cell r="C432">
            <v>0</v>
          </cell>
          <cell r="D432">
            <v>0</v>
          </cell>
          <cell r="E432">
            <v>4702.5</v>
          </cell>
          <cell r="F432">
            <v>4810</v>
          </cell>
          <cell r="G432">
            <v>5270</v>
          </cell>
          <cell r="H432">
            <v>5300</v>
          </cell>
          <cell r="I432">
            <v>5130</v>
          </cell>
          <cell r="J432">
            <v>5115</v>
          </cell>
          <cell r="K432">
            <v>5105</v>
          </cell>
          <cell r="L432">
            <v>5175</v>
          </cell>
          <cell r="M432">
            <v>5320</v>
          </cell>
          <cell r="N432">
            <v>5290</v>
          </cell>
        </row>
        <row r="433">
          <cell r="A433" t="str">
            <v>MSFT</v>
          </cell>
          <cell r="B433" t="str">
            <v>MSFTARS</v>
          </cell>
          <cell r="C433">
            <v>0</v>
          </cell>
          <cell r="D433">
            <v>0</v>
          </cell>
          <cell r="E433">
            <v>27820</v>
          </cell>
          <cell r="F433">
            <v>27960</v>
          </cell>
          <cell r="G433">
            <v>28120</v>
          </cell>
          <cell r="H433">
            <v>28460</v>
          </cell>
          <cell r="I433">
            <v>28440</v>
          </cell>
          <cell r="J433">
            <v>28100</v>
          </cell>
          <cell r="K433">
            <v>28780</v>
          </cell>
          <cell r="L433">
            <v>29200</v>
          </cell>
          <cell r="M433">
            <v>28700</v>
          </cell>
          <cell r="N433">
            <v>29060</v>
          </cell>
        </row>
        <row r="434">
          <cell r="A434" t="str">
            <v>GOOGL</v>
          </cell>
          <cell r="B434" t="str">
            <v>GOOGLARS</v>
          </cell>
          <cell r="C434">
            <v>0</v>
          </cell>
          <cell r="D434">
            <v>0</v>
          </cell>
          <cell r="E434">
            <v>9495</v>
          </cell>
          <cell r="F434">
            <v>9635</v>
          </cell>
          <cell r="G434">
            <v>9610</v>
          </cell>
          <cell r="H434">
            <v>9675</v>
          </cell>
          <cell r="I434">
            <v>9760</v>
          </cell>
          <cell r="J434">
            <v>9700</v>
          </cell>
          <cell r="K434">
            <v>9810</v>
          </cell>
          <cell r="L434">
            <v>9870</v>
          </cell>
          <cell r="M434">
            <v>9715</v>
          </cell>
          <cell r="N434">
            <v>9755</v>
          </cell>
        </row>
        <row r="435">
          <cell r="A435" t="str">
            <v>META</v>
          </cell>
          <cell r="B435" t="str">
            <v>METAARS</v>
          </cell>
          <cell r="C435">
            <v>0</v>
          </cell>
          <cell r="D435">
            <v>0</v>
          </cell>
          <cell r="E435">
            <v>49100</v>
          </cell>
          <cell r="F435">
            <v>49220</v>
          </cell>
          <cell r="G435">
            <v>49660</v>
          </cell>
          <cell r="H435">
            <v>49700</v>
          </cell>
          <cell r="I435">
            <v>48440</v>
          </cell>
          <cell r="J435">
            <v>48400</v>
          </cell>
          <cell r="K435">
            <v>48400</v>
          </cell>
          <cell r="L435">
            <v>51250</v>
          </cell>
          <cell r="M435">
            <v>49680</v>
          </cell>
          <cell r="N435">
            <v>49640</v>
          </cell>
        </row>
        <row r="436">
          <cell r="A436" t="str">
            <v>ITUB</v>
          </cell>
          <cell r="B436" t="str">
            <v>ITUBARS</v>
          </cell>
          <cell r="C436">
            <v>0</v>
          </cell>
          <cell r="D436">
            <v>0</v>
          </cell>
          <cell r="E436">
            <v>13660</v>
          </cell>
          <cell r="F436">
            <v>13930</v>
          </cell>
          <cell r="G436">
            <v>15940</v>
          </cell>
          <cell r="H436">
            <v>16390</v>
          </cell>
          <cell r="I436">
            <v>15630</v>
          </cell>
          <cell r="J436">
            <v>15900</v>
          </cell>
          <cell r="K436">
            <v>16460</v>
          </cell>
          <cell r="L436">
            <v>15980</v>
          </cell>
          <cell r="M436">
            <v>15640</v>
          </cell>
          <cell r="N436">
            <v>15370</v>
          </cell>
        </row>
        <row r="437">
          <cell r="A437" t="str">
            <v>SMH</v>
          </cell>
          <cell r="B437" t="str">
            <v>SMHARS</v>
          </cell>
          <cell r="C437">
            <v>0</v>
          </cell>
          <cell r="D437">
            <v>0</v>
          </cell>
          <cell r="F437">
            <v>20490</v>
          </cell>
          <cell r="G437">
            <v>20390</v>
          </cell>
          <cell r="H437">
            <v>20380</v>
          </cell>
          <cell r="I437">
            <v>20160</v>
          </cell>
          <cell r="J437">
            <v>19560</v>
          </cell>
          <cell r="K437">
            <v>19480</v>
          </cell>
          <cell r="L437">
            <v>18930</v>
          </cell>
          <cell r="M437">
            <v>18320</v>
          </cell>
          <cell r="N437">
            <v>18080</v>
          </cell>
        </row>
        <row r="438">
          <cell r="A438" t="str">
            <v>PBR</v>
          </cell>
          <cell r="B438" t="str">
            <v>PBRARS</v>
          </cell>
          <cell r="C438">
            <v>0</v>
          </cell>
          <cell r="D438">
            <v>0</v>
          </cell>
          <cell r="E438">
            <v>34160</v>
          </cell>
          <cell r="F438">
            <v>35140</v>
          </cell>
          <cell r="G438">
            <v>38780</v>
          </cell>
          <cell r="H438">
            <v>38300</v>
          </cell>
          <cell r="I438">
            <v>38680</v>
          </cell>
          <cell r="J438">
            <v>39860</v>
          </cell>
          <cell r="K438">
            <v>40800</v>
          </cell>
          <cell r="L438">
            <v>40980</v>
          </cell>
          <cell r="M438">
            <v>41800</v>
          </cell>
          <cell r="N438">
            <v>40840</v>
          </cell>
        </row>
        <row r="439">
          <cell r="A439" t="str">
            <v>VIST</v>
          </cell>
          <cell r="B439" t="str">
            <v>VISTARS</v>
          </cell>
          <cell r="C439">
            <v>0</v>
          </cell>
          <cell r="D439">
            <v>0</v>
          </cell>
          <cell r="E439">
            <v>35120</v>
          </cell>
          <cell r="F439">
            <v>34820</v>
          </cell>
          <cell r="G439">
            <v>35640</v>
          </cell>
          <cell r="H439">
            <v>35520</v>
          </cell>
          <cell r="I439">
            <v>35280</v>
          </cell>
          <cell r="J439">
            <v>36220</v>
          </cell>
          <cell r="K439">
            <v>35660</v>
          </cell>
          <cell r="L439">
            <v>37120</v>
          </cell>
          <cell r="M439">
            <v>37700</v>
          </cell>
          <cell r="N439">
            <v>37760</v>
          </cell>
        </row>
        <row r="441">
          <cell r="A441" t="str">
            <v>Acciones y cedears en USD</v>
          </cell>
        </row>
        <row r="443">
          <cell r="A443" t="str">
            <v>YPFDD</v>
          </cell>
          <cell r="B443" t="str">
            <v>YPFDDARS</v>
          </cell>
          <cell r="C443">
            <v>0</v>
          </cell>
          <cell r="D443">
            <v>0</v>
          </cell>
          <cell r="E443">
            <v>5.15</v>
          </cell>
          <cell r="F443">
            <v>5.21</v>
          </cell>
          <cell r="G443">
            <v>5.34</v>
          </cell>
          <cell r="H443">
            <v>5.34</v>
          </cell>
          <cell r="I443">
            <v>5.21</v>
          </cell>
          <cell r="J443">
            <v>5.25</v>
          </cell>
          <cell r="K443">
            <v>5.23</v>
          </cell>
          <cell r="L443">
            <v>5.43</v>
          </cell>
          <cell r="M443">
            <v>5.51</v>
          </cell>
          <cell r="N443">
            <v>5.38</v>
          </cell>
        </row>
        <row r="444">
          <cell r="A444" t="str">
            <v>VALOD</v>
          </cell>
          <cell r="B444" t="str">
            <v>VALODARS</v>
          </cell>
          <cell r="C444">
            <v>0</v>
          </cell>
          <cell r="D444">
            <v>0</v>
          </cell>
          <cell r="E444">
            <v>0.34599999999999997</v>
          </cell>
          <cell r="F444">
            <v>0.34599999999999997</v>
          </cell>
          <cell r="G444">
            <v>0.35399999999999998</v>
          </cell>
          <cell r="H444">
            <v>0.36699999999999999</v>
          </cell>
          <cell r="I444">
            <v>0.35399999999999998</v>
          </cell>
          <cell r="J444">
            <v>0.34899999999999998</v>
          </cell>
          <cell r="K444">
            <v>0.35199999999999998</v>
          </cell>
          <cell r="L444">
            <v>0.34899999999999998</v>
          </cell>
          <cell r="M444">
            <v>0.34599999999999997</v>
          </cell>
          <cell r="N444">
            <v>0.34300000000000003</v>
          </cell>
        </row>
        <row r="445">
          <cell r="A445" t="str">
            <v>LOMAD</v>
          </cell>
          <cell r="B445" t="str">
            <v>LOMADARS</v>
          </cell>
          <cell r="C445">
            <v>0</v>
          </cell>
          <cell r="D445">
            <v>0</v>
          </cell>
          <cell r="E445">
            <v>1.895</v>
          </cell>
          <cell r="F445">
            <v>1.915</v>
          </cell>
          <cell r="G445">
            <v>2.0299999999999998</v>
          </cell>
          <cell r="H445">
            <v>2.0099999999999998</v>
          </cell>
          <cell r="I445">
            <v>1.99</v>
          </cell>
          <cell r="J445">
            <v>2.08</v>
          </cell>
          <cell r="K445">
            <v>2.1150000000000002</v>
          </cell>
          <cell r="L445">
            <v>2.085</v>
          </cell>
          <cell r="M445">
            <v>2.085</v>
          </cell>
          <cell r="N445">
            <v>2.1349999999999998</v>
          </cell>
        </row>
        <row r="446">
          <cell r="A446" t="str">
            <v>PAMPD</v>
          </cell>
          <cell r="B446" t="str">
            <v>PAMPARS</v>
          </cell>
          <cell r="C446">
            <v>0</v>
          </cell>
          <cell r="D446">
            <v>0</v>
          </cell>
          <cell r="E446">
            <v>3.1949999999999998</v>
          </cell>
          <cell r="F446">
            <v>3.2149999999999999</v>
          </cell>
          <cell r="G446">
            <v>3.335</v>
          </cell>
          <cell r="H446">
            <v>3.42</v>
          </cell>
          <cell r="I446">
            <v>3.3450000000000002</v>
          </cell>
          <cell r="J446">
            <v>3.38</v>
          </cell>
          <cell r="K446">
            <v>3.34</v>
          </cell>
          <cell r="L446">
            <v>3.4</v>
          </cell>
          <cell r="M446">
            <v>3.39</v>
          </cell>
          <cell r="N446">
            <v>3.4</v>
          </cell>
        </row>
        <row r="447">
          <cell r="A447" t="str">
            <v>EDND</v>
          </cell>
          <cell r="B447" t="str">
            <v>EDNDARS</v>
          </cell>
          <cell r="C447">
            <v>0</v>
          </cell>
          <cell r="D447">
            <v>0</v>
          </cell>
          <cell r="E447">
            <v>1.06</v>
          </cell>
          <cell r="F447">
            <v>1.05</v>
          </cell>
          <cell r="G447">
            <v>1.08</v>
          </cell>
          <cell r="H447">
            <v>1.08</v>
          </cell>
          <cell r="I447">
            <v>1.07</v>
          </cell>
          <cell r="J447">
            <v>1.0549999999999999</v>
          </cell>
          <cell r="K447">
            <v>1.06</v>
          </cell>
          <cell r="L447">
            <v>1.085</v>
          </cell>
          <cell r="M447">
            <v>1.07</v>
          </cell>
          <cell r="N447">
            <v>1.0900000000000001</v>
          </cell>
        </row>
        <row r="448">
          <cell r="A448" t="str">
            <v>BBARD</v>
          </cell>
          <cell r="B448" t="str">
            <v>BBARDARS</v>
          </cell>
          <cell r="C448">
            <v>0</v>
          </cell>
          <cell r="D448">
            <v>0</v>
          </cell>
          <cell r="E448">
            <v>4.3550000000000004</v>
          </cell>
          <cell r="F448">
            <v>4.3600000000000003</v>
          </cell>
          <cell r="G448">
            <v>4.68</v>
          </cell>
          <cell r="H448">
            <v>4.82</v>
          </cell>
          <cell r="I448">
            <v>4.54</v>
          </cell>
          <cell r="J448">
            <v>4.4349999999999996</v>
          </cell>
          <cell r="K448">
            <v>4.43</v>
          </cell>
          <cell r="L448">
            <v>4.5350000000000001</v>
          </cell>
          <cell r="M448">
            <v>4.4050000000000002</v>
          </cell>
          <cell r="N448">
            <v>4.5449999999999999</v>
          </cell>
        </row>
        <row r="449">
          <cell r="A449" t="str">
            <v>GGALD</v>
          </cell>
          <cell r="B449" t="str">
            <v>GGALDARS</v>
          </cell>
          <cell r="C449">
            <v>0</v>
          </cell>
          <cell r="D449">
            <v>0</v>
          </cell>
          <cell r="E449">
            <v>3.83</v>
          </cell>
          <cell r="F449">
            <v>3.7749999999999999</v>
          </cell>
          <cell r="G449">
            <v>4</v>
          </cell>
          <cell r="H449">
            <v>4</v>
          </cell>
          <cell r="I449">
            <v>3.9</v>
          </cell>
          <cell r="J449">
            <v>3.87</v>
          </cell>
          <cell r="K449">
            <v>3.87</v>
          </cell>
          <cell r="L449">
            <v>3.87</v>
          </cell>
          <cell r="M449">
            <v>3.75</v>
          </cell>
          <cell r="N449">
            <v>3.84</v>
          </cell>
        </row>
        <row r="450">
          <cell r="A450" t="str">
            <v>SUPVD</v>
          </cell>
          <cell r="E450">
            <v>1.4450000000000001</v>
          </cell>
          <cell r="F450">
            <v>1.46</v>
          </cell>
          <cell r="G450">
            <v>1.56</v>
          </cell>
          <cell r="H450">
            <v>1.57</v>
          </cell>
          <cell r="I450">
            <v>1.5249999999999999</v>
          </cell>
          <cell r="J450">
            <v>1.4950000000000001</v>
          </cell>
          <cell r="K450">
            <v>1.51</v>
          </cell>
          <cell r="L450">
            <v>1.5349999999999999</v>
          </cell>
          <cell r="M450">
            <v>1.4850000000000001</v>
          </cell>
          <cell r="N450">
            <v>1.55</v>
          </cell>
        </row>
        <row r="451">
          <cell r="A451" t="str">
            <v>VALED</v>
          </cell>
          <cell r="B451" t="str">
            <v>VALEDUSM</v>
          </cell>
          <cell r="C451">
            <v>0</v>
          </cell>
          <cell r="D451">
            <v>0</v>
          </cell>
          <cell r="E451">
            <v>7.08</v>
          </cell>
          <cell r="F451">
            <v>7.22</v>
          </cell>
          <cell r="G451">
            <v>7.42</v>
          </cell>
          <cell r="H451">
            <v>7.39</v>
          </cell>
          <cell r="I451">
            <v>7.15</v>
          </cell>
          <cell r="J451">
            <v>7.09</v>
          </cell>
          <cell r="K451">
            <v>7.17</v>
          </cell>
          <cell r="L451">
            <v>7.04</v>
          </cell>
          <cell r="M451">
            <v>6.95</v>
          </cell>
          <cell r="N451">
            <v>6.87</v>
          </cell>
        </row>
        <row r="452">
          <cell r="A452" t="str">
            <v>PBRD</v>
          </cell>
          <cell r="B452" t="str">
            <v>PBRDUSM</v>
          </cell>
          <cell r="C452">
            <v>0</v>
          </cell>
          <cell r="D452">
            <v>0</v>
          </cell>
          <cell r="E452">
            <v>22</v>
          </cell>
          <cell r="F452">
            <v>22.7</v>
          </cell>
          <cell r="G452">
            <v>25.05</v>
          </cell>
          <cell r="H452">
            <v>24.83</v>
          </cell>
          <cell r="I452">
            <v>25.16</v>
          </cell>
          <cell r="J452">
            <v>25.92</v>
          </cell>
          <cell r="K452">
            <v>26.3</v>
          </cell>
          <cell r="L452">
            <v>26.69</v>
          </cell>
          <cell r="M452">
            <v>27.27</v>
          </cell>
          <cell r="N452">
            <v>26.61</v>
          </cell>
        </row>
        <row r="453">
          <cell r="A453" t="str">
            <v>PAGSD</v>
          </cell>
          <cell r="B453" t="str">
            <v>PAGSDARS</v>
          </cell>
          <cell r="C453">
            <v>0</v>
          </cell>
          <cell r="D453">
            <v>0</v>
          </cell>
          <cell r="E453">
            <v>3.13</v>
          </cell>
          <cell r="F453">
            <v>3.1349999999999998</v>
          </cell>
          <cell r="G453">
            <v>3.8</v>
          </cell>
          <cell r="H453">
            <v>3.7749999999999999</v>
          </cell>
          <cell r="I453">
            <v>3.6850000000000001</v>
          </cell>
          <cell r="J453">
            <v>3.7</v>
          </cell>
          <cell r="K453">
            <v>3.8650000000000002</v>
          </cell>
          <cell r="L453">
            <v>3.855</v>
          </cell>
          <cell r="M453">
            <v>3.7749999999999999</v>
          </cell>
          <cell r="N453">
            <v>3.88</v>
          </cell>
        </row>
        <row r="454">
          <cell r="A454" t="str">
            <v>VISTD</v>
          </cell>
          <cell r="B454" t="str">
            <v>VISTDARS</v>
          </cell>
          <cell r="C454">
            <v>0</v>
          </cell>
          <cell r="D454">
            <v>0</v>
          </cell>
          <cell r="E454">
            <v>22.64</v>
          </cell>
          <cell r="F454">
            <v>22.51</v>
          </cell>
          <cell r="G454">
            <v>23.24</v>
          </cell>
          <cell r="H454">
            <v>23.15</v>
          </cell>
          <cell r="I454">
            <v>23.03</v>
          </cell>
          <cell r="J454">
            <v>23.61</v>
          </cell>
          <cell r="K454">
            <v>23.27</v>
          </cell>
          <cell r="L454">
            <v>24.21</v>
          </cell>
          <cell r="M454">
            <v>24.48</v>
          </cell>
          <cell r="N454">
            <v>24.63</v>
          </cell>
        </row>
        <row r="455">
          <cell r="A455" t="str">
            <v>BBDD</v>
          </cell>
          <cell r="B455" t="str">
            <v>BBDDARS</v>
          </cell>
          <cell r="C455">
            <v>0</v>
          </cell>
          <cell r="D455">
            <v>0</v>
          </cell>
          <cell r="E455">
            <v>3.6949999999999998</v>
          </cell>
          <cell r="F455">
            <v>3.85</v>
          </cell>
          <cell r="G455">
            <v>4.5</v>
          </cell>
          <cell r="H455">
            <v>4.7149999999999999</v>
          </cell>
          <cell r="I455">
            <v>4.54</v>
          </cell>
          <cell r="J455">
            <v>4.4800000000000004</v>
          </cell>
          <cell r="K455">
            <v>4.53</v>
          </cell>
          <cell r="L455">
            <v>4.3899999999999997</v>
          </cell>
          <cell r="M455">
            <v>4.33</v>
          </cell>
          <cell r="N455">
            <v>4.2300000000000004</v>
          </cell>
        </row>
        <row r="456">
          <cell r="A456" t="str">
            <v>SIDD</v>
          </cell>
          <cell r="B456" t="str">
            <v>SIDDARS</v>
          </cell>
          <cell r="C456">
            <v>0</v>
          </cell>
          <cell r="D456">
            <v>0</v>
          </cell>
          <cell r="E456">
            <v>9.36</v>
          </cell>
          <cell r="F456">
            <v>9.57</v>
          </cell>
          <cell r="G456">
            <v>10.35</v>
          </cell>
          <cell r="H456">
            <v>10.31</v>
          </cell>
          <cell r="I456">
            <v>10.3</v>
          </cell>
          <cell r="J456">
            <v>10.62</v>
          </cell>
          <cell r="K456">
            <v>10.68</v>
          </cell>
          <cell r="L456">
            <v>10.6</v>
          </cell>
          <cell r="M456">
            <v>9.99</v>
          </cell>
          <cell r="N456">
            <v>9.7799999999999994</v>
          </cell>
        </row>
        <row r="458">
          <cell r="A458" t="str">
            <v>ADR</v>
          </cell>
        </row>
        <row r="460">
          <cell r="A460" t="str">
            <v>BBD US</v>
          </cell>
          <cell r="B460" t="str">
            <v>BBD US</v>
          </cell>
          <cell r="C460">
            <v>0</v>
          </cell>
          <cell r="D460">
            <v>0</v>
          </cell>
          <cell r="E460">
            <v>3.51</v>
          </cell>
          <cell r="F460">
            <v>3.65</v>
          </cell>
          <cell r="G460">
            <v>4.33</v>
          </cell>
          <cell r="H460">
            <v>4.51</v>
          </cell>
          <cell r="I460">
            <v>4.34</v>
          </cell>
          <cell r="J460">
            <v>4.24</v>
          </cell>
          <cell r="K460">
            <v>4.3</v>
          </cell>
          <cell r="L460">
            <v>4.1900000000000004</v>
          </cell>
          <cell r="M460">
            <v>4.1399999999999997</v>
          </cell>
          <cell r="N460">
            <v>4.03</v>
          </cell>
        </row>
        <row r="461">
          <cell r="A461" t="str">
            <v>PAGS US</v>
          </cell>
          <cell r="B461" t="str">
            <v>PAGS US</v>
          </cell>
          <cell r="C461">
            <v>0</v>
          </cell>
          <cell r="D461">
            <v>0</v>
          </cell>
          <cell r="E461">
            <v>8.8699999999999992</v>
          </cell>
          <cell r="F461">
            <v>9.02</v>
          </cell>
          <cell r="G461">
            <v>10.95</v>
          </cell>
          <cell r="H461">
            <v>10.72</v>
          </cell>
          <cell r="I461">
            <v>10.51</v>
          </cell>
          <cell r="J461">
            <v>10.68</v>
          </cell>
          <cell r="K461">
            <v>11.16</v>
          </cell>
          <cell r="L461">
            <v>10.99</v>
          </cell>
          <cell r="M461">
            <v>10.83</v>
          </cell>
          <cell r="N461">
            <v>11.12</v>
          </cell>
        </row>
        <row r="462">
          <cell r="A462" t="str">
            <v>NIO US</v>
          </cell>
          <cell r="B462" t="str">
            <v>NIO US</v>
          </cell>
          <cell r="C462">
            <v>0</v>
          </cell>
          <cell r="D462">
            <v>0</v>
          </cell>
          <cell r="E462">
            <v>3.4</v>
          </cell>
          <cell r="F462">
            <v>3.37</v>
          </cell>
          <cell r="G462">
            <v>3.42</v>
          </cell>
          <cell r="H462">
            <v>3.48</v>
          </cell>
          <cell r="I462">
            <v>3.54</v>
          </cell>
          <cell r="J462">
            <v>3.41</v>
          </cell>
          <cell r="K462">
            <v>3.58</v>
          </cell>
          <cell r="L462">
            <v>3.56</v>
          </cell>
          <cell r="M462">
            <v>3.41</v>
          </cell>
          <cell r="N462">
            <v>3.5</v>
          </cell>
        </row>
        <row r="463">
          <cell r="A463" t="str">
            <v>JD US</v>
          </cell>
          <cell r="B463" t="str">
            <v>JD US</v>
          </cell>
          <cell r="C463">
            <v>0</v>
          </cell>
          <cell r="D463">
            <v>0</v>
          </cell>
          <cell r="E463">
            <v>26.37</v>
          </cell>
          <cell r="F463">
            <v>25.78</v>
          </cell>
          <cell r="G463">
            <v>26.36</v>
          </cell>
          <cell r="H463">
            <v>26.5</v>
          </cell>
          <cell r="I463">
            <v>27.03</v>
          </cell>
          <cell r="J463">
            <v>26.91</v>
          </cell>
          <cell r="K463">
            <v>27.09</v>
          </cell>
          <cell r="L463">
            <v>26.78</v>
          </cell>
          <cell r="M463">
            <v>26.68</v>
          </cell>
          <cell r="N463">
            <v>27.39</v>
          </cell>
        </row>
        <row r="464">
          <cell r="A464" t="str">
            <v>BDORY US</v>
          </cell>
          <cell r="B464" t="str">
            <v>BDORY US</v>
          </cell>
          <cell r="C464">
            <v>0</v>
          </cell>
          <cell r="D464">
            <v>0</v>
          </cell>
          <cell r="E464">
            <v>4.53</v>
          </cell>
          <cell r="F464">
            <v>4.5999999999999996</v>
          </cell>
          <cell r="G464">
            <v>5.29</v>
          </cell>
          <cell r="H464">
            <v>5.03</v>
          </cell>
          <cell r="I464">
            <v>4.9000000000000004</v>
          </cell>
          <cell r="J464">
            <v>4.8099999999999996</v>
          </cell>
          <cell r="K464">
            <v>5</v>
          </cell>
          <cell r="L464">
            <v>4.92</v>
          </cell>
          <cell r="M464">
            <v>4.75</v>
          </cell>
          <cell r="N464">
            <v>4.6500000000000004</v>
          </cell>
        </row>
        <row r="465">
          <cell r="A465" t="str">
            <v>GGAL US</v>
          </cell>
          <cell r="B465" t="str">
            <v>GGAL US</v>
          </cell>
          <cell r="C465">
            <v>0</v>
          </cell>
          <cell r="D465">
            <v>0</v>
          </cell>
          <cell r="E465">
            <v>36.07</v>
          </cell>
          <cell r="F465">
            <v>35.89</v>
          </cell>
          <cell r="G465">
            <v>38.25</v>
          </cell>
          <cell r="H465">
            <v>38.18</v>
          </cell>
          <cell r="I465">
            <v>37.049999999999997</v>
          </cell>
          <cell r="J465">
            <v>36.76</v>
          </cell>
          <cell r="K465">
            <v>36.81</v>
          </cell>
          <cell r="L465">
            <v>36.79</v>
          </cell>
          <cell r="M465">
            <v>35.549999999999997</v>
          </cell>
          <cell r="N465">
            <v>36.47</v>
          </cell>
        </row>
        <row r="466">
          <cell r="A466" t="str">
            <v>VALE US</v>
          </cell>
          <cell r="B466" t="str">
            <v>VALE US</v>
          </cell>
          <cell r="C466">
            <v>0</v>
          </cell>
          <cell r="D466">
            <v>0</v>
          </cell>
          <cell r="E466">
            <v>13.45</v>
          </cell>
          <cell r="F466">
            <v>13.76</v>
          </cell>
          <cell r="G466">
            <v>14.15</v>
          </cell>
          <cell r="H466">
            <v>14.08</v>
          </cell>
          <cell r="I466">
            <v>13.61</v>
          </cell>
          <cell r="J466">
            <v>13.42</v>
          </cell>
          <cell r="K466">
            <v>13.62</v>
          </cell>
          <cell r="L466">
            <v>13.37</v>
          </cell>
          <cell r="M466">
            <v>13.21</v>
          </cell>
          <cell r="N466">
            <v>13.02</v>
          </cell>
        </row>
        <row r="467">
          <cell r="A467" t="str">
            <v>NU US</v>
          </cell>
          <cell r="B467" t="str">
            <v>NU US</v>
          </cell>
          <cell r="C467">
            <v>0</v>
          </cell>
          <cell r="D467">
            <v>0</v>
          </cell>
          <cell r="G467">
            <v>15.18</v>
          </cell>
          <cell r="H467">
            <v>15.66</v>
          </cell>
          <cell r="I467">
            <v>15.58</v>
          </cell>
          <cell r="J467">
            <v>15.38</v>
          </cell>
          <cell r="K467">
            <v>16.12</v>
          </cell>
          <cell r="L467">
            <v>15.58</v>
          </cell>
          <cell r="M467">
            <v>14.93</v>
          </cell>
          <cell r="N467">
            <v>14.73</v>
          </cell>
        </row>
        <row r="468">
          <cell r="A468" t="str">
            <v>TSLA US</v>
          </cell>
          <cell r="B468" t="str">
            <v>TSLA US</v>
          </cell>
          <cell r="C468">
            <v>0</v>
          </cell>
          <cell r="D468">
            <v>0</v>
          </cell>
          <cell r="N468">
            <v>362.44</v>
          </cell>
        </row>
        <row r="469">
          <cell r="A469" t="str">
            <v>PBR US</v>
          </cell>
          <cell r="B469" t="str">
            <v>PBR US</v>
          </cell>
          <cell r="C469">
            <v>0</v>
          </cell>
          <cell r="D469">
            <v>0</v>
          </cell>
          <cell r="E469">
            <v>20.98</v>
          </cell>
          <cell r="F469">
            <v>21.65</v>
          </cell>
          <cell r="G469">
            <v>24.14</v>
          </cell>
          <cell r="H469">
            <v>23.8</v>
          </cell>
          <cell r="I469">
            <v>23.99</v>
          </cell>
          <cell r="J469">
            <v>24.69</v>
          </cell>
          <cell r="K469">
            <v>25.3</v>
          </cell>
          <cell r="L469">
            <v>25.5</v>
          </cell>
          <cell r="M469">
            <v>25.94</v>
          </cell>
          <cell r="N469">
            <v>25.3</v>
          </cell>
        </row>
        <row r="470">
          <cell r="A470" t="str">
            <v>VIST US</v>
          </cell>
          <cell r="B470" t="str">
            <v>VIST US</v>
          </cell>
          <cell r="C470">
            <v>0</v>
          </cell>
          <cell r="D470">
            <v>0</v>
          </cell>
          <cell r="E470">
            <v>64.63</v>
          </cell>
          <cell r="F470">
            <v>64.25</v>
          </cell>
          <cell r="G470">
            <v>66.540000000000006</v>
          </cell>
          <cell r="H470">
            <v>66.06</v>
          </cell>
          <cell r="I470">
            <v>65.430000000000007</v>
          </cell>
          <cell r="J470">
            <v>67.16</v>
          </cell>
          <cell r="K470">
            <v>66.260000000000005</v>
          </cell>
          <cell r="L470">
            <v>69.02</v>
          </cell>
          <cell r="M470">
            <v>69.94</v>
          </cell>
          <cell r="N470">
            <v>69.989999999999995</v>
          </cell>
        </row>
        <row r="471">
          <cell r="A471" t="str">
            <v>AMD US</v>
          </cell>
          <cell r="B471" t="str">
            <v>AMD US</v>
          </cell>
          <cell r="C471">
            <v>0</v>
          </cell>
          <cell r="D471">
            <v>0</v>
          </cell>
          <cell r="E471">
            <v>615.73</v>
          </cell>
          <cell r="F471">
            <v>633.91</v>
          </cell>
          <cell r="G471">
            <v>631.75</v>
          </cell>
          <cell r="H471">
            <v>649.41999999999996</v>
          </cell>
          <cell r="I471">
            <v>645.86</v>
          </cell>
          <cell r="J471">
            <v>620.67999999999995</v>
          </cell>
          <cell r="K471">
            <v>608.1</v>
          </cell>
          <cell r="L471">
            <v>605.53</v>
          </cell>
          <cell r="M471">
            <v>570.82000000000005</v>
          </cell>
          <cell r="N471">
            <v>562.23</v>
          </cell>
        </row>
        <row r="472">
          <cell r="A472" t="str">
            <v>SID US</v>
          </cell>
          <cell r="B472" t="str">
            <v>SID US</v>
          </cell>
          <cell r="C472">
            <v>0</v>
          </cell>
          <cell r="D472">
            <v>0</v>
          </cell>
          <cell r="E472">
            <v>1.1200000000000001</v>
          </cell>
          <cell r="F472">
            <v>1.1599999999999999</v>
          </cell>
          <cell r="G472">
            <v>1.24</v>
          </cell>
          <cell r="H472">
            <v>1.23</v>
          </cell>
          <cell r="I472">
            <v>1.23</v>
          </cell>
          <cell r="J472">
            <v>1.23</v>
          </cell>
          <cell r="K472">
            <v>1.28</v>
          </cell>
          <cell r="L472">
            <v>1.24</v>
          </cell>
          <cell r="M472">
            <v>1.21</v>
          </cell>
          <cell r="N472">
            <v>1.1499999999999999</v>
          </cell>
        </row>
        <row r="473">
          <cell r="A473" t="str">
            <v>MSFT US</v>
          </cell>
          <cell r="B473" t="str">
            <v>MSFT US</v>
          </cell>
          <cell r="C473">
            <v>0</v>
          </cell>
          <cell r="D473">
            <v>0</v>
          </cell>
          <cell r="E473">
            <v>512.79999999999995</v>
          </cell>
          <cell r="F473">
            <v>517.53</v>
          </cell>
          <cell r="G473">
            <v>525.17999999999995</v>
          </cell>
          <cell r="H473">
            <v>529.29999999999995</v>
          </cell>
          <cell r="I473">
            <v>529.76</v>
          </cell>
          <cell r="J473">
            <v>522.61</v>
          </cell>
          <cell r="K473">
            <v>535.07000000000005</v>
          </cell>
          <cell r="L473">
            <v>543.45000000000005</v>
          </cell>
          <cell r="M473">
            <v>533.69000000000005</v>
          </cell>
          <cell r="N473">
            <v>539.44000000000005</v>
          </cell>
        </row>
        <row r="474">
          <cell r="A474" t="str">
            <v>YPF US</v>
          </cell>
          <cell r="B474" t="str">
            <v>YPF US</v>
          </cell>
          <cell r="C474">
            <v>0</v>
          </cell>
          <cell r="D474">
            <v>0</v>
          </cell>
          <cell r="E474">
            <v>49.27</v>
          </cell>
          <cell r="F474">
            <v>49.67</v>
          </cell>
          <cell r="G474">
            <v>51.24</v>
          </cell>
          <cell r="H474">
            <v>51.16</v>
          </cell>
          <cell r="I474">
            <v>49.48</v>
          </cell>
          <cell r="J474">
            <v>49.9</v>
          </cell>
          <cell r="K474">
            <v>50.04</v>
          </cell>
          <cell r="L474">
            <v>51.79</v>
          </cell>
          <cell r="M474">
            <v>52.25</v>
          </cell>
          <cell r="N474">
            <v>51.11</v>
          </cell>
        </row>
        <row r="476">
          <cell r="A476" t="str">
            <v>ADR</v>
          </cell>
        </row>
        <row r="478">
          <cell r="A478" t="str">
            <v>EWZ US</v>
          </cell>
          <cell r="B478" t="str">
            <v>EWZ US</v>
          </cell>
          <cell r="C478">
            <v>0</v>
          </cell>
          <cell r="D478">
            <v>0</v>
          </cell>
          <cell r="E478">
            <v>37.14</v>
          </cell>
          <cell r="F478">
            <v>38.19</v>
          </cell>
          <cell r="G478">
            <v>42.98</v>
          </cell>
          <cell r="H478">
            <v>43</v>
          </cell>
          <cell r="I478">
            <v>42.37</v>
          </cell>
          <cell r="J478">
            <v>42.59</v>
          </cell>
          <cell r="K478">
            <v>43.54</v>
          </cell>
          <cell r="L478">
            <v>42.87</v>
          </cell>
          <cell r="M478">
            <v>42.6</v>
          </cell>
          <cell r="N478">
            <v>41.58</v>
          </cell>
        </row>
        <row r="479">
          <cell r="A479" t="str">
            <v>FLRN US</v>
          </cell>
          <cell r="B479" t="str">
            <v>FLRN US</v>
          </cell>
          <cell r="C479">
            <v>0</v>
          </cell>
          <cell r="D479">
            <v>0</v>
          </cell>
          <cell r="E479">
            <v>30.72</v>
          </cell>
          <cell r="F479">
            <v>30.74</v>
          </cell>
          <cell r="G479">
            <v>30.74</v>
          </cell>
          <cell r="H479">
            <v>30.74</v>
          </cell>
          <cell r="I479">
            <v>30.75</v>
          </cell>
          <cell r="J479">
            <v>30.77</v>
          </cell>
          <cell r="K479">
            <v>30.77</v>
          </cell>
          <cell r="L479">
            <v>30.77</v>
          </cell>
          <cell r="M479">
            <v>30.77</v>
          </cell>
          <cell r="N479">
            <v>30.78</v>
          </cell>
        </row>
        <row r="480">
          <cell r="A480" t="str">
            <v>SDIA LN</v>
          </cell>
          <cell r="B480" t="str">
            <v>SDIA LN</v>
          </cell>
          <cell r="C480">
            <v>0</v>
          </cell>
          <cell r="D480">
            <v>0</v>
          </cell>
          <cell r="E480">
            <v>6.3410000000000002</v>
          </cell>
          <cell r="F480">
            <v>6.3470000000000004</v>
          </cell>
          <cell r="G480">
            <v>6.3419999999999996</v>
          </cell>
          <cell r="H480">
            <v>6.3470000000000004</v>
          </cell>
          <cell r="I480">
            <v>6.3559999999999999</v>
          </cell>
          <cell r="J480">
            <v>6.3529999999999998</v>
          </cell>
          <cell r="K480">
            <v>6.3570000000000002</v>
          </cell>
          <cell r="L480">
            <v>6.3550000000000004</v>
          </cell>
          <cell r="M480">
            <v>6.3570000000000002</v>
          </cell>
          <cell r="N480">
            <v>6.3609999999999998</v>
          </cell>
        </row>
        <row r="481">
          <cell r="A481" t="str">
            <v>EMCA LN</v>
          </cell>
          <cell r="B481" t="str">
            <v>EMCA LN</v>
          </cell>
          <cell r="C481">
            <v>0</v>
          </cell>
          <cell r="D481">
            <v>0</v>
          </cell>
          <cell r="E481">
            <v>6.617</v>
          </cell>
          <cell r="F481">
            <v>6.657</v>
          </cell>
          <cell r="G481">
            <v>6.6580000000000004</v>
          </cell>
          <cell r="H481">
            <v>6.64</v>
          </cell>
          <cell r="I481">
            <v>6.6470000000000002</v>
          </cell>
          <cell r="J481">
            <v>6.657</v>
          </cell>
          <cell r="K481">
            <v>6.6630000000000003</v>
          </cell>
          <cell r="L481">
            <v>6.6779999999999999</v>
          </cell>
          <cell r="M481">
            <v>6.6630000000000003</v>
          </cell>
          <cell r="N481">
            <v>6.6929999999999996</v>
          </cell>
        </row>
        <row r="482">
          <cell r="A482" t="str">
            <v>IGV US</v>
          </cell>
          <cell r="B482" t="str">
            <v>IGV US</v>
          </cell>
          <cell r="C482">
            <v>0</v>
          </cell>
          <cell r="D482">
            <v>0</v>
          </cell>
          <cell r="E482">
            <v>108.23</v>
          </cell>
          <cell r="F482">
            <v>108.43</v>
          </cell>
          <cell r="G482">
            <v>109.72</v>
          </cell>
          <cell r="H482">
            <v>111.16</v>
          </cell>
          <cell r="I482">
            <v>109.84</v>
          </cell>
          <cell r="J482">
            <v>109.59</v>
          </cell>
          <cell r="K482">
            <v>112.67</v>
          </cell>
          <cell r="L482">
            <v>110.98</v>
          </cell>
          <cell r="M482">
            <v>107.65</v>
          </cell>
          <cell r="N482">
            <v>109.6</v>
          </cell>
        </row>
        <row r="484">
          <cell r="A484" t="str">
            <v>Funds</v>
          </cell>
        </row>
        <row r="486">
          <cell r="A486" t="str">
            <v>MUHYIU1 LX</v>
          </cell>
          <cell r="B486" t="str">
            <v>MUHYIU1 LX</v>
          </cell>
          <cell r="C486">
            <v>0</v>
          </cell>
          <cell r="D486">
            <v>0</v>
          </cell>
          <cell r="E486">
            <v>294.14999999999998</v>
          </cell>
          <cell r="F486">
            <v>293.37</v>
          </cell>
          <cell r="G486">
            <v>293.81</v>
          </cell>
          <cell r="H486">
            <v>293.64999999999998</v>
          </cell>
          <cell r="I486">
            <v>294.91000000000003</v>
          </cell>
          <cell r="J486">
            <v>294.60000000000002</v>
          </cell>
          <cell r="K486">
            <v>294.2</v>
          </cell>
          <cell r="L486">
            <v>294.52999999999997</v>
          </cell>
          <cell r="M486">
            <v>294.11</v>
          </cell>
          <cell r="N486">
            <v>293.43</v>
          </cell>
        </row>
        <row r="487">
          <cell r="A487" t="str">
            <v>MGCIF1U LX</v>
          </cell>
          <cell r="B487" t="str">
            <v>MGCIF1U LX</v>
          </cell>
          <cell r="C487">
            <v>0</v>
          </cell>
          <cell r="D487">
            <v>0</v>
          </cell>
          <cell r="E487">
            <v>151.72999999999999</v>
          </cell>
          <cell r="F487">
            <v>151.46</v>
          </cell>
          <cell r="G487">
            <v>151.47</v>
          </cell>
          <cell r="H487">
            <v>151.11000000000001</v>
          </cell>
          <cell r="I487">
            <v>151.74</v>
          </cell>
          <cell r="J487">
            <v>151.38</v>
          </cell>
          <cell r="K487">
            <v>151.66999999999999</v>
          </cell>
          <cell r="L487">
            <v>151.53</v>
          </cell>
          <cell r="M487">
            <v>151.86000000000001</v>
          </cell>
          <cell r="N487">
            <v>151.75</v>
          </cell>
        </row>
        <row r="489">
          <cell r="A489" t="str">
            <v>Latam</v>
          </cell>
        </row>
        <row r="491">
          <cell r="A491" t="str">
            <v>CH27</v>
          </cell>
          <cell r="B491" t="str">
            <v>CH27ARS</v>
          </cell>
          <cell r="C491">
            <v>0</v>
          </cell>
          <cell r="D491">
            <v>0</v>
          </cell>
          <cell r="E491">
            <v>0.99828611111111099</v>
          </cell>
          <cell r="F491">
            <v>0.99823027777777762</v>
          </cell>
          <cell r="G491">
            <v>0.99873166666666657</v>
          </cell>
          <cell r="H491">
            <v>0.99930305555555554</v>
          </cell>
          <cell r="I491">
            <v>0.99940944444444435</v>
          </cell>
          <cell r="J491">
            <v>0.99986583333333323</v>
          </cell>
          <cell r="K491">
            <v>1.000366388888889</v>
          </cell>
          <cell r="L491">
            <v>1.0004427777777778</v>
          </cell>
          <cell r="M491">
            <v>1.0001991666666668</v>
          </cell>
          <cell r="N491">
            <v>1.0006355555555555</v>
          </cell>
        </row>
        <row r="492">
          <cell r="A492" t="str">
            <v>CH28</v>
          </cell>
          <cell r="B492" t="str">
            <v>CH28ARS</v>
          </cell>
          <cell r="C492">
            <v>0</v>
          </cell>
          <cell r="D492">
            <v>0</v>
          </cell>
          <cell r="E492">
            <v>0.97829500000000014</v>
          </cell>
          <cell r="F492">
            <v>0.97819</v>
          </cell>
          <cell r="G492">
            <v>0.97930500000000009</v>
          </cell>
          <cell r="H492">
            <v>0.98093000000000008</v>
          </cell>
          <cell r="I492">
            <v>0.98110500000000012</v>
          </cell>
          <cell r="J492">
            <v>0.9816149999999999</v>
          </cell>
          <cell r="K492">
            <v>0.98216499999999995</v>
          </cell>
          <cell r="L492">
            <v>0.98290499999999992</v>
          </cell>
          <cell r="M492">
            <v>0.98251499999999992</v>
          </cell>
          <cell r="N492">
            <v>0.98352000000000006</v>
          </cell>
        </row>
        <row r="493">
          <cell r="A493" t="str">
            <v>BR27</v>
          </cell>
          <cell r="B493" t="str">
            <v>BR27ARS</v>
          </cell>
          <cell r="C493">
            <v>0</v>
          </cell>
          <cell r="D493">
            <v>0</v>
          </cell>
          <cell r="E493">
            <v>1.0669912500000001</v>
          </cell>
          <cell r="F493">
            <v>1.0673650000000001</v>
          </cell>
          <cell r="G493">
            <v>1.07000625</v>
          </cell>
          <cell r="H493">
            <v>1.0707775000000002</v>
          </cell>
          <cell r="I493">
            <v>1.07073375</v>
          </cell>
          <cell r="J493">
            <v>1.070255</v>
          </cell>
          <cell r="K493">
            <v>1.071645</v>
          </cell>
          <cell r="L493">
            <v>1.0717412499999999</v>
          </cell>
          <cell r="M493">
            <v>1.0714174999999999</v>
          </cell>
          <cell r="N493">
            <v>1.0725137500000002</v>
          </cell>
        </row>
        <row r="494">
          <cell r="A494" t="str">
            <v>BR28</v>
          </cell>
          <cell r="B494" t="str">
            <v>BR28ARS</v>
          </cell>
          <cell r="C494">
            <v>0</v>
          </cell>
          <cell r="D494">
            <v>0</v>
          </cell>
          <cell r="E494">
            <v>1.0057343055555554</v>
          </cell>
          <cell r="F494">
            <v>1.0061897222222222</v>
          </cell>
          <cell r="G494">
            <v>1.0073631944444446</v>
          </cell>
          <cell r="H494">
            <v>1.0078066666666665</v>
          </cell>
          <cell r="I494">
            <v>1.0073451388888888</v>
          </cell>
          <cell r="J494">
            <v>1.0077386111111111</v>
          </cell>
          <cell r="K494">
            <v>1.0081975000000001</v>
          </cell>
          <cell r="L494">
            <v>1.0082509722222222</v>
          </cell>
          <cell r="M494">
            <v>1.0080344444444445</v>
          </cell>
          <cell r="N494">
            <v>1.0087829166666666</v>
          </cell>
        </row>
        <row r="495">
          <cell r="A495" t="str">
            <v>CDEL27</v>
          </cell>
          <cell r="B495" t="str">
            <v>CDEL27ARS</v>
          </cell>
          <cell r="C495">
            <v>0</v>
          </cell>
          <cell r="D495">
            <v>0</v>
          </cell>
          <cell r="E495">
            <v>0.99082736111111114</v>
          </cell>
          <cell r="F495">
            <v>0.99194944444444444</v>
          </cell>
          <cell r="G495">
            <v>0.99240513888888904</v>
          </cell>
          <cell r="H495">
            <v>0.99373083333333345</v>
          </cell>
          <cell r="I495">
            <v>0.99441652777777778</v>
          </cell>
          <cell r="J495">
            <v>0.99494722222222221</v>
          </cell>
          <cell r="K495">
            <v>0.99535499999999999</v>
          </cell>
          <cell r="L495">
            <v>0.99528069444444456</v>
          </cell>
          <cell r="M495">
            <v>0.9948663888888889</v>
          </cell>
          <cell r="N495">
            <v>0.99561208333333329</v>
          </cell>
        </row>
        <row r="497">
          <cell r="A497" t="str">
            <v>Futuros</v>
          </cell>
        </row>
        <row r="499">
          <cell r="A499" t="str">
            <v>FUTDLR102026</v>
          </cell>
          <cell r="B499" t="str">
            <v>FUTDLR102026</v>
          </cell>
          <cell r="C499">
            <v>0</v>
          </cell>
          <cell r="D499">
            <v>0</v>
          </cell>
          <cell r="E499">
            <v>1548</v>
          </cell>
          <cell r="F499">
            <v>1543.5</v>
          </cell>
          <cell r="G499">
            <v>1540</v>
          </cell>
          <cell r="H499">
            <v>1538</v>
          </cell>
          <cell r="I499">
            <v>1535.5</v>
          </cell>
          <cell r="J499">
            <v>1534</v>
          </cell>
          <cell r="K499">
            <v>1533.5</v>
          </cell>
          <cell r="L499">
            <v>1526</v>
          </cell>
          <cell r="M499">
            <v>1527</v>
          </cell>
          <cell r="N499">
            <v>1526</v>
          </cell>
        </row>
        <row r="501">
          <cell r="A501" t="str">
            <v>Futuros Soja</v>
          </cell>
        </row>
        <row r="503">
          <cell r="A503" t="str">
            <v>FUTDLRMM1126</v>
          </cell>
          <cell r="B503" t="str">
            <v>FUTDLRMM1126</v>
          </cell>
          <cell r="C503">
            <v>0</v>
          </cell>
          <cell r="D503">
            <v>0</v>
          </cell>
          <cell r="E503">
            <v>563441.07545999996</v>
          </cell>
          <cell r="F503">
            <v>563389.80732000002</v>
          </cell>
          <cell r="G503">
            <v>562881.42105</v>
          </cell>
          <cell r="H503">
            <v>567680.09467999998</v>
          </cell>
          <cell r="I503">
            <v>569051.02911999996</v>
          </cell>
          <cell r="J503">
            <v>567135.95805000002</v>
          </cell>
          <cell r="K503">
            <v>567241.02372000006</v>
          </cell>
          <cell r="L503">
            <v>565262.06846999994</v>
          </cell>
          <cell r="M503">
            <v>563115.45290000003</v>
          </cell>
          <cell r="N503">
            <v>561365.54064000002</v>
          </cell>
        </row>
        <row r="504">
          <cell r="A504" t="str">
            <v>FUTDLRMM0527</v>
          </cell>
          <cell r="B504" t="str">
            <v>FUTDLRMM0527</v>
          </cell>
          <cell r="C504">
            <v>0</v>
          </cell>
          <cell r="D504">
            <v>0</v>
          </cell>
          <cell r="E504">
            <v>541201.98462</v>
          </cell>
          <cell r="F504">
            <v>541000.43136000005</v>
          </cell>
          <cell r="G504">
            <v>542067.72207999998</v>
          </cell>
          <cell r="H504">
            <v>545027.62170000002</v>
          </cell>
          <cell r="I504">
            <v>546240.32512000005</v>
          </cell>
          <cell r="J504">
            <v>544814.94443999999</v>
          </cell>
          <cell r="K504">
            <v>543896.52408</v>
          </cell>
          <cell r="L504">
            <v>543888.52283999999</v>
          </cell>
          <cell r="M504">
            <v>542365.90555000002</v>
          </cell>
          <cell r="N504">
            <v>539716.33020000008</v>
          </cell>
        </row>
        <row r="505">
          <cell r="A505" t="str">
            <v>FUTARSSRO1126</v>
          </cell>
          <cell r="B505" t="str">
            <v>FUTARSSRO1126</v>
          </cell>
          <cell r="C505">
            <v>0</v>
          </cell>
          <cell r="D505">
            <v>0</v>
          </cell>
          <cell r="E505">
            <v>563441.07545999996</v>
          </cell>
          <cell r="F505">
            <v>563389.80732000002</v>
          </cell>
          <cell r="G505">
            <v>562881.42105</v>
          </cell>
          <cell r="H505">
            <v>567680.09467999998</v>
          </cell>
          <cell r="I505">
            <v>569051.02911999996</v>
          </cell>
          <cell r="J505">
            <v>567135.95805000002</v>
          </cell>
          <cell r="K505">
            <v>567241.02372000006</v>
          </cell>
          <cell r="L505">
            <v>565262.06846999994</v>
          </cell>
          <cell r="M505">
            <v>563115.45290000003</v>
          </cell>
          <cell r="N505">
            <v>561365.54064000002</v>
          </cell>
        </row>
        <row r="506">
          <cell r="A506" t="str">
            <v>FUTARSSRO0127</v>
          </cell>
          <cell r="B506" t="str">
            <v>FUTARSSRO0127</v>
          </cell>
          <cell r="C506">
            <v>0</v>
          </cell>
          <cell r="D506">
            <v>0</v>
          </cell>
          <cell r="E506">
            <v>570295.58976</v>
          </cell>
          <cell r="F506">
            <v>570852.93264000001</v>
          </cell>
          <cell r="G506">
            <v>570477.66154999996</v>
          </cell>
          <cell r="H506">
            <v>574369.41555999999</v>
          </cell>
          <cell r="I506">
            <v>577110.8112</v>
          </cell>
          <cell r="J506">
            <v>574272.60866000003</v>
          </cell>
          <cell r="K506">
            <v>574668.81906000001</v>
          </cell>
          <cell r="L506">
            <v>572992.92539999995</v>
          </cell>
          <cell r="M506">
            <v>570991.19349999994</v>
          </cell>
          <cell r="N506">
            <v>568783.80156000005</v>
          </cell>
        </row>
        <row r="507">
          <cell r="A507" t="str">
            <v>FUTARSSRO0527</v>
          </cell>
          <cell r="B507" t="str">
            <v>FUTARSSRO0527</v>
          </cell>
          <cell r="C507">
            <v>0</v>
          </cell>
          <cell r="D507">
            <v>0</v>
          </cell>
          <cell r="E507">
            <v>541201.98462</v>
          </cell>
          <cell r="F507">
            <v>541000.43136000005</v>
          </cell>
          <cell r="G507">
            <v>542067.72207999998</v>
          </cell>
          <cell r="H507">
            <v>545027.62170000002</v>
          </cell>
          <cell r="I507">
            <v>546240.32512000005</v>
          </cell>
          <cell r="J507">
            <v>544814.94443999999</v>
          </cell>
          <cell r="K507">
            <v>543896.52408</v>
          </cell>
          <cell r="L507">
            <v>543888.52283999999</v>
          </cell>
          <cell r="M507">
            <v>542365.90555000002</v>
          </cell>
          <cell r="N507">
            <v>539716.33020000008</v>
          </cell>
        </row>
        <row r="509">
          <cell r="A509" t="str">
            <v>Treasury</v>
          </cell>
        </row>
        <row r="511">
          <cell r="A511" t="str">
            <v>US27102026</v>
          </cell>
          <cell r="B511" t="str">
            <v>US27102026</v>
          </cell>
          <cell r="C511">
            <v>0</v>
          </cell>
          <cell r="D511">
            <v>0</v>
          </cell>
          <cell r="E511">
            <v>0.99740721943840094</v>
          </cell>
          <cell r="F511">
            <v>0.99748607274418333</v>
          </cell>
          <cell r="G511">
            <v>0.99781159414426202</v>
          </cell>
          <cell r="H511">
            <v>0.99791847875447959</v>
          </cell>
          <cell r="I511">
            <v>0.99800881655753604</v>
          </cell>
          <cell r="J511">
            <v>0.99811120716617363</v>
          </cell>
          <cell r="K511">
            <v>0.99822003693168004</v>
          </cell>
          <cell r="L511">
            <v>0.99864495917499729</v>
          </cell>
          <cell r="M511">
            <v>0.99874719341093465</v>
          </cell>
          <cell r="N511">
            <v>0.99885535281452464</v>
          </cell>
        </row>
        <row r="512">
          <cell r="A512" t="str">
            <v>US03112026</v>
          </cell>
          <cell r="B512" t="str">
            <v>US03112026</v>
          </cell>
          <cell r="C512">
            <v>0</v>
          </cell>
          <cell r="D512">
            <v>0</v>
          </cell>
          <cell r="E512">
            <v>0.99664019211684141</v>
          </cell>
          <cell r="F512">
            <v>0.99673657522131986</v>
          </cell>
          <cell r="G512">
            <v>0.99704467217952419</v>
          </cell>
          <cell r="H512">
            <v>0.99715028654083315</v>
          </cell>
          <cell r="I512">
            <v>0.99725398328923642</v>
          </cell>
          <cell r="J512">
            <v>0.99734971391433336</v>
          </cell>
          <cell r="K512">
            <v>0.99745283884478586</v>
          </cell>
          <cell r="L512">
            <v>0.99787417260511158</v>
          </cell>
          <cell r="M512">
            <v>0.99799025542628228</v>
          </cell>
          <cell r="N512">
            <v>0.99810103757661728</v>
          </cell>
        </row>
        <row r="513">
          <cell r="A513" t="str">
            <v>US19112026</v>
          </cell>
          <cell r="B513" t="str">
            <v>US19112026</v>
          </cell>
          <cell r="C513">
            <v>0</v>
          </cell>
          <cell r="D513">
            <v>0</v>
          </cell>
          <cell r="E513">
            <v>0.99488412592762443</v>
          </cell>
          <cell r="F513">
            <v>0.99500164603258601</v>
          </cell>
          <cell r="G513">
            <v>0.99529805926476933</v>
          </cell>
          <cell r="H513">
            <v>0.9953910069318701</v>
          </cell>
          <cell r="I513">
            <v>0.99548425432463727</v>
          </cell>
          <cell r="J513">
            <v>0.99558194555074508</v>
          </cell>
          <cell r="K513">
            <v>0.99569640916411706</v>
          </cell>
          <cell r="L513">
            <v>0.99613488747114487</v>
          </cell>
          <cell r="M513">
            <v>0.99623042782501603</v>
          </cell>
          <cell r="N513">
            <v>0.99634753733297843</v>
          </cell>
        </row>
        <row r="514">
          <cell r="A514" t="str">
            <v>US01122026</v>
          </cell>
          <cell r="B514" t="str">
            <v>US01122026</v>
          </cell>
          <cell r="C514">
            <v>0</v>
          </cell>
          <cell r="D514">
            <v>0</v>
          </cell>
          <cell r="E514">
            <v>0.99355019875631478</v>
          </cell>
          <cell r="F514">
            <v>0.9936594075953975</v>
          </cell>
          <cell r="G514">
            <v>0.99396410531466339</v>
          </cell>
          <cell r="H514">
            <v>0.99407095231806586</v>
          </cell>
          <cell r="I514">
            <v>0.99416394170869815</v>
          </cell>
          <cell r="J514">
            <v>0.9942856090587755</v>
          </cell>
          <cell r="K514">
            <v>0.99440014862495318</v>
          </cell>
          <cell r="L514">
            <v>0.99483557684655111</v>
          </cell>
          <cell r="M514">
            <v>0.99493510430836929</v>
          </cell>
          <cell r="N514">
            <v>0.99503721779960752</v>
          </cell>
        </row>
        <row r="515">
          <cell r="A515" t="str">
            <v>US10122026</v>
          </cell>
          <cell r="B515" t="str">
            <v>US10122026</v>
          </cell>
          <cell r="C515">
            <v>0</v>
          </cell>
          <cell r="D515">
            <v>0</v>
          </cell>
          <cell r="L515">
            <v>0.993862536688776</v>
          </cell>
          <cell r="M515">
            <v>0.9939403081169208</v>
          </cell>
          <cell r="N515">
            <v>0.99405874238986747</v>
          </cell>
        </row>
        <row r="517">
          <cell r="A517" t="str">
            <v>Pagarés $</v>
          </cell>
        </row>
        <row r="519">
          <cell r="A519" t="str">
            <v>#MAV150270009</v>
          </cell>
          <cell r="B519" t="str">
            <v>#MAV150270009</v>
          </cell>
          <cell r="E519">
            <v>0.90183579176240958</v>
          </cell>
          <cell r="F519">
            <v>0.90377853711682266</v>
          </cell>
          <cell r="G519">
            <v>0.90442798027603644</v>
          </cell>
          <cell r="H519">
            <v>0.90507835746875631</v>
          </cell>
          <cell r="I519">
            <v>0.90572967071143207</v>
          </cell>
          <cell r="J519">
            <v>0.90638192202632228</v>
          </cell>
          <cell r="K519">
            <v>0.90900034865766799</v>
          </cell>
          <cell r="L519">
            <v>0.90965732087227413</v>
          </cell>
          <cell r="M519">
            <v>0.91031524341580217</v>
          </cell>
          <cell r="N519">
            <v>0.9109741183517609</v>
          </cell>
        </row>
        <row r="520">
          <cell r="A520" t="str">
            <v>#MAV150270010</v>
          </cell>
          <cell r="B520" t="str">
            <v>#MAV150270010</v>
          </cell>
          <cell r="E520">
            <v>0.90183579176240958</v>
          </cell>
          <cell r="F520">
            <v>0.90377853711682266</v>
          </cell>
          <cell r="G520">
            <v>0.90442798027603644</v>
          </cell>
          <cell r="H520">
            <v>0.90507835746875631</v>
          </cell>
          <cell r="I520">
            <v>0.90572967071143207</v>
          </cell>
          <cell r="J520">
            <v>0.90638192202632228</v>
          </cell>
          <cell r="K520">
            <v>0.90900034865766799</v>
          </cell>
          <cell r="L520">
            <v>0.90965732087227413</v>
          </cell>
          <cell r="M520">
            <v>0.91031524341580217</v>
          </cell>
          <cell r="N520">
            <v>0.9109741183517609</v>
          </cell>
        </row>
        <row r="521">
          <cell r="A521" t="str">
            <v>#MAV101260047</v>
          </cell>
          <cell r="B521" t="str">
            <v>#MAV101260047</v>
          </cell>
          <cell r="J521">
            <v>0.95570878898604539</v>
          </cell>
          <cell r="K521">
            <v>0.95840395545128343</v>
          </cell>
          <cell r="L521">
            <v>0.95908012391840725</v>
          </cell>
          <cell r="M521">
            <v>0.95975724715326793</v>
          </cell>
          <cell r="N521">
            <v>0.9604353271795304</v>
          </cell>
        </row>
        <row r="523">
          <cell r="A523" t="str">
            <v>Pagarés USD</v>
          </cell>
        </row>
        <row r="525">
          <cell r="A525" t="str">
            <v>#UMV130170010</v>
          </cell>
          <cell r="B525" t="str">
            <v>#UMV130170010</v>
          </cell>
          <cell r="E525">
            <v>1489.5872549347944</v>
          </cell>
          <cell r="F525">
            <v>1490.3920891565037</v>
          </cell>
          <cell r="G525">
            <v>1486.9487220740707</v>
          </cell>
          <cell r="H525">
            <v>1488.2917339412631</v>
          </cell>
          <cell r="I525">
            <v>1489.0099269928094</v>
          </cell>
          <cell r="J525">
            <v>1487.0932630878499</v>
          </cell>
          <cell r="K525">
            <v>1485.8382427580502</v>
          </cell>
          <cell r="L525">
            <v>1486.1296707901279</v>
          </cell>
          <cell r="M525">
            <v>1485.1792948831612</v>
          </cell>
          <cell r="N525">
            <v>1484.870062220622</v>
          </cell>
        </row>
        <row r="526">
          <cell r="A526" t="str">
            <v>#UMV130170012</v>
          </cell>
          <cell r="B526" t="str">
            <v>#UMV130170012</v>
          </cell>
          <cell r="E526">
            <v>1489.5872549347944</v>
          </cell>
          <cell r="F526">
            <v>1490.3920891565037</v>
          </cell>
          <cell r="G526">
            <v>1486.9487220740707</v>
          </cell>
          <cell r="H526">
            <v>1488.2917339412631</v>
          </cell>
          <cell r="I526">
            <v>1489.0099269928094</v>
          </cell>
          <cell r="J526">
            <v>1487.0932630878499</v>
          </cell>
          <cell r="K526">
            <v>1485.8382427580502</v>
          </cell>
          <cell r="L526">
            <v>1486.1296707901279</v>
          </cell>
          <cell r="M526">
            <v>1485.1792948831612</v>
          </cell>
          <cell r="N526">
            <v>1484.870062220622</v>
          </cell>
        </row>
        <row r="527">
          <cell r="A527" t="str">
            <v>#UMV150270056</v>
          </cell>
          <cell r="B527" t="str">
            <v>#UMV150270056</v>
          </cell>
          <cell r="E527">
            <v>1479.9382207008166</v>
          </cell>
          <cell r="F527">
            <v>1480.7317857290304</v>
          </cell>
          <cell r="G527">
            <v>1477.3087219803815</v>
          </cell>
          <cell r="H527">
            <v>1478.6410087307329</v>
          </cell>
          <cell r="I527">
            <v>1479.3525246198744</v>
          </cell>
          <cell r="J527">
            <v>1477.4462734570873</v>
          </cell>
          <cell r="K527">
            <v>1476.1913196598298</v>
          </cell>
          <cell r="L527">
            <v>1476.4788343198109</v>
          </cell>
          <cell r="M527">
            <v>1475.5326092904013</v>
          </cell>
          <cell r="N527">
            <v>1475.2233639545409</v>
          </cell>
        </row>
        <row r="528">
          <cell r="A528" t="str">
            <v>#UMV150270055</v>
          </cell>
          <cell r="B528" t="str">
            <v>#UMV150270055</v>
          </cell>
          <cell r="E528">
            <v>1479.9382207008166</v>
          </cell>
          <cell r="F528">
            <v>1480.7317857290304</v>
          </cell>
          <cell r="G528">
            <v>1477.3087219803815</v>
          </cell>
          <cell r="H528">
            <v>1478.6410087307329</v>
          </cell>
          <cell r="I528">
            <v>1479.3525246198744</v>
          </cell>
          <cell r="J528">
            <v>1477.4462734570873</v>
          </cell>
          <cell r="K528">
            <v>1476.1913196598298</v>
          </cell>
          <cell r="L528">
            <v>1476.4788343198109</v>
          </cell>
          <cell r="M528">
            <v>1475.5326092904013</v>
          </cell>
          <cell r="N528">
            <v>1475.2233639545409</v>
          </cell>
        </row>
        <row r="529">
          <cell r="A529" t="str">
            <v>#UMV150370062</v>
          </cell>
          <cell r="B529" t="str">
            <v>#UMV150370062</v>
          </cell>
          <cell r="E529">
            <v>1471.3297845313516</v>
          </cell>
          <cell r="F529">
            <v>1472.1133623822782</v>
          </cell>
          <cell r="G529">
            <v>1468.7084344210193</v>
          </cell>
          <cell r="H529">
            <v>1470.031175037717</v>
          </cell>
          <cell r="I529">
            <v>1470.7367561996064</v>
          </cell>
          <cell r="J529">
            <v>1468.8398169215093</v>
          </cell>
          <cell r="K529">
            <v>1467.5850115580338</v>
          </cell>
          <cell r="L529">
            <v>1467.8690572835419</v>
          </cell>
          <cell r="M529">
            <v>1466.9265576676348</v>
          </cell>
          <cell r="N529">
            <v>1466.6173233362085</v>
          </cell>
        </row>
        <row r="530">
          <cell r="A530" t="str">
            <v>#UMV150370061</v>
          </cell>
          <cell r="B530" t="str">
            <v>#UMV150370061</v>
          </cell>
          <cell r="E530">
            <v>1471.3297845313516</v>
          </cell>
          <cell r="F530">
            <v>1472.1133623822782</v>
          </cell>
          <cell r="G530">
            <v>1468.7084344210193</v>
          </cell>
          <cell r="H530">
            <v>1470.031175037717</v>
          </cell>
          <cell r="I530">
            <v>1470.7367561996064</v>
          </cell>
          <cell r="J530">
            <v>1468.8398169215093</v>
          </cell>
          <cell r="K530">
            <v>1467.5850115580338</v>
          </cell>
          <cell r="L530">
            <v>1467.8690572835419</v>
          </cell>
          <cell r="M530">
            <v>1466.9265576676348</v>
          </cell>
          <cell r="N530">
            <v>1466.6173233362085</v>
          </cell>
        </row>
        <row r="531">
          <cell r="A531" t="str">
            <v>#UMV150170072</v>
          </cell>
          <cell r="B531" t="str">
            <v>#UMV150170072</v>
          </cell>
          <cell r="E531">
            <v>1488.3351541199256</v>
          </cell>
          <cell r="F531">
            <v>1489.1385215404439</v>
          </cell>
          <cell r="G531">
            <v>1485.6977876313656</v>
          </cell>
          <cell r="H531">
            <v>1487.0394062664136</v>
          </cell>
          <cell r="I531">
            <v>1487.7567313658665</v>
          </cell>
          <cell r="J531">
            <v>1485.8414171852003</v>
          </cell>
          <cell r="K531">
            <v>1484.586399529908</v>
          </cell>
          <cell r="L531">
            <v>1484.8773182471427</v>
          </cell>
          <cell r="M531">
            <v>1483.9274794919147</v>
          </cell>
          <cell r="N531">
            <v>1483.6182436922334</v>
          </cell>
        </row>
        <row r="532">
          <cell r="A532" t="str">
            <v>#UMV150170073</v>
          </cell>
          <cell r="B532" t="str">
            <v>#UMV150170073</v>
          </cell>
          <cell r="E532">
            <v>1488.3351541199256</v>
          </cell>
          <cell r="F532">
            <v>1489.1385215404439</v>
          </cell>
          <cell r="G532">
            <v>1485.6977876313656</v>
          </cell>
          <cell r="H532">
            <v>1487.0394062664136</v>
          </cell>
          <cell r="I532">
            <v>1487.7567313658665</v>
          </cell>
          <cell r="J532">
            <v>1485.8414171852003</v>
          </cell>
          <cell r="K532">
            <v>1484.586399529908</v>
          </cell>
          <cell r="L532">
            <v>1484.8773182471427</v>
          </cell>
          <cell r="M532">
            <v>1483.9274794919147</v>
          </cell>
          <cell r="N532">
            <v>1483.6182436922334</v>
          </cell>
        </row>
        <row r="533">
          <cell r="A533" t="str">
            <v>#UMV150370068</v>
          </cell>
          <cell r="B533" t="str">
            <v>#UMV150370068</v>
          </cell>
          <cell r="E533">
            <v>1471.3297845313516</v>
          </cell>
          <cell r="F533">
            <v>1472.1133623822782</v>
          </cell>
          <cell r="G533">
            <v>1468.7084344210193</v>
          </cell>
          <cell r="H533">
            <v>1470.031175037717</v>
          </cell>
          <cell r="I533">
            <v>1470.7367561996064</v>
          </cell>
          <cell r="J533">
            <v>1468.8398169215093</v>
          </cell>
          <cell r="K533">
            <v>1467.5850115580338</v>
          </cell>
          <cell r="L533">
            <v>1467.8690572835419</v>
          </cell>
          <cell r="M533">
            <v>1466.9265576676348</v>
          </cell>
          <cell r="N533">
            <v>1466.6173233362085</v>
          </cell>
        </row>
        <row r="534">
          <cell r="A534" t="str">
            <v>#UMV150370069</v>
          </cell>
          <cell r="B534" t="str">
            <v>#UMV150370069</v>
          </cell>
          <cell r="E534">
            <v>1471.3297845313516</v>
          </cell>
          <cell r="F534">
            <v>1472.1133623822782</v>
          </cell>
          <cell r="G534">
            <v>1468.7084344210193</v>
          </cell>
          <cell r="H534">
            <v>1470.031175037717</v>
          </cell>
          <cell r="I534">
            <v>1470.7367561996064</v>
          </cell>
          <cell r="J534">
            <v>1468.8398169215093</v>
          </cell>
          <cell r="K534">
            <v>1467.5850115580338</v>
          </cell>
          <cell r="L534">
            <v>1467.8690572835419</v>
          </cell>
          <cell r="M534">
            <v>1466.9265576676348</v>
          </cell>
          <cell r="N534">
            <v>1466.6173233362085</v>
          </cell>
        </row>
        <row r="535">
          <cell r="A535" t="str">
            <v>#UMV080470014</v>
          </cell>
          <cell r="B535" t="str">
            <v>#UMV080470014</v>
          </cell>
          <cell r="E535">
            <v>1464.0304378051287</v>
          </cell>
          <cell r="F535">
            <v>1464.8055965061362</v>
          </cell>
          <cell r="G535">
            <v>1461.4160627128113</v>
          </cell>
          <cell r="H535">
            <v>1462.7307253822501</v>
          </cell>
          <cell r="I535">
            <v>1463.4312908167165</v>
          </cell>
          <cell r="J535">
            <v>1461.5422636887097</v>
          </cell>
          <cell r="K535">
            <v>1460.2876499922802</v>
          </cell>
          <cell r="L535">
            <v>1460.5687708544517</v>
          </cell>
          <cell r="M535">
            <v>1459.6294465163867</v>
          </cell>
          <cell r="N535">
            <v>1459.3202379977765</v>
          </cell>
        </row>
        <row r="536">
          <cell r="A536" t="str">
            <v>#UMV110270016</v>
          </cell>
          <cell r="B536" t="str">
            <v>#UMV110270016</v>
          </cell>
          <cell r="E536">
            <v>1481.176227215328</v>
          </cell>
          <cell r="F536">
            <v>1481.9712337038306</v>
          </cell>
          <cell r="G536">
            <v>1478.5455635012052</v>
          </cell>
          <cell r="H536">
            <v>1479.8792248436205</v>
          </cell>
          <cell r="I536">
            <v>1480.5915959572251</v>
          </cell>
          <cell r="J536">
            <v>1478.6840073370017</v>
          </cell>
          <cell r="K536">
            <v>1477.4290391016252</v>
          </cell>
          <cell r="L536">
            <v>1477.7170543774371</v>
          </cell>
          <cell r="M536">
            <v>1476.7702953052228</v>
          </cell>
          <cell r="N536">
            <v>1476.4610501171637</v>
          </cell>
        </row>
        <row r="537">
          <cell r="A537" t="str">
            <v>#UMV140170019</v>
          </cell>
          <cell r="B537" t="str">
            <v>#UMV140170019</v>
          </cell>
          <cell r="E537">
            <v>1489.9006093835419</v>
          </cell>
          <cell r="F537">
            <v>1490.7058108994086</v>
          </cell>
          <cell r="G537">
            <v>1487.261784900094</v>
          </cell>
          <cell r="H537">
            <v>1488.6051455113923</v>
          </cell>
          <cell r="I537">
            <v>1489.3235558489159</v>
          </cell>
          <cell r="J537">
            <v>1487.4065542269559</v>
          </cell>
          <cell r="K537">
            <v>1486.1515335058643</v>
          </cell>
          <cell r="L537">
            <v>1486.4430890705012</v>
          </cell>
          <cell r="M537">
            <v>1485.4925788036066</v>
          </cell>
          <cell r="N537">
            <v>1485.1833469958208</v>
          </cell>
        </row>
        <row r="538">
          <cell r="A538" t="str">
            <v>#UMV150470068</v>
          </cell>
          <cell r="B538" t="str">
            <v>#UMV150470068</v>
          </cell>
          <cell r="E538">
            <v>1461.9150845039869</v>
          </cell>
          <cell r="F538">
            <v>1462.6878117830306</v>
          </cell>
          <cell r="G538">
            <v>1459.3027420205872</v>
          </cell>
          <cell r="H538">
            <v>1460.6150665280393</v>
          </cell>
          <cell r="I538">
            <v>1461.314181233241</v>
          </cell>
          <cell r="J538">
            <v>1459.4274498496413</v>
          </cell>
          <cell r="K538">
            <v>1458.1729029843666</v>
          </cell>
          <cell r="L538">
            <v>1458.4531790581905</v>
          </cell>
          <cell r="M538">
            <v>1457.5147777276836</v>
          </cell>
          <cell r="N538">
            <v>1457.2055795162821</v>
          </cell>
        </row>
        <row r="539">
          <cell r="A539" t="str">
            <v>#UMV180370015</v>
          </cell>
          <cell r="B539" t="str">
            <v>#UMV180370015</v>
          </cell>
          <cell r="E539">
            <v>1470.4133881851687</v>
          </cell>
          <cell r="F539">
            <v>1471.1959065720318</v>
          </cell>
          <cell r="G539">
            <v>1467.7929104502302</v>
          </cell>
          <cell r="H539">
            <v>1469.1146360899827</v>
          </cell>
          <cell r="I539">
            <v>1469.8195867211632</v>
          </cell>
          <cell r="J539">
            <v>1467.9236399512661</v>
          </cell>
          <cell r="K539">
            <v>1466.6688553357756</v>
          </cell>
          <cell r="L539">
            <v>1466.9525330257775</v>
          </cell>
          <cell r="M539">
            <v>1466.0104312244589</v>
          </cell>
          <cell r="N539">
            <v>1465.701199303468</v>
          </cell>
        </row>
        <row r="540">
          <cell r="A540" t="str">
            <v>#UMV250270018</v>
          </cell>
          <cell r="B540" t="str">
            <v>#UMV250270018</v>
          </cell>
          <cell r="E540">
            <v>1476.8522396742292</v>
          </cell>
          <cell r="F540">
            <v>1477.642217234079</v>
          </cell>
          <cell r="G540">
            <v>1474.2256524709755</v>
          </cell>
          <cell r="H540">
            <v>1475.5545146695349</v>
          </cell>
          <cell r="I540">
            <v>1476.2639006356553</v>
          </cell>
          <cell r="J540">
            <v>1474.3609852318962</v>
          </cell>
          <cell r="K540">
            <v>1473.1060749871874</v>
          </cell>
          <cell r="L540">
            <v>1473.3923436630369</v>
          </cell>
          <cell r="M540">
            <v>1472.4474517267049</v>
          </cell>
          <cell r="N540">
            <v>1472.1382079166247</v>
          </cell>
        </row>
        <row r="541">
          <cell r="A541" t="str">
            <v>#UMV290370010</v>
          </cell>
          <cell r="B541" t="str">
            <v>#UMV290370010</v>
          </cell>
          <cell r="E541">
            <v>1467.0630124045779</v>
          </cell>
          <cell r="F541">
            <v>1467.8416634212351</v>
          </cell>
          <cell r="G541">
            <v>1464.4457321759155</v>
          </cell>
          <cell r="H541">
            <v>1465.7637490573336</v>
          </cell>
          <cell r="I541">
            <v>1466.4663964787505</v>
          </cell>
          <cell r="J541">
            <v>1464.5740803623453</v>
          </cell>
          <cell r="K541">
            <v>1463.3193797034987</v>
          </cell>
          <cell r="L541">
            <v>1463.6017138806076</v>
          </cell>
          <cell r="M541">
            <v>1462.6610685205151</v>
          </cell>
          <cell r="N541">
            <v>1462.3518474412106</v>
          </cell>
        </row>
        <row r="542">
          <cell r="A542" t="str">
            <v>#UMV040370018</v>
          </cell>
          <cell r="B542" t="str">
            <v>#UMV040370018</v>
          </cell>
          <cell r="E542">
            <v>1474.699699345244</v>
          </cell>
          <cell r="F542">
            <v>1475.4871793510715</v>
          </cell>
          <cell r="G542">
            <v>1472.0751493576395</v>
          </cell>
          <cell r="H542">
            <v>1473.4016244576731</v>
          </cell>
          <cell r="I542">
            <v>1474.1095263577927</v>
          </cell>
          <cell r="J542">
            <v>1472.2089393057979</v>
          </cell>
          <cell r="K542">
            <v>1470.9540658306462</v>
          </cell>
          <cell r="L542">
            <v>1471.2394670119938</v>
          </cell>
          <cell r="M542">
            <v>1470.2955065294291</v>
          </cell>
          <cell r="N542">
            <v>1469.9862653842727</v>
          </cell>
        </row>
        <row r="543">
          <cell r="A543" t="str">
            <v>#UMV110370016</v>
          </cell>
          <cell r="B543" t="str">
            <v>#UMV110370016</v>
          </cell>
          <cell r="E543">
            <v>1472.5534246212524</v>
          </cell>
          <cell r="F543">
            <v>1473.3384182580246</v>
          </cell>
          <cell r="G543">
            <v>1469.9309111296077</v>
          </cell>
          <cell r="H543">
            <v>1471.2550073906154</v>
          </cell>
          <cell r="I543">
            <v>1471.9614308558459</v>
          </cell>
          <cell r="J543">
            <v>1470.0631666757295</v>
          </cell>
          <cell r="K543">
            <v>1468.8083350920438</v>
          </cell>
          <cell r="L543">
            <v>1469.09287261894</v>
          </cell>
          <cell r="M543">
            <v>1468.1498421812321</v>
          </cell>
          <cell r="N543">
            <v>1467.8406050029087</v>
          </cell>
        </row>
        <row r="544">
          <cell r="A544" t="str">
            <v>#UMV210170045</v>
          </cell>
          <cell r="B544" t="str">
            <v>#UMV210170045</v>
          </cell>
          <cell r="E544">
            <v>1487.7098927386889</v>
          </cell>
          <cell r="F544">
            <v>1488.5125281810444</v>
          </cell>
          <cell r="G544">
            <v>1485.0731093640993</v>
          </cell>
          <cell r="H544">
            <v>1486.4140324278569</v>
          </cell>
          <cell r="I544">
            <v>1487.1309242650555</v>
          </cell>
          <cell r="J544">
            <v>1485.2162842610758</v>
          </cell>
          <cell r="K544">
            <v>1483.9612686066782</v>
          </cell>
          <cell r="L544">
            <v>1484.251933154761</v>
          </cell>
          <cell r="M544">
            <v>1483.3023628026283</v>
          </cell>
          <cell r="N544">
            <v>1482.9931256030027</v>
          </cell>
        </row>
        <row r="545">
          <cell r="A545" t="str">
            <v>#UMV210170044</v>
          </cell>
          <cell r="B545" t="str">
            <v>#UMV210170044</v>
          </cell>
          <cell r="E545">
            <v>1487.7098927386889</v>
          </cell>
          <cell r="F545">
            <v>1488.5125281810444</v>
          </cell>
          <cell r="G545">
            <v>1485.0731093640993</v>
          </cell>
          <cell r="H545">
            <v>1486.4140324278569</v>
          </cell>
          <cell r="I545">
            <v>1487.1309242650555</v>
          </cell>
          <cell r="J545">
            <v>1485.2162842610758</v>
          </cell>
          <cell r="K545">
            <v>1483.9612686066782</v>
          </cell>
          <cell r="L545">
            <v>1484.251933154761</v>
          </cell>
          <cell r="M545">
            <v>1483.3023628026283</v>
          </cell>
          <cell r="N545">
            <v>1482.9931256030027</v>
          </cell>
        </row>
        <row r="546">
          <cell r="A546" t="str">
            <v>#UMV180270022</v>
          </cell>
          <cell r="B546" t="str">
            <v>#UMV180270022</v>
          </cell>
          <cell r="E546">
            <v>1479.0110730850213</v>
          </cell>
          <cell r="F546">
            <v>1479.8035594501646</v>
          </cell>
          <cell r="G546">
            <v>1476.3824479662408</v>
          </cell>
          <cell r="H546">
            <v>1477.7137055648313</v>
          </cell>
          <cell r="I546">
            <v>1478.4245812585484</v>
          </cell>
          <cell r="J546">
            <v>1476.5193320048381</v>
          </cell>
          <cell r="K546">
            <v>1475.2643901580598</v>
          </cell>
          <cell r="L546">
            <v>1475.5515301911221</v>
          </cell>
          <cell r="M546">
            <v>1474.6057053917007</v>
          </cell>
          <cell r="N546">
            <v>1474.2964602301151</v>
          </cell>
        </row>
        <row r="547">
          <cell r="A547" t="str">
            <v>#UMV140170018</v>
          </cell>
          <cell r="B547" t="str">
            <v>#UMV140170018</v>
          </cell>
          <cell r="E547">
            <v>1489.9006093835419</v>
          </cell>
          <cell r="F547">
            <v>1490.7058108994086</v>
          </cell>
          <cell r="G547">
            <v>1487.261784900094</v>
          </cell>
          <cell r="H547">
            <v>1488.6051455113923</v>
          </cell>
          <cell r="I547">
            <v>1489.3235558489159</v>
          </cell>
          <cell r="J547">
            <v>1487.4065542269559</v>
          </cell>
          <cell r="K547">
            <v>1486.1515335058643</v>
          </cell>
          <cell r="L547">
            <v>1486.4430890705012</v>
          </cell>
          <cell r="M547">
            <v>1485.4925788036066</v>
          </cell>
          <cell r="N547">
            <v>1485.1833469958208</v>
          </cell>
        </row>
        <row r="548">
          <cell r="A548" t="str">
            <v>#UMV280170011</v>
          </cell>
          <cell r="B548" t="str">
            <v>#UMV280170011</v>
          </cell>
          <cell r="E548">
            <v>1485.5256089968818</v>
          </cell>
          <cell r="F548">
            <v>1486.3256899559526</v>
          </cell>
          <cell r="G548">
            <v>1482.8908661341518</v>
          </cell>
          <cell r="H548">
            <v>1484.2293601661538</v>
          </cell>
          <cell r="I548">
            <v>1484.9447393202636</v>
          </cell>
          <cell r="J548">
            <v>1483.032455343465</v>
          </cell>
          <cell r="K548">
            <v>1481.7774501572712</v>
          </cell>
          <cell r="L548">
            <v>1482.0672276673426</v>
          </cell>
          <cell r="M548">
            <v>1481.118595819072</v>
          </cell>
          <cell r="N548">
            <v>1480.8093546001223</v>
          </cell>
        </row>
        <row r="549">
          <cell r="A549" t="str">
            <v>#UMV070170014</v>
          </cell>
          <cell r="B549" t="str">
            <v>#UMV070170014</v>
          </cell>
          <cell r="E549">
            <v>1492.0977873915267</v>
          </cell>
          <cell r="F549">
            <v>1492.9055666404388</v>
          </cell>
          <cell r="G549">
            <v>1489.4569212235815</v>
          </cell>
          <cell r="H549">
            <v>1490.8027279419273</v>
          </cell>
          <cell r="I549">
            <v>1491.5226626287977</v>
          </cell>
          <cell r="J549">
            <v>1489.6032937793129</v>
          </cell>
          <cell r="K549">
            <v>1488.3482734410939</v>
          </cell>
          <cell r="L549">
            <v>1488.640724024511</v>
          </cell>
          <cell r="M549">
            <v>1487.6892724317399</v>
          </cell>
          <cell r="N549">
            <v>1487.3800474004452</v>
          </cell>
        </row>
        <row r="550">
          <cell r="A550" t="str">
            <v>#UMV070170013</v>
          </cell>
          <cell r="B550" t="str">
            <v>#UMV070170013</v>
          </cell>
          <cell r="E550">
            <v>1492.0977873915267</v>
          </cell>
          <cell r="F550">
            <v>1492.9055666404388</v>
          </cell>
          <cell r="G550">
            <v>1489.4569212235815</v>
          </cell>
          <cell r="H550">
            <v>1490.8027279419273</v>
          </cell>
          <cell r="I550">
            <v>1491.5226626287977</v>
          </cell>
          <cell r="J550">
            <v>1489.6032937793129</v>
          </cell>
          <cell r="K550">
            <v>1488.3482734410939</v>
          </cell>
          <cell r="L550">
            <v>1488.640724024511</v>
          </cell>
          <cell r="M550">
            <v>1487.6892724317399</v>
          </cell>
          <cell r="N550">
            <v>1487.3800474004452</v>
          </cell>
        </row>
        <row r="551">
          <cell r="A551" t="str">
            <v>#UMV050470018</v>
          </cell>
          <cell r="B551" t="str">
            <v>#UMV050470018</v>
          </cell>
          <cell r="E551">
            <v>1464.938892951011</v>
          </cell>
          <cell r="F551">
            <v>1465.7150970109703</v>
          </cell>
          <cell r="G551">
            <v>1462.3236464899917</v>
          </cell>
          <cell r="H551">
            <v>1463.6393136918732</v>
          </cell>
          <cell r="I551">
            <v>1464.3405025438497</v>
          </cell>
          <cell r="J551">
            <v>1462.4504898765877</v>
          </cell>
          <cell r="K551">
            <v>1461.195849035676</v>
          </cell>
          <cell r="L551">
            <v>1461.4773330903201</v>
          </cell>
          <cell r="M551">
            <v>1460.5376127470925</v>
          </cell>
          <cell r="N551">
            <v>1460.2284001918486</v>
          </cell>
        </row>
        <row r="552">
          <cell r="A552" t="str">
            <v>#UMV030270021</v>
          </cell>
          <cell r="B552" t="str">
            <v>#UMV030270021</v>
          </cell>
          <cell r="E552">
            <v>1483.658464404084</v>
          </cell>
          <cell r="F552">
            <v>1484.4563649787649</v>
          </cell>
          <cell r="G552">
            <v>1481.02547006036</v>
          </cell>
          <cell r="H552">
            <v>1482.3618888100839</v>
          </cell>
          <cell r="I552">
            <v>1483.0759759848022</v>
          </cell>
          <cell r="J552">
            <v>1481.1657070242088</v>
          </cell>
          <cell r="K552">
            <v>1479.9107150738023</v>
          </cell>
          <cell r="L552">
            <v>1480.199735414348</v>
          </cell>
          <cell r="M552">
            <v>1479.2519068751865</v>
          </cell>
          <cell r="N552">
            <v>1478.9426632943919</v>
          </cell>
        </row>
        <row r="553">
          <cell r="A553" t="str">
            <v>#UMV010670037</v>
          </cell>
          <cell r="B553" t="str">
            <v>#UMV010670037</v>
          </cell>
          <cell r="E553">
            <v>1447.2770581589677</v>
          </cell>
          <cell r="F553">
            <v>1448.0330643092218</v>
          </cell>
          <cell r="G553">
            <v>1444.6789196019176</v>
          </cell>
          <cell r="H553">
            <v>1445.9750991175506</v>
          </cell>
          <cell r="I553">
            <v>1446.6642097773422</v>
          </cell>
          <cell r="J553">
            <v>1444.7933991910941</v>
          </cell>
          <cell r="K553">
            <v>1443.5394537563545</v>
          </cell>
          <cell r="L553">
            <v>1443.813918927382</v>
          </cell>
          <cell r="M553">
            <v>1442.8819393240215</v>
          </cell>
          <cell r="N553">
            <v>1442.5728472412579</v>
          </cell>
        </row>
        <row r="554">
          <cell r="A554" t="str">
            <v>#UMV290670004</v>
          </cell>
          <cell r="B554" t="str">
            <v>#UMV290670004</v>
          </cell>
          <cell r="E554">
            <v>1439.0433361287116</v>
          </cell>
          <cell r="F554">
            <v>1439.7900167436514</v>
          </cell>
          <cell r="G554">
            <v>1436.4532934581571</v>
          </cell>
          <cell r="H554">
            <v>1437.7404183599574</v>
          </cell>
          <cell r="I554">
            <v>1438.4239286204813</v>
          </cell>
          <cell r="J554">
            <v>1436.5620997790322</v>
          </cell>
          <cell r="K554">
            <v>1435.3085993486186</v>
          </cell>
          <cell r="L554">
            <v>1435.5798227861239</v>
          </cell>
          <cell r="M554">
            <v>1434.6514819058393</v>
          </cell>
          <cell r="N554">
            <v>1434.3424762428847</v>
          </cell>
        </row>
        <row r="555">
          <cell r="A555" t="str">
            <v>#UMV150470071</v>
          </cell>
          <cell r="B555" t="str">
            <v>#UMV150470071</v>
          </cell>
          <cell r="E555">
            <v>1460.7090534822653</v>
          </cell>
          <cell r="F555">
            <v>1461.4803962290935</v>
          </cell>
          <cell r="G555">
            <v>1458.0978721166423</v>
          </cell>
          <cell r="H555">
            <v>1459.4088641318783</v>
          </cell>
          <cell r="I555">
            <v>1460.1071522988921</v>
          </cell>
          <cell r="J555">
            <v>1458.2217303563536</v>
          </cell>
          <cell r="K555">
            <v>1456.9672238636185</v>
          </cell>
          <cell r="L555">
            <v>1457.2470188672289</v>
          </cell>
          <cell r="M555">
            <v>1456.3091443383973</v>
          </cell>
          <cell r="N555">
            <v>1455.999952571982</v>
          </cell>
        </row>
        <row r="556">
          <cell r="A556" t="str">
            <v>#UMV040570009</v>
          </cell>
          <cell r="B556" t="str">
            <v>#UMV040570009</v>
          </cell>
          <cell r="E556">
            <v>1455.6055435704636</v>
          </cell>
          <cell r="F556">
            <v>1456.3710411151617</v>
          </cell>
          <cell r="G556">
            <v>1452.9992938408247</v>
          </cell>
          <cell r="H556">
            <v>1454.3046517814203</v>
          </cell>
          <cell r="I556">
            <v>1454.9994468983055</v>
          </cell>
          <cell r="J556">
            <v>1453.1195705893842</v>
          </cell>
          <cell r="K556">
            <v>1451.8652531865621</v>
          </cell>
          <cell r="L556">
            <v>1452.1430170544913</v>
          </cell>
          <cell r="M556">
            <v>1451.207376314363</v>
          </cell>
          <cell r="N556">
            <v>1450.8982163909288</v>
          </cell>
        </row>
        <row r="557">
          <cell r="A557" t="str">
            <v>#UMV140170021</v>
          </cell>
          <cell r="B557" t="str">
            <v>#UMV140170021</v>
          </cell>
          <cell r="E557">
            <v>1488.6479819427118</v>
          </cell>
          <cell r="F557">
            <v>1489.4517157076164</v>
          </cell>
          <cell r="G557">
            <v>1486.0103238790452</v>
          </cell>
          <cell r="H557">
            <v>1487.3522905607426</v>
          </cell>
          <cell r="I557">
            <v>1488.0698324696318</v>
          </cell>
          <cell r="J557">
            <v>1486.1541810293397</v>
          </cell>
          <cell r="K557">
            <v>1484.8991625393001</v>
          </cell>
          <cell r="L557">
            <v>1485.1902084630747</v>
          </cell>
          <cell r="M557">
            <v>1484.2402354631065</v>
          </cell>
          <cell r="N557">
            <v>1483.9310004055008</v>
          </cell>
        </row>
        <row r="558">
          <cell r="A558" t="str">
            <v>#UMV200470019</v>
          </cell>
          <cell r="B558" t="str">
            <v>#UMV200470019</v>
          </cell>
          <cell r="H558">
            <v>1459.1076247510236</v>
          </cell>
          <cell r="I558">
            <v>1459.8057065610462</v>
          </cell>
          <cell r="J558">
            <v>1457.920611705101</v>
          </cell>
          <cell r="K558">
            <v>1456.6661155523495</v>
          </cell>
          <cell r="L558">
            <v>1456.9457904770934</v>
          </cell>
          <cell r="M558">
            <v>1456.0080475769696</v>
          </cell>
          <cell r="N558">
            <v>1455.6988574845693</v>
          </cell>
        </row>
        <row r="559">
          <cell r="A559" t="str">
            <v>#UMV200470018</v>
          </cell>
          <cell r="B559" t="str">
            <v>#UMV200470018</v>
          </cell>
          <cell r="H559">
            <v>1459.1076247510236</v>
          </cell>
          <cell r="I559">
            <v>1459.8057065610462</v>
          </cell>
          <cell r="J559">
            <v>1457.920611705101</v>
          </cell>
          <cell r="K559">
            <v>1456.6661155523495</v>
          </cell>
          <cell r="L559">
            <v>1456.9457904770934</v>
          </cell>
          <cell r="M559">
            <v>1456.0080475769696</v>
          </cell>
          <cell r="N559">
            <v>1455.6988574845693</v>
          </cell>
        </row>
        <row r="560">
          <cell r="A560" t="str">
            <v>#UMV200470017</v>
          </cell>
          <cell r="B560" t="str">
            <v>#UMV200470017</v>
          </cell>
          <cell r="H560">
            <v>1459.1076247510236</v>
          </cell>
          <cell r="I560">
            <v>1459.8057065610462</v>
          </cell>
          <cell r="J560">
            <v>1457.920611705101</v>
          </cell>
          <cell r="K560">
            <v>1456.6661155523495</v>
          </cell>
          <cell r="L560">
            <v>1456.9457904770934</v>
          </cell>
          <cell r="M560">
            <v>1456.0080475769696</v>
          </cell>
          <cell r="N560">
            <v>1455.6988574845693</v>
          </cell>
        </row>
        <row r="561">
          <cell r="A561" t="str">
            <v>#UMV200470016</v>
          </cell>
          <cell r="B561" t="str">
            <v>#UMV200470016</v>
          </cell>
          <cell r="H561">
            <v>1459.1076247510236</v>
          </cell>
          <cell r="I561">
            <v>1459.8057065610462</v>
          </cell>
          <cell r="J561">
            <v>1457.920611705101</v>
          </cell>
          <cell r="K561">
            <v>1456.6661155523495</v>
          </cell>
          <cell r="L561">
            <v>1456.9457904770934</v>
          </cell>
          <cell r="M561">
            <v>1456.0080475769696</v>
          </cell>
          <cell r="N561">
            <v>1455.6988574845693</v>
          </cell>
        </row>
        <row r="562">
          <cell r="A562" t="str">
            <v>#UMV040570010</v>
          </cell>
          <cell r="B562" t="str">
            <v>#UMV040570010</v>
          </cell>
          <cell r="H562">
            <v>1454.9032934677305</v>
          </cell>
          <cell r="I562">
            <v>1455.5984978810893</v>
          </cell>
          <cell r="J562">
            <v>1453.7179707776666</v>
          </cell>
          <cell r="K562">
            <v>1452.4636296695901</v>
          </cell>
          <cell r="L562">
            <v>1452.741631373455</v>
          </cell>
          <cell r="M562">
            <v>1451.8057282645948</v>
          </cell>
          <cell r="N562">
            <v>1451.4965642237983</v>
          </cell>
        </row>
        <row r="563">
          <cell r="A563" t="str">
            <v>#UMV180570011</v>
          </cell>
          <cell r="B563" t="str">
            <v>#UMV180570011</v>
          </cell>
          <cell r="H563">
            <v>1450.7231216283162</v>
          </cell>
          <cell r="I563">
            <v>1451.4154701420141</v>
          </cell>
          <cell r="J563">
            <v>1449.5394894971473</v>
          </cell>
          <cell r="K563">
            <v>1448.2853223988934</v>
          </cell>
          <cell r="L563">
            <v>1448.5616654797934</v>
          </cell>
          <cell r="M563">
            <v>1447.6275965460127</v>
          </cell>
          <cell r="N563">
            <v>1447.3184633799458</v>
          </cell>
        </row>
        <row r="564">
          <cell r="A564" t="str">
            <v>#UMV010670043</v>
          </cell>
          <cell r="B564" t="str">
            <v>#UMV010670043</v>
          </cell>
          <cell r="H564">
            <v>1446.5669015874423</v>
          </cell>
          <cell r="I564">
            <v>1447.2564154711806</v>
          </cell>
          <cell r="J564">
            <v>1445.3849601314394</v>
          </cell>
          <cell r="K564">
            <v>1444.1309856747062</v>
          </cell>
          <cell r="L564">
            <v>1444.4056845622692</v>
          </cell>
          <cell r="M564">
            <v>1443.4734441930509</v>
          </cell>
          <cell r="N564">
            <v>1443.1643466406199</v>
          </cell>
        </row>
        <row r="565">
          <cell r="A565" t="str">
            <v>#UMV220670013</v>
          </cell>
          <cell r="B565" t="str">
            <v>#UMV220670013</v>
          </cell>
          <cell r="H565">
            <v>1440.3770327550985</v>
          </cell>
          <cell r="I565">
            <v>1441.0623340849406</v>
          </cell>
          <cell r="J565">
            <v>1439.1976273448699</v>
          </cell>
          <cell r="K565">
            <v>1437.9439760695666</v>
          </cell>
          <cell r="L565">
            <v>1438.216235360479</v>
          </cell>
          <cell r="M565">
            <v>1437.2867273318166</v>
          </cell>
          <cell r="N565">
            <v>1436.9776919046203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riados"/>
      <sheetName val="Variables"/>
      <sheetName val="IPC"/>
      <sheetName val="Precios"/>
      <sheetName val="2_Curva_Fija"/>
      <sheetName val="3_BE_TAMAR"/>
      <sheetName val="3b_BE_Inflación"/>
      <sheetName val="4_Senda_Mensual"/>
      <sheetName val="Opcionalidad"/>
      <sheetName val="FRAs $"/>
      <sheetName val="FRAs USD"/>
      <sheetName val="BE Tamar"/>
      <sheetName val="BE 3500"/>
      <sheetName val="3500"/>
      <sheetName val="REM"/>
      <sheetName val="Update"/>
      <sheetName val="Curva"/>
      <sheetName val="Indice USD"/>
      <sheetName val="Canasta Lede 1307"/>
      <sheetName val="Canasta Lede 1.1"/>
      <sheetName val="Canasta Lede 1.2"/>
      <sheetName val="Canasta lecer 2.1"/>
      <sheetName val="Canasta lecer 2.1 TIR"/>
      <sheetName val="Canasta lecer 2.2"/>
      <sheetName val="Indice ARS"/>
      <sheetName val="TDF24 Canje"/>
      <sheetName val="Canje Canasta"/>
      <sheetName val="Canasta 1"/>
      <sheetName val="S16O6"/>
      <sheetName val="S30O6"/>
      <sheetName val="S13N6"/>
      <sheetName val="S30N6"/>
      <sheetName val="S29E7"/>
      <sheetName val="TTS26"/>
      <sheetName val="TTD26"/>
      <sheetName val="TMF27"/>
      <sheetName val="TML27"/>
      <sheetName val="TMF28"/>
      <sheetName val="TMG28"/>
      <sheetName val="TMG27"/>
      <sheetName val="M31Y7"/>
      <sheetName val="TMVE8"/>
      <sheetName val="TXMJ8"/>
      <sheetName val="TXMD8"/>
      <sheetName val="TXMJ9"/>
      <sheetName val="TXMD9"/>
      <sheetName val="TXMJ0"/>
      <sheetName val="T15E7"/>
      <sheetName val="T31Y7"/>
      <sheetName val="T30A7"/>
      <sheetName val="T30J7"/>
      <sheetName val="TY30 Put"/>
      <sheetName val="TY30P"/>
      <sheetName val="Ledes"/>
      <sheetName val="TB24"/>
      <sheetName val="Canasta Lede"/>
      <sheetName val="TO26"/>
      <sheetName val="Canasta Octubre Abril"/>
      <sheetName val="Canasta Dic MAy"/>
      <sheetName val="Canje Cer"/>
      <sheetName val="Canje Junio"/>
      <sheetName val="Canasta 2"/>
      <sheetName val="T3X5"/>
      <sheetName val="TX25"/>
      <sheetName val="TZXM6"/>
      <sheetName val="X31L6"/>
      <sheetName val="X30S6"/>
      <sheetName val="TZXO6"/>
      <sheetName val="X30N6"/>
      <sheetName val="TZXD6"/>
      <sheetName val="TX26"/>
      <sheetName val="Canje Dual"/>
      <sheetName val="X29E7"/>
      <sheetName val="TZXM7"/>
      <sheetName val="TZXA7"/>
      <sheetName val="TZXY7"/>
      <sheetName val="TZX27"/>
      <sheetName val="TZXS7"/>
      <sheetName val="TZXO7"/>
      <sheetName val="TZXD7"/>
      <sheetName val="TZXM8"/>
      <sheetName val="TZX28"/>
      <sheetName val="TZXS8"/>
      <sheetName val="TZXD8"/>
      <sheetName val="TZXM9"/>
      <sheetName val="TX28"/>
      <sheetName val="DICP"/>
      <sheetName val="PARP"/>
      <sheetName val="TDE25"/>
      <sheetName val="AO27"/>
      <sheetName val="AO28"/>
      <sheetName val="AO29"/>
      <sheetName val="AL29"/>
      <sheetName val="AL30"/>
      <sheetName val="AN29"/>
      <sheetName val="AL35"/>
      <sheetName val="AE38"/>
      <sheetName val="AL41"/>
      <sheetName val="GD29"/>
      <sheetName val="GD30"/>
      <sheetName val="GD35"/>
      <sheetName val="GD38"/>
      <sheetName val="GD41"/>
      <sheetName val="GD46"/>
      <sheetName val="D31L6"/>
      <sheetName val="D31G6"/>
      <sheetName val="D31M7"/>
      <sheetName val="D30A6"/>
      <sheetName val="TZV26"/>
      <sheetName val="D30O6"/>
      <sheetName val="D30N6"/>
      <sheetName val="TV25"/>
      <sheetName val="D15E7"/>
      <sheetName val="D10Y7"/>
      <sheetName val="D30J7"/>
      <sheetName val="TZV27"/>
      <sheetName val="TZV28"/>
      <sheetName val="TZVD8"/>
      <sheetName val="BPO27"/>
      <sheetName val="BPOA7"/>
      <sheetName val="BPOB7"/>
      <sheetName val="BPOC7"/>
      <sheetName val="BPOD7"/>
      <sheetName val="BPO28"/>
      <sheetName val="Canje"/>
      <sheetName val="TDJ23 Canje"/>
      <sheetName val="TDL23 Canje"/>
      <sheetName val="D30S6"/>
      <sheetName val="S30S6"/>
      <sheetName val="S15S6"/>
      <sheetName val="S31L6"/>
      <sheetName val="S14G6"/>
      <sheetName val="S31G6"/>
      <sheetName val="M31G6"/>
      <sheetName val="M30A6"/>
      <sheetName val="X15Y6"/>
      <sheetName val="T13F6"/>
      <sheetName val="T30J6"/>
      <sheetName val="D27F6"/>
      <sheetName val="D31M6"/>
      <sheetName val="BPY26"/>
      <sheetName val="TZX26"/>
      <sheetName val="S17L6"/>
      <sheetName val="X29Y6"/>
      <sheetName val="TTJ26"/>
      <sheetName val="S12J6"/>
      <sheetName val="TTM26"/>
      <sheetName val="Tamar vs Tasa Fija"/>
      <sheetName val="3500Nuevo"/>
      <sheetName val="D15D8"/>
      <sheetName val="FRAs"/>
      <sheetName val="Canasta lecer 2.2 TIR"/>
      <sheetName val="S27F6"/>
      <sheetName val="S16M6"/>
      <sheetName val="S17A6"/>
      <sheetName val="S30A6"/>
      <sheetName val="S29Y6"/>
      <sheetName val="M27F6"/>
      <sheetName val="DICP (2)"/>
      <sheetName val="S15Y6"/>
      <sheetName val="TTJ29"/>
      <sheetName val="ZMF28"/>
      <sheetName val="S18G6"/>
      <sheetName val="D30J8"/>
      <sheetName val="M26B7"/>
      <sheetName val="LECAP T0"/>
      <sheetName val="M15D5"/>
      <sheetName val="M16E6"/>
      <sheetName val="T15D5"/>
      <sheetName val="TZXD5"/>
      <sheetName val="D29G5"/>
      <sheetName val="D30S5"/>
      <sheetName val="D31O5"/>
      <sheetName val="D30E6"/>
      <sheetName val="TZVD5"/>
      <sheetName val="BPJ25"/>
      <sheetName val="S16E6"/>
      <sheetName val="T30E6"/>
      <sheetName val="D16E6"/>
      <sheetName val="S28N5"/>
      <sheetName val="M10N5"/>
      <sheetName val="X20Y4"/>
      <sheetName val="S10N5"/>
      <sheetName val="S31O5"/>
      <sheetName val="TZXO5"/>
      <sheetName val="S17S6"/>
      <sheetName val="T17O5"/>
      <sheetName val="S31L5"/>
      <sheetName val="S15G5"/>
      <sheetName val="S29G5"/>
      <sheetName val="S12S5"/>
      <sheetName val="TVME8"/>
      <sheetName val="S30S5"/>
      <sheetName val="M31L5"/>
      <sheetName val="MA26"/>
    </sheetNames>
    <sheetDataSet>
      <sheetData sheetId="0"/>
      <sheetData sheetId="1">
        <row r="2">
          <cell r="M2" t="str">
            <v xml:space="preserve">TAMAR </v>
          </cell>
          <cell r="N2"/>
        </row>
        <row r="3">
          <cell r="M3" t="str">
            <v>TAMARPVT INDEX</v>
          </cell>
        </row>
        <row r="4">
          <cell r="M4">
            <v>45566</v>
          </cell>
          <cell r="N4">
            <v>44.1875</v>
          </cell>
        </row>
        <row r="5">
          <cell r="M5">
            <v>45567</v>
          </cell>
          <cell r="N5">
            <v>43.6875</v>
          </cell>
        </row>
        <row r="6">
          <cell r="M6">
            <v>45568</v>
          </cell>
          <cell r="N6">
            <v>43.6875</v>
          </cell>
        </row>
        <row r="7">
          <cell r="M7">
            <v>45569</v>
          </cell>
          <cell r="N7">
            <v>43.375</v>
          </cell>
        </row>
        <row r="8">
          <cell r="M8">
            <v>45572</v>
          </cell>
          <cell r="N8">
            <v>42.8125</v>
          </cell>
        </row>
        <row r="9">
          <cell r="M9">
            <v>45573</v>
          </cell>
          <cell r="N9">
            <v>40.75</v>
          </cell>
        </row>
        <row r="10">
          <cell r="M10">
            <v>45574</v>
          </cell>
          <cell r="N10">
            <v>43.125</v>
          </cell>
        </row>
        <row r="11">
          <cell r="M11">
            <v>45575</v>
          </cell>
          <cell r="N11">
            <v>44.25</v>
          </cell>
        </row>
        <row r="12">
          <cell r="M12">
            <v>45579</v>
          </cell>
          <cell r="N12">
            <v>43.125</v>
          </cell>
        </row>
        <row r="13">
          <cell r="M13">
            <v>45580</v>
          </cell>
          <cell r="N13">
            <v>40.6875</v>
          </cell>
        </row>
        <row r="14">
          <cell r="M14">
            <v>45581</v>
          </cell>
          <cell r="N14">
            <v>43.625</v>
          </cell>
        </row>
        <row r="15">
          <cell r="M15">
            <v>45582</v>
          </cell>
          <cell r="N15">
            <v>44.25</v>
          </cell>
        </row>
        <row r="16">
          <cell r="M16">
            <v>45583</v>
          </cell>
          <cell r="N16">
            <v>43.875</v>
          </cell>
        </row>
        <row r="17">
          <cell r="M17">
            <v>45586</v>
          </cell>
          <cell r="N17">
            <v>43.3125</v>
          </cell>
        </row>
        <row r="18">
          <cell r="M18">
            <v>45587</v>
          </cell>
          <cell r="N18">
            <v>44.25</v>
          </cell>
        </row>
        <row r="19">
          <cell r="M19">
            <v>45588</v>
          </cell>
          <cell r="N19">
            <v>44.125</v>
          </cell>
        </row>
        <row r="20">
          <cell r="M20">
            <v>45589</v>
          </cell>
          <cell r="N20">
            <v>44.3125</v>
          </cell>
        </row>
        <row r="21">
          <cell r="M21">
            <v>45590</v>
          </cell>
          <cell r="N21">
            <v>44</v>
          </cell>
        </row>
        <row r="22">
          <cell r="M22">
            <v>45593</v>
          </cell>
          <cell r="N22">
            <v>43.625</v>
          </cell>
        </row>
        <row r="23">
          <cell r="M23">
            <v>45594</v>
          </cell>
          <cell r="N23">
            <v>44.4375</v>
          </cell>
        </row>
        <row r="24">
          <cell r="M24">
            <v>45595</v>
          </cell>
          <cell r="N24">
            <v>43.875</v>
          </cell>
        </row>
        <row r="25">
          <cell r="M25">
            <v>45596</v>
          </cell>
          <cell r="N25">
            <v>42.125</v>
          </cell>
        </row>
        <row r="26">
          <cell r="M26">
            <v>45597</v>
          </cell>
          <cell r="N26">
            <v>39.75</v>
          </cell>
        </row>
        <row r="27">
          <cell r="M27">
            <v>45600</v>
          </cell>
          <cell r="N27">
            <v>39.1875</v>
          </cell>
        </row>
        <row r="28">
          <cell r="M28">
            <v>45601</v>
          </cell>
          <cell r="N28">
            <v>39.4375</v>
          </cell>
        </row>
        <row r="29">
          <cell r="M29">
            <v>45603</v>
          </cell>
          <cell r="N29">
            <v>38.625</v>
          </cell>
        </row>
        <row r="30">
          <cell r="M30">
            <v>45604</v>
          </cell>
          <cell r="N30">
            <v>39</v>
          </cell>
        </row>
        <row r="31">
          <cell r="M31">
            <v>45607</v>
          </cell>
          <cell r="N31">
            <v>38.4375</v>
          </cell>
        </row>
        <row r="32">
          <cell r="M32">
            <v>45608</v>
          </cell>
          <cell r="N32">
            <v>38.875</v>
          </cell>
        </row>
        <row r="33">
          <cell r="M33">
            <v>45609</v>
          </cell>
          <cell r="N33">
            <v>38.75</v>
          </cell>
        </row>
        <row r="34">
          <cell r="M34">
            <v>45610</v>
          </cell>
          <cell r="N34">
            <v>38.9375</v>
          </cell>
        </row>
        <row r="35">
          <cell r="M35">
            <v>45611</v>
          </cell>
          <cell r="N35">
            <v>38.625</v>
          </cell>
        </row>
        <row r="36">
          <cell r="M36">
            <v>45615</v>
          </cell>
          <cell r="N36">
            <v>37.6875</v>
          </cell>
        </row>
        <row r="37">
          <cell r="M37">
            <v>45616</v>
          </cell>
          <cell r="N37">
            <v>39</v>
          </cell>
        </row>
        <row r="38">
          <cell r="M38">
            <v>45617</v>
          </cell>
          <cell r="N38">
            <v>38.8125</v>
          </cell>
        </row>
        <row r="39">
          <cell r="M39">
            <v>45618</v>
          </cell>
          <cell r="N39">
            <v>38.4375</v>
          </cell>
        </row>
        <row r="40">
          <cell r="M40">
            <v>45621</v>
          </cell>
          <cell r="N40">
            <v>38.4375</v>
          </cell>
        </row>
        <row r="41">
          <cell r="M41">
            <v>45622</v>
          </cell>
          <cell r="N41">
            <v>38.4375</v>
          </cell>
        </row>
        <row r="42">
          <cell r="M42">
            <v>45623</v>
          </cell>
          <cell r="N42">
            <v>38.8125</v>
          </cell>
        </row>
        <row r="43">
          <cell r="M43">
            <v>45624</v>
          </cell>
          <cell r="N43">
            <v>38.625</v>
          </cell>
        </row>
        <row r="44">
          <cell r="M44">
            <v>45625</v>
          </cell>
          <cell r="N44">
            <v>38.625</v>
          </cell>
        </row>
        <row r="45">
          <cell r="M45">
            <v>45628</v>
          </cell>
          <cell r="N45">
            <v>38.4375</v>
          </cell>
        </row>
        <row r="46">
          <cell r="M46">
            <v>45629</v>
          </cell>
          <cell r="N46">
            <v>38.8125</v>
          </cell>
        </row>
        <row r="47">
          <cell r="M47">
            <v>45630</v>
          </cell>
          <cell r="N47">
            <v>38.5</v>
          </cell>
        </row>
        <row r="48">
          <cell r="M48">
            <v>45631</v>
          </cell>
          <cell r="N48">
            <v>38.5625</v>
          </cell>
        </row>
        <row r="49">
          <cell r="M49">
            <v>45632</v>
          </cell>
          <cell r="N49">
            <v>35</v>
          </cell>
        </row>
        <row r="50">
          <cell r="M50">
            <v>45635</v>
          </cell>
          <cell r="N50">
            <v>34.375</v>
          </cell>
        </row>
        <row r="51">
          <cell r="M51">
            <v>45636</v>
          </cell>
          <cell r="N51">
            <v>34.875</v>
          </cell>
        </row>
        <row r="52">
          <cell r="M52">
            <v>45637</v>
          </cell>
          <cell r="N52">
            <v>34.4375</v>
          </cell>
        </row>
        <row r="53">
          <cell r="M53">
            <v>45638</v>
          </cell>
          <cell r="N53">
            <v>35.25</v>
          </cell>
        </row>
        <row r="54">
          <cell r="M54">
            <v>45639</v>
          </cell>
          <cell r="N54">
            <v>34.5625</v>
          </cell>
        </row>
        <row r="55">
          <cell r="M55">
            <v>45642</v>
          </cell>
          <cell r="N55">
            <v>34.375</v>
          </cell>
        </row>
        <row r="56">
          <cell r="M56">
            <v>45643</v>
          </cell>
          <cell r="N56">
            <v>34.3125</v>
          </cell>
        </row>
        <row r="57">
          <cell r="M57">
            <v>45644</v>
          </cell>
          <cell r="N57">
            <v>34.5</v>
          </cell>
        </row>
        <row r="58">
          <cell r="M58">
            <v>45645</v>
          </cell>
          <cell r="N58">
            <v>34.125</v>
          </cell>
        </row>
        <row r="59">
          <cell r="M59">
            <v>45646</v>
          </cell>
          <cell r="N59">
            <v>34.875</v>
          </cell>
        </row>
        <row r="60">
          <cell r="M60">
            <v>45649</v>
          </cell>
          <cell r="N60">
            <v>34.3125</v>
          </cell>
        </row>
        <row r="61">
          <cell r="M61">
            <v>45652</v>
          </cell>
          <cell r="N61">
            <v>34.3125</v>
          </cell>
        </row>
        <row r="62">
          <cell r="M62">
            <v>45653</v>
          </cell>
          <cell r="N62">
            <v>34.4375</v>
          </cell>
        </row>
        <row r="63">
          <cell r="M63">
            <v>45659</v>
          </cell>
          <cell r="N63">
            <v>34.3125</v>
          </cell>
        </row>
        <row r="64">
          <cell r="M64">
            <v>45660</v>
          </cell>
          <cell r="N64">
            <v>34.5</v>
          </cell>
        </row>
        <row r="65">
          <cell r="M65">
            <v>45663</v>
          </cell>
          <cell r="N65">
            <v>34.75</v>
          </cell>
        </row>
        <row r="66">
          <cell r="M66">
            <v>45664</v>
          </cell>
          <cell r="N66">
            <v>34.8125</v>
          </cell>
        </row>
        <row r="67">
          <cell r="M67">
            <v>45665</v>
          </cell>
          <cell r="N67">
            <v>33.9375</v>
          </cell>
        </row>
        <row r="68">
          <cell r="M68">
            <v>45666</v>
          </cell>
          <cell r="N68">
            <v>34.1875</v>
          </cell>
        </row>
        <row r="69">
          <cell r="M69">
            <v>45667</v>
          </cell>
          <cell r="N69">
            <v>34.1875</v>
          </cell>
        </row>
        <row r="70">
          <cell r="M70">
            <v>45670</v>
          </cell>
          <cell r="N70">
            <v>34.25</v>
          </cell>
        </row>
        <row r="71">
          <cell r="M71">
            <v>45671</v>
          </cell>
          <cell r="N71">
            <v>34.5625</v>
          </cell>
        </row>
        <row r="72">
          <cell r="M72">
            <v>45672</v>
          </cell>
          <cell r="N72">
            <v>32.875</v>
          </cell>
        </row>
        <row r="73">
          <cell r="M73">
            <v>45673</v>
          </cell>
          <cell r="N73">
            <v>33.1875</v>
          </cell>
        </row>
        <row r="74">
          <cell r="M74">
            <v>45674</v>
          </cell>
          <cell r="N74">
            <v>32.5625</v>
          </cell>
        </row>
        <row r="75">
          <cell r="M75">
            <v>45677</v>
          </cell>
          <cell r="N75">
            <v>32.8125</v>
          </cell>
        </row>
        <row r="76">
          <cell r="M76">
            <v>45678</v>
          </cell>
          <cell r="N76">
            <v>33.1875</v>
          </cell>
        </row>
        <row r="77">
          <cell r="M77">
            <v>45679</v>
          </cell>
          <cell r="N77">
            <v>33.1875</v>
          </cell>
        </row>
        <row r="78">
          <cell r="M78">
            <v>45680</v>
          </cell>
          <cell r="N78">
            <v>33.3125</v>
          </cell>
        </row>
        <row r="79">
          <cell r="M79">
            <v>45681</v>
          </cell>
          <cell r="N79">
            <v>33.9375</v>
          </cell>
        </row>
        <row r="80">
          <cell r="M80">
            <v>45684</v>
          </cell>
          <cell r="N80">
            <v>32.75</v>
          </cell>
        </row>
        <row r="81">
          <cell r="M81">
            <v>45685</v>
          </cell>
          <cell r="N81">
            <v>33.875</v>
          </cell>
        </row>
        <row r="82">
          <cell r="M82">
            <v>45686</v>
          </cell>
          <cell r="N82">
            <v>33.8125</v>
          </cell>
        </row>
        <row r="83">
          <cell r="M83">
            <v>45687</v>
          </cell>
          <cell r="N83">
            <v>33.5</v>
          </cell>
        </row>
        <row r="84">
          <cell r="M84">
            <v>45688</v>
          </cell>
          <cell r="N84">
            <v>30.625</v>
          </cell>
        </row>
        <row r="85">
          <cell r="M85">
            <v>45691</v>
          </cell>
          <cell r="N85">
            <v>30.4375</v>
          </cell>
        </row>
        <row r="86">
          <cell r="M86">
            <v>45692</v>
          </cell>
          <cell r="N86">
            <v>30.6875</v>
          </cell>
        </row>
        <row r="87">
          <cell r="M87">
            <v>45693</v>
          </cell>
          <cell r="N87">
            <v>30.8125</v>
          </cell>
        </row>
        <row r="88">
          <cell r="M88">
            <v>45694</v>
          </cell>
          <cell r="N88">
            <v>30.625</v>
          </cell>
        </row>
        <row r="89">
          <cell r="M89">
            <v>45695</v>
          </cell>
          <cell r="N89">
            <v>30.5</v>
          </cell>
        </row>
        <row r="90">
          <cell r="M90">
            <v>45698</v>
          </cell>
          <cell r="N90">
            <v>30.4375</v>
          </cell>
        </row>
        <row r="91">
          <cell r="M91">
            <v>45699</v>
          </cell>
          <cell r="N91">
            <v>30.375</v>
          </cell>
        </row>
        <row r="92">
          <cell r="M92">
            <v>45700</v>
          </cell>
          <cell r="N92">
            <v>30.1875</v>
          </cell>
        </row>
        <row r="93">
          <cell r="M93">
            <v>45701</v>
          </cell>
          <cell r="N93">
            <v>30.25</v>
          </cell>
        </row>
        <row r="94">
          <cell r="M94">
            <v>45702</v>
          </cell>
          <cell r="N94">
            <v>30.1875</v>
          </cell>
        </row>
        <row r="95">
          <cell r="M95">
            <v>45705</v>
          </cell>
          <cell r="N95">
            <v>30.3125</v>
          </cell>
        </row>
        <row r="96">
          <cell r="M96">
            <v>45706</v>
          </cell>
          <cell r="N96">
            <v>30.125</v>
          </cell>
        </row>
        <row r="97">
          <cell r="M97">
            <v>45707</v>
          </cell>
          <cell r="N97">
            <v>29.9375</v>
          </cell>
        </row>
        <row r="98">
          <cell r="M98">
            <v>45708</v>
          </cell>
          <cell r="N98">
            <v>28.25</v>
          </cell>
        </row>
        <row r="99">
          <cell r="M99">
            <v>45709</v>
          </cell>
          <cell r="N99">
            <v>29.4375</v>
          </cell>
        </row>
        <row r="100">
          <cell r="M100">
            <v>45712</v>
          </cell>
          <cell r="N100">
            <v>29.0625</v>
          </cell>
        </row>
        <row r="101">
          <cell r="M101">
            <v>45713</v>
          </cell>
          <cell r="N101">
            <v>29.0625</v>
          </cell>
        </row>
        <row r="102">
          <cell r="M102">
            <v>45714</v>
          </cell>
          <cell r="N102">
            <v>29.375</v>
          </cell>
        </row>
        <row r="103">
          <cell r="M103">
            <v>45715</v>
          </cell>
          <cell r="N103">
            <v>29.5625</v>
          </cell>
        </row>
        <row r="104">
          <cell r="M104">
            <v>45716</v>
          </cell>
          <cell r="N104">
            <v>29.625</v>
          </cell>
        </row>
        <row r="105">
          <cell r="M105">
            <v>45721</v>
          </cell>
          <cell r="N105">
            <v>29.5625</v>
          </cell>
        </row>
        <row r="106">
          <cell r="M106">
            <v>45722</v>
          </cell>
          <cell r="N106">
            <v>29.8125</v>
          </cell>
        </row>
        <row r="107">
          <cell r="M107">
            <v>45723</v>
          </cell>
          <cell r="N107">
            <v>29.875</v>
          </cell>
        </row>
        <row r="108">
          <cell r="M108">
            <v>45726</v>
          </cell>
          <cell r="N108">
            <v>29.875</v>
          </cell>
        </row>
        <row r="109">
          <cell r="M109">
            <v>45727</v>
          </cell>
          <cell r="N109">
            <v>29.9375</v>
          </cell>
        </row>
        <row r="110">
          <cell r="M110">
            <v>45728</v>
          </cell>
          <cell r="N110">
            <v>30.125</v>
          </cell>
        </row>
        <row r="111">
          <cell r="M111">
            <v>45729</v>
          </cell>
          <cell r="N111">
            <v>30.1875</v>
          </cell>
        </row>
        <row r="112">
          <cell r="M112">
            <v>45730</v>
          </cell>
          <cell r="N112">
            <v>30.625</v>
          </cell>
        </row>
        <row r="113">
          <cell r="M113">
            <v>45733</v>
          </cell>
          <cell r="N113">
            <v>30.8125</v>
          </cell>
        </row>
        <row r="114">
          <cell r="M114">
            <v>45734</v>
          </cell>
          <cell r="N114">
            <v>31.0625</v>
          </cell>
        </row>
        <row r="115">
          <cell r="M115">
            <v>45735</v>
          </cell>
          <cell r="N115">
            <v>31.375</v>
          </cell>
        </row>
        <row r="116">
          <cell r="M116">
            <v>45736</v>
          </cell>
          <cell r="N116">
            <v>31.625</v>
          </cell>
        </row>
        <row r="117">
          <cell r="M117">
            <v>45737</v>
          </cell>
          <cell r="N117">
            <v>31.5</v>
          </cell>
        </row>
        <row r="118">
          <cell r="M118">
            <v>45741</v>
          </cell>
          <cell r="N118">
            <v>31.3125</v>
          </cell>
        </row>
        <row r="119">
          <cell r="M119">
            <v>45742</v>
          </cell>
          <cell r="N119">
            <v>31.875</v>
          </cell>
        </row>
        <row r="120">
          <cell r="M120">
            <v>45743</v>
          </cell>
          <cell r="N120">
            <v>31.6875</v>
          </cell>
        </row>
        <row r="121">
          <cell r="M121">
            <v>45744</v>
          </cell>
          <cell r="N121">
            <v>31.875</v>
          </cell>
        </row>
        <row r="122">
          <cell r="M122">
            <v>45747</v>
          </cell>
          <cell r="N122">
            <v>32.0625</v>
          </cell>
        </row>
        <row r="123">
          <cell r="M123">
            <v>45748</v>
          </cell>
          <cell r="N123">
            <v>32.625</v>
          </cell>
        </row>
        <row r="124">
          <cell r="M124">
            <v>45750</v>
          </cell>
          <cell r="N124">
            <v>32.9375</v>
          </cell>
        </row>
        <row r="125">
          <cell r="M125">
            <v>45751</v>
          </cell>
          <cell r="N125">
            <v>32.4375</v>
          </cell>
        </row>
        <row r="126">
          <cell r="M126">
            <v>45754</v>
          </cell>
          <cell r="N126">
            <v>33.25</v>
          </cell>
        </row>
        <row r="127">
          <cell r="M127">
            <v>45755</v>
          </cell>
          <cell r="N127">
            <v>32.8125</v>
          </cell>
        </row>
        <row r="128">
          <cell r="M128">
            <v>45756</v>
          </cell>
          <cell r="N128">
            <v>32.875</v>
          </cell>
        </row>
        <row r="129">
          <cell r="M129">
            <v>45757</v>
          </cell>
          <cell r="N129">
            <v>33.875</v>
          </cell>
        </row>
        <row r="130">
          <cell r="M130">
            <v>45758</v>
          </cell>
          <cell r="N130">
            <v>34.1875</v>
          </cell>
        </row>
        <row r="131">
          <cell r="M131">
            <v>45761</v>
          </cell>
          <cell r="N131">
            <v>39.1875</v>
          </cell>
        </row>
        <row r="132">
          <cell r="M132">
            <v>45762</v>
          </cell>
          <cell r="N132">
            <v>36.5</v>
          </cell>
        </row>
        <row r="133">
          <cell r="M133">
            <v>45763</v>
          </cell>
          <cell r="N133">
            <v>39.125</v>
          </cell>
        </row>
        <row r="134">
          <cell r="M134">
            <v>45768</v>
          </cell>
          <cell r="N134">
            <v>36.5</v>
          </cell>
        </row>
        <row r="135">
          <cell r="M135">
            <v>45769</v>
          </cell>
          <cell r="N135">
            <v>35.6875</v>
          </cell>
        </row>
        <row r="136">
          <cell r="M136">
            <v>45770</v>
          </cell>
          <cell r="N136">
            <v>35.625</v>
          </cell>
        </row>
        <row r="137">
          <cell r="M137">
            <v>45771</v>
          </cell>
          <cell r="N137">
            <v>35.0625</v>
          </cell>
        </row>
        <row r="138">
          <cell r="M138">
            <v>45772</v>
          </cell>
          <cell r="N138">
            <v>34.875</v>
          </cell>
        </row>
        <row r="139">
          <cell r="M139">
            <v>45775</v>
          </cell>
          <cell r="N139">
            <v>34.8125</v>
          </cell>
        </row>
        <row r="140">
          <cell r="M140">
            <v>45776</v>
          </cell>
          <cell r="N140">
            <v>34.0625</v>
          </cell>
        </row>
        <row r="141">
          <cell r="M141">
            <v>45777</v>
          </cell>
          <cell r="N141">
            <v>34.625</v>
          </cell>
        </row>
        <row r="142">
          <cell r="M142">
            <v>45782</v>
          </cell>
          <cell r="N142">
            <v>33.4375</v>
          </cell>
        </row>
        <row r="143">
          <cell r="M143">
            <v>45783</v>
          </cell>
          <cell r="N143">
            <v>35.3125</v>
          </cell>
        </row>
        <row r="144">
          <cell r="M144">
            <v>45784</v>
          </cell>
          <cell r="N144">
            <v>34.8125</v>
          </cell>
        </row>
        <row r="145">
          <cell r="M145">
            <v>45785</v>
          </cell>
          <cell r="N145">
            <v>34.5</v>
          </cell>
        </row>
        <row r="146">
          <cell r="M146">
            <v>45786</v>
          </cell>
          <cell r="N146">
            <v>34.25</v>
          </cell>
        </row>
        <row r="147">
          <cell r="M147">
            <v>45789</v>
          </cell>
          <cell r="N147">
            <v>33.8125</v>
          </cell>
        </row>
        <row r="148">
          <cell r="M148">
            <v>45790</v>
          </cell>
          <cell r="N148">
            <v>34.875</v>
          </cell>
        </row>
        <row r="149">
          <cell r="M149">
            <v>45791</v>
          </cell>
          <cell r="N149">
            <v>34.5</v>
          </cell>
        </row>
        <row r="150">
          <cell r="M150">
            <v>45792</v>
          </cell>
          <cell r="N150">
            <v>34.5625</v>
          </cell>
        </row>
        <row r="151">
          <cell r="M151">
            <v>45793</v>
          </cell>
          <cell r="N151">
            <v>32.0625</v>
          </cell>
        </row>
        <row r="152">
          <cell r="M152">
            <v>45796</v>
          </cell>
          <cell r="N152">
            <v>34.6875</v>
          </cell>
        </row>
        <row r="153">
          <cell r="M153">
            <v>45797</v>
          </cell>
          <cell r="N153">
            <v>34.6875</v>
          </cell>
        </row>
        <row r="154">
          <cell r="M154">
            <v>45798</v>
          </cell>
          <cell r="N154">
            <v>34.125</v>
          </cell>
        </row>
        <row r="155">
          <cell r="M155">
            <v>45799</v>
          </cell>
          <cell r="N155">
            <v>34.0625</v>
          </cell>
        </row>
        <row r="156">
          <cell r="M156">
            <v>45800</v>
          </cell>
          <cell r="N156">
            <v>34.5625</v>
          </cell>
        </row>
        <row r="157">
          <cell r="M157">
            <v>45803</v>
          </cell>
          <cell r="N157">
            <v>33.6875</v>
          </cell>
        </row>
        <row r="158">
          <cell r="M158">
            <v>45804</v>
          </cell>
          <cell r="N158">
            <v>34.1875</v>
          </cell>
        </row>
        <row r="159">
          <cell r="M159">
            <v>45805</v>
          </cell>
          <cell r="N159">
            <v>33.875</v>
          </cell>
        </row>
        <row r="160">
          <cell r="M160">
            <v>45806</v>
          </cell>
          <cell r="N160">
            <v>34.0625</v>
          </cell>
        </row>
        <row r="161">
          <cell r="M161">
            <v>45807</v>
          </cell>
          <cell r="N161">
            <v>33.1875</v>
          </cell>
        </row>
        <row r="162">
          <cell r="M162">
            <v>45810</v>
          </cell>
          <cell r="N162">
            <v>34.25</v>
          </cell>
        </row>
        <row r="163">
          <cell r="M163">
            <v>45811</v>
          </cell>
          <cell r="N163">
            <v>34.4375</v>
          </cell>
        </row>
        <row r="164">
          <cell r="M164">
            <v>45812</v>
          </cell>
          <cell r="N164">
            <v>33</v>
          </cell>
        </row>
        <row r="165">
          <cell r="M165">
            <v>45813</v>
          </cell>
          <cell r="N165">
            <v>33.5625</v>
          </cell>
        </row>
        <row r="166">
          <cell r="M166">
            <v>45814</v>
          </cell>
          <cell r="N166">
            <v>34.0625</v>
          </cell>
        </row>
        <row r="167">
          <cell r="M167">
            <v>45817</v>
          </cell>
          <cell r="N167">
            <v>32.9375</v>
          </cell>
        </row>
        <row r="168">
          <cell r="M168">
            <v>45818</v>
          </cell>
          <cell r="N168">
            <v>34</v>
          </cell>
        </row>
        <row r="169">
          <cell r="M169">
            <v>45819</v>
          </cell>
          <cell r="N169">
            <v>33.75</v>
          </cell>
        </row>
        <row r="170">
          <cell r="M170">
            <v>45820</v>
          </cell>
          <cell r="N170">
            <v>33.8125</v>
          </cell>
        </row>
        <row r="171">
          <cell r="M171">
            <v>45821</v>
          </cell>
          <cell r="N171">
            <v>33.5625</v>
          </cell>
        </row>
        <row r="172">
          <cell r="M172">
            <v>45825</v>
          </cell>
          <cell r="N172">
            <v>33.9375</v>
          </cell>
        </row>
        <row r="173">
          <cell r="M173">
            <v>45826</v>
          </cell>
          <cell r="N173">
            <v>32.375</v>
          </cell>
        </row>
        <row r="174">
          <cell r="M174">
            <v>45827</v>
          </cell>
          <cell r="N174">
            <v>34.0625</v>
          </cell>
        </row>
        <row r="175">
          <cell r="M175">
            <v>45831</v>
          </cell>
          <cell r="N175">
            <v>33.25</v>
          </cell>
        </row>
        <row r="176">
          <cell r="M176">
            <v>45832</v>
          </cell>
          <cell r="N176">
            <v>34.25</v>
          </cell>
        </row>
        <row r="177">
          <cell r="M177">
            <v>45833</v>
          </cell>
          <cell r="N177">
            <v>34</v>
          </cell>
        </row>
        <row r="178">
          <cell r="M178">
            <v>45834</v>
          </cell>
          <cell r="N178">
            <v>33.25</v>
          </cell>
        </row>
        <row r="179">
          <cell r="M179">
            <v>45835</v>
          </cell>
          <cell r="N179">
            <v>34.3125</v>
          </cell>
        </row>
        <row r="180">
          <cell r="M180">
            <v>45838</v>
          </cell>
          <cell r="N180">
            <v>33.625</v>
          </cell>
        </row>
        <row r="181">
          <cell r="M181">
            <v>45839</v>
          </cell>
          <cell r="N181">
            <v>34.1875</v>
          </cell>
        </row>
        <row r="182">
          <cell r="M182">
            <v>45840</v>
          </cell>
          <cell r="N182">
            <v>34.1875</v>
          </cell>
        </row>
        <row r="183">
          <cell r="M183">
            <v>45841</v>
          </cell>
          <cell r="N183">
            <v>34.0625</v>
          </cell>
        </row>
        <row r="184">
          <cell r="M184">
            <v>45842</v>
          </cell>
          <cell r="N184">
            <v>33.75</v>
          </cell>
        </row>
        <row r="185">
          <cell r="M185">
            <v>45845</v>
          </cell>
          <cell r="N185">
            <v>33.625</v>
          </cell>
        </row>
        <row r="186">
          <cell r="M186">
            <v>45846</v>
          </cell>
          <cell r="N186">
            <v>33.5</v>
          </cell>
        </row>
        <row r="187">
          <cell r="M187">
            <v>45848</v>
          </cell>
          <cell r="N187">
            <v>32.8125</v>
          </cell>
        </row>
        <row r="188">
          <cell r="M188">
            <v>45849</v>
          </cell>
          <cell r="N188">
            <v>31.125</v>
          </cell>
        </row>
        <row r="189">
          <cell r="M189">
            <v>45852</v>
          </cell>
          <cell r="N189">
            <v>29.1875</v>
          </cell>
        </row>
        <row r="190">
          <cell r="M190">
            <v>45853</v>
          </cell>
          <cell r="N190">
            <v>29.5</v>
          </cell>
        </row>
        <row r="191">
          <cell r="M191">
            <v>45854</v>
          </cell>
          <cell r="N191">
            <v>31.25</v>
          </cell>
        </row>
        <row r="192">
          <cell r="M192">
            <v>45855</v>
          </cell>
          <cell r="N192">
            <v>32.375</v>
          </cell>
        </row>
        <row r="193">
          <cell r="M193">
            <v>45856</v>
          </cell>
          <cell r="N193">
            <v>33.3125</v>
          </cell>
        </row>
        <row r="194">
          <cell r="M194">
            <v>45859</v>
          </cell>
          <cell r="N194">
            <v>34.1875</v>
          </cell>
        </row>
        <row r="195">
          <cell r="M195">
            <v>45860</v>
          </cell>
          <cell r="N195">
            <v>37.875</v>
          </cell>
        </row>
        <row r="196">
          <cell r="M196">
            <v>45861</v>
          </cell>
          <cell r="N196">
            <v>36.875</v>
          </cell>
        </row>
        <row r="197">
          <cell r="M197">
            <v>45862</v>
          </cell>
          <cell r="N197">
            <v>37</v>
          </cell>
        </row>
        <row r="198">
          <cell r="M198">
            <v>45863</v>
          </cell>
          <cell r="N198">
            <v>35.625</v>
          </cell>
        </row>
        <row r="199">
          <cell r="M199">
            <v>45866</v>
          </cell>
          <cell r="N199">
            <v>35.25</v>
          </cell>
        </row>
        <row r="200">
          <cell r="M200">
            <v>45867</v>
          </cell>
          <cell r="N200">
            <v>38</v>
          </cell>
        </row>
        <row r="201">
          <cell r="M201">
            <v>45868</v>
          </cell>
          <cell r="N201">
            <v>39.125</v>
          </cell>
        </row>
        <row r="202">
          <cell r="M202">
            <v>45869</v>
          </cell>
          <cell r="N202">
            <v>40.25</v>
          </cell>
        </row>
        <row r="203">
          <cell r="M203">
            <v>45870</v>
          </cell>
          <cell r="N203">
            <v>41.75</v>
          </cell>
        </row>
        <row r="204">
          <cell r="M204">
            <v>45873</v>
          </cell>
          <cell r="N204">
            <v>42.1875</v>
          </cell>
        </row>
        <row r="205">
          <cell r="M205">
            <v>45874</v>
          </cell>
          <cell r="N205">
            <v>42.625</v>
          </cell>
        </row>
        <row r="206">
          <cell r="M206">
            <v>45875</v>
          </cell>
          <cell r="N206">
            <v>41.75</v>
          </cell>
        </row>
        <row r="207">
          <cell r="M207">
            <v>45876</v>
          </cell>
          <cell r="N207">
            <v>43.75</v>
          </cell>
        </row>
        <row r="208">
          <cell r="M208">
            <v>45877</v>
          </cell>
          <cell r="N208">
            <v>45.375</v>
          </cell>
        </row>
        <row r="209">
          <cell r="M209">
            <v>45880</v>
          </cell>
          <cell r="N209">
            <v>47.75</v>
          </cell>
        </row>
        <row r="210">
          <cell r="M210">
            <v>45881</v>
          </cell>
          <cell r="N210">
            <v>49.75</v>
          </cell>
        </row>
        <row r="211">
          <cell r="M211">
            <v>45882</v>
          </cell>
          <cell r="N211">
            <v>49.9375</v>
          </cell>
        </row>
        <row r="212">
          <cell r="M212">
            <v>45883</v>
          </cell>
          <cell r="N212">
            <v>52.5625</v>
          </cell>
        </row>
        <row r="213">
          <cell r="M213">
            <v>45887</v>
          </cell>
          <cell r="N213">
            <v>56.5625</v>
          </cell>
        </row>
        <row r="214">
          <cell r="M214">
            <v>45888</v>
          </cell>
          <cell r="N214">
            <v>58.3125</v>
          </cell>
        </row>
        <row r="215">
          <cell r="M215">
            <v>45889</v>
          </cell>
          <cell r="N215">
            <v>58.8125</v>
          </cell>
        </row>
        <row r="216">
          <cell r="M216">
            <v>45890</v>
          </cell>
          <cell r="N216">
            <v>59.25</v>
          </cell>
        </row>
        <row r="217">
          <cell r="M217">
            <v>45891</v>
          </cell>
          <cell r="N217">
            <v>59.8125</v>
          </cell>
        </row>
        <row r="218">
          <cell r="M218">
            <v>45894</v>
          </cell>
          <cell r="N218">
            <v>60.25</v>
          </cell>
        </row>
        <row r="219">
          <cell r="M219">
            <v>45895</v>
          </cell>
          <cell r="N219">
            <v>64.125</v>
          </cell>
        </row>
        <row r="220">
          <cell r="M220">
            <v>45896</v>
          </cell>
          <cell r="N220">
            <v>61.1875</v>
          </cell>
        </row>
        <row r="221">
          <cell r="M221">
            <v>45897</v>
          </cell>
          <cell r="N221">
            <v>66.125</v>
          </cell>
        </row>
        <row r="222">
          <cell r="M222">
            <v>45898</v>
          </cell>
          <cell r="N222">
            <v>66.1875</v>
          </cell>
        </row>
        <row r="223">
          <cell r="M223">
            <v>45901</v>
          </cell>
          <cell r="N223">
            <v>67</v>
          </cell>
        </row>
        <row r="224">
          <cell r="M224">
            <v>45902</v>
          </cell>
          <cell r="N224">
            <v>58.4375</v>
          </cell>
        </row>
        <row r="225">
          <cell r="M225">
            <v>45903</v>
          </cell>
          <cell r="N225">
            <v>66</v>
          </cell>
        </row>
        <row r="226">
          <cell r="M226">
            <v>45904</v>
          </cell>
          <cell r="N226">
            <v>65.9375</v>
          </cell>
        </row>
        <row r="227">
          <cell r="M227">
            <v>45905</v>
          </cell>
          <cell r="N227">
            <v>64.0625</v>
          </cell>
        </row>
        <row r="228">
          <cell r="M228">
            <v>45908</v>
          </cell>
          <cell r="N228">
            <v>63.5</v>
          </cell>
        </row>
        <row r="229">
          <cell r="M229">
            <v>45909</v>
          </cell>
          <cell r="N229">
            <v>64.9375</v>
          </cell>
        </row>
        <row r="230">
          <cell r="M230">
            <v>45910</v>
          </cell>
          <cell r="N230">
            <v>59</v>
          </cell>
        </row>
        <row r="231">
          <cell r="M231">
            <v>45911</v>
          </cell>
          <cell r="N231">
            <v>52.5</v>
          </cell>
        </row>
        <row r="232">
          <cell r="M232">
            <v>45912</v>
          </cell>
          <cell r="N232">
            <v>47.6875</v>
          </cell>
        </row>
        <row r="233">
          <cell r="M233">
            <v>45915</v>
          </cell>
          <cell r="N233">
            <v>45.9375</v>
          </cell>
        </row>
        <row r="234">
          <cell r="M234">
            <v>45916</v>
          </cell>
          <cell r="N234">
            <v>43.6875</v>
          </cell>
        </row>
        <row r="235">
          <cell r="M235">
            <v>45917</v>
          </cell>
          <cell r="N235">
            <v>45.125</v>
          </cell>
        </row>
        <row r="236">
          <cell r="M236">
            <v>45918</v>
          </cell>
          <cell r="N236">
            <v>46.375</v>
          </cell>
        </row>
        <row r="237">
          <cell r="M237">
            <v>45919</v>
          </cell>
          <cell r="N237">
            <v>47.5625</v>
          </cell>
        </row>
        <row r="238">
          <cell r="M238">
            <v>45922</v>
          </cell>
          <cell r="N238">
            <v>48.1875</v>
          </cell>
        </row>
        <row r="239">
          <cell r="M239">
            <v>45923</v>
          </cell>
          <cell r="N239">
            <v>48.8125</v>
          </cell>
        </row>
        <row r="240">
          <cell r="M240">
            <v>45924</v>
          </cell>
          <cell r="N240">
            <v>44.1875</v>
          </cell>
        </row>
        <row r="241">
          <cell r="M241">
            <v>45925</v>
          </cell>
          <cell r="N241">
            <v>41.625</v>
          </cell>
        </row>
        <row r="242">
          <cell r="M242">
            <v>45926</v>
          </cell>
          <cell r="N242">
            <v>41</v>
          </cell>
        </row>
        <row r="243">
          <cell r="M243">
            <v>45929</v>
          </cell>
          <cell r="N243">
            <v>41.5</v>
          </cell>
        </row>
        <row r="244">
          <cell r="M244">
            <v>45930</v>
          </cell>
          <cell r="N244">
            <v>42.375</v>
          </cell>
        </row>
        <row r="245">
          <cell r="M245">
            <v>45931</v>
          </cell>
          <cell r="N245">
            <v>42.875</v>
          </cell>
        </row>
        <row r="246">
          <cell r="M246">
            <v>45932</v>
          </cell>
          <cell r="N246">
            <v>42</v>
          </cell>
        </row>
        <row r="247">
          <cell r="M247">
            <v>45933</v>
          </cell>
          <cell r="N247">
            <v>44.125</v>
          </cell>
        </row>
        <row r="248">
          <cell r="M248">
            <v>45936</v>
          </cell>
          <cell r="N248">
            <v>44.75</v>
          </cell>
        </row>
        <row r="249">
          <cell r="M249">
            <v>45937</v>
          </cell>
          <cell r="N249">
            <v>47.125</v>
          </cell>
        </row>
        <row r="250">
          <cell r="M250">
            <v>45938</v>
          </cell>
          <cell r="N250">
            <v>50.1875</v>
          </cell>
        </row>
        <row r="251">
          <cell r="M251">
            <v>45939</v>
          </cell>
          <cell r="N251">
            <v>54.375</v>
          </cell>
        </row>
        <row r="252">
          <cell r="M252">
            <v>45943</v>
          </cell>
          <cell r="N252">
            <v>53.75</v>
          </cell>
        </row>
        <row r="253">
          <cell r="M253">
            <v>45944</v>
          </cell>
          <cell r="N253">
            <v>59.125</v>
          </cell>
        </row>
        <row r="254">
          <cell r="M254">
            <v>45945</v>
          </cell>
          <cell r="N254">
            <v>66</v>
          </cell>
        </row>
        <row r="255">
          <cell r="M255">
            <v>45946</v>
          </cell>
          <cell r="N255">
            <v>60.125</v>
          </cell>
        </row>
        <row r="256">
          <cell r="M256">
            <v>45947</v>
          </cell>
          <cell r="N256">
            <v>57.9375</v>
          </cell>
        </row>
        <row r="257">
          <cell r="M257">
            <v>45950</v>
          </cell>
          <cell r="N257">
            <v>53.0625</v>
          </cell>
        </row>
        <row r="258">
          <cell r="M258">
            <v>45951</v>
          </cell>
          <cell r="N258">
            <v>52.8125</v>
          </cell>
        </row>
        <row r="259">
          <cell r="M259">
            <v>45952</v>
          </cell>
          <cell r="N259">
            <v>53.6875</v>
          </cell>
        </row>
        <row r="260">
          <cell r="M260">
            <v>45953</v>
          </cell>
          <cell r="N260">
            <v>54.875</v>
          </cell>
        </row>
        <row r="261">
          <cell r="M261">
            <v>45954</v>
          </cell>
          <cell r="N261">
            <v>58.5</v>
          </cell>
        </row>
        <row r="262">
          <cell r="M262">
            <v>45957</v>
          </cell>
          <cell r="N262">
            <v>45.9375</v>
          </cell>
        </row>
        <row r="263">
          <cell r="M263">
            <v>45958</v>
          </cell>
          <cell r="N263">
            <v>49.1875</v>
          </cell>
        </row>
        <row r="264">
          <cell r="M264">
            <v>45959</v>
          </cell>
          <cell r="N264">
            <v>44.625</v>
          </cell>
        </row>
        <row r="265">
          <cell r="M265">
            <v>45960</v>
          </cell>
          <cell r="N265">
            <v>43.375</v>
          </cell>
        </row>
        <row r="266">
          <cell r="M266">
            <v>45961</v>
          </cell>
          <cell r="N266">
            <v>38.3125</v>
          </cell>
        </row>
        <row r="267">
          <cell r="M267">
            <v>45964</v>
          </cell>
          <cell r="N267">
            <v>36.75</v>
          </cell>
        </row>
        <row r="268">
          <cell r="M268">
            <v>45965</v>
          </cell>
          <cell r="N268">
            <v>37.5625</v>
          </cell>
        </row>
        <row r="269">
          <cell r="M269">
            <v>45966</v>
          </cell>
          <cell r="N269">
            <v>36.3125</v>
          </cell>
        </row>
        <row r="270">
          <cell r="M270">
            <v>45968</v>
          </cell>
          <cell r="N270">
            <v>34.8125</v>
          </cell>
        </row>
        <row r="271">
          <cell r="M271">
            <v>45971</v>
          </cell>
          <cell r="N271">
            <v>34.75</v>
          </cell>
        </row>
        <row r="272">
          <cell r="M272">
            <v>45972</v>
          </cell>
          <cell r="N272">
            <v>35</v>
          </cell>
        </row>
        <row r="273">
          <cell r="M273">
            <v>45973</v>
          </cell>
          <cell r="N273">
            <v>34.625</v>
          </cell>
        </row>
        <row r="274">
          <cell r="M274">
            <v>45974</v>
          </cell>
          <cell r="N274">
            <v>33.9375</v>
          </cell>
        </row>
        <row r="275">
          <cell r="M275">
            <v>45975</v>
          </cell>
          <cell r="N275">
            <v>33.4375</v>
          </cell>
        </row>
        <row r="276">
          <cell r="M276">
            <v>45978</v>
          </cell>
          <cell r="N276">
            <v>33</v>
          </cell>
        </row>
        <row r="277">
          <cell r="M277">
            <v>45979</v>
          </cell>
          <cell r="N277">
            <v>33.5</v>
          </cell>
        </row>
        <row r="278">
          <cell r="M278">
            <v>45980</v>
          </cell>
          <cell r="N278">
            <v>33.8125</v>
          </cell>
        </row>
        <row r="279">
          <cell r="M279">
            <v>45981</v>
          </cell>
          <cell r="N279">
            <v>31.6875</v>
          </cell>
        </row>
        <row r="280">
          <cell r="M280">
            <v>45986</v>
          </cell>
          <cell r="N280">
            <v>32.0625</v>
          </cell>
        </row>
        <row r="281">
          <cell r="M281">
            <v>45987</v>
          </cell>
          <cell r="N281">
            <v>31.6875</v>
          </cell>
        </row>
        <row r="282">
          <cell r="M282">
            <v>45988</v>
          </cell>
          <cell r="N282">
            <v>31.75</v>
          </cell>
        </row>
        <row r="283">
          <cell r="M283">
            <v>45989</v>
          </cell>
          <cell r="N283">
            <v>31.4375</v>
          </cell>
        </row>
        <row r="284">
          <cell r="M284">
            <v>45992</v>
          </cell>
          <cell r="N284">
            <v>30.9375</v>
          </cell>
        </row>
        <row r="285">
          <cell r="M285">
            <v>45993</v>
          </cell>
          <cell r="N285">
            <v>29.6875</v>
          </cell>
        </row>
        <row r="286">
          <cell r="M286">
            <v>45994</v>
          </cell>
          <cell r="N286">
            <v>27.8125</v>
          </cell>
        </row>
        <row r="287">
          <cell r="M287">
            <v>45995</v>
          </cell>
          <cell r="N287">
            <v>26.625</v>
          </cell>
        </row>
        <row r="288">
          <cell r="M288">
            <v>45996</v>
          </cell>
          <cell r="N288">
            <v>26.8125</v>
          </cell>
        </row>
        <row r="289">
          <cell r="M289">
            <v>46000</v>
          </cell>
          <cell r="N289">
            <v>26.4375</v>
          </cell>
        </row>
        <row r="290">
          <cell r="M290">
            <v>46001</v>
          </cell>
          <cell r="N290">
            <v>26.6875</v>
          </cell>
        </row>
        <row r="291">
          <cell r="M291">
            <v>46002</v>
          </cell>
          <cell r="N291">
            <v>26.75</v>
          </cell>
        </row>
        <row r="292">
          <cell r="M292">
            <v>46003</v>
          </cell>
          <cell r="N292">
            <v>26.75</v>
          </cell>
        </row>
        <row r="293">
          <cell r="M293">
            <v>46006</v>
          </cell>
          <cell r="N293">
            <v>26.75</v>
          </cell>
        </row>
        <row r="294">
          <cell r="M294">
            <v>46007</v>
          </cell>
          <cell r="N294">
            <v>27.125</v>
          </cell>
        </row>
        <row r="295">
          <cell r="M295">
            <v>46008</v>
          </cell>
          <cell r="N295">
            <v>27.375</v>
          </cell>
        </row>
        <row r="296">
          <cell r="M296">
            <v>46009</v>
          </cell>
          <cell r="N296">
            <v>27.3125</v>
          </cell>
        </row>
        <row r="297">
          <cell r="M297">
            <v>46010</v>
          </cell>
          <cell r="N297">
            <v>28.25</v>
          </cell>
        </row>
        <row r="298">
          <cell r="M298">
            <v>46013</v>
          </cell>
          <cell r="N298">
            <v>28.375</v>
          </cell>
        </row>
        <row r="299">
          <cell r="M299">
            <v>46014</v>
          </cell>
          <cell r="N299">
            <v>29.4375</v>
          </cell>
        </row>
        <row r="300">
          <cell r="M300">
            <v>46017</v>
          </cell>
          <cell r="N300">
            <v>28.6875</v>
          </cell>
        </row>
        <row r="301">
          <cell r="M301">
            <v>46020</v>
          </cell>
          <cell r="N301">
            <v>27.9375</v>
          </cell>
        </row>
        <row r="302">
          <cell r="M302">
            <v>46021</v>
          </cell>
          <cell r="N302">
            <v>28.875</v>
          </cell>
        </row>
        <row r="303">
          <cell r="M303">
            <v>46024</v>
          </cell>
          <cell r="N303">
            <v>29.375</v>
          </cell>
        </row>
        <row r="304">
          <cell r="M304">
            <v>46027</v>
          </cell>
          <cell r="N304">
            <v>28.75</v>
          </cell>
        </row>
        <row r="305">
          <cell r="M305">
            <v>46028</v>
          </cell>
          <cell r="N305">
            <v>29.375</v>
          </cell>
        </row>
        <row r="306">
          <cell r="M306">
            <v>46029</v>
          </cell>
          <cell r="N306">
            <v>31.75</v>
          </cell>
        </row>
        <row r="307">
          <cell r="M307">
            <v>46030</v>
          </cell>
          <cell r="N307">
            <v>33.125</v>
          </cell>
        </row>
        <row r="308">
          <cell r="M308">
            <v>46031</v>
          </cell>
          <cell r="N308">
            <v>32.625</v>
          </cell>
        </row>
        <row r="309">
          <cell r="M309">
            <v>46034</v>
          </cell>
          <cell r="N309">
            <v>32.4375</v>
          </cell>
        </row>
        <row r="310">
          <cell r="M310">
            <v>46035</v>
          </cell>
          <cell r="N310">
            <v>34.4375</v>
          </cell>
        </row>
        <row r="311">
          <cell r="M311">
            <v>46036</v>
          </cell>
          <cell r="N311">
            <v>34.9375</v>
          </cell>
        </row>
        <row r="312">
          <cell r="M312">
            <v>46037</v>
          </cell>
          <cell r="N312">
            <v>35.6875</v>
          </cell>
        </row>
        <row r="313">
          <cell r="M313">
            <v>46038</v>
          </cell>
          <cell r="N313">
            <v>35.5625</v>
          </cell>
        </row>
        <row r="314">
          <cell r="M314">
            <v>46041</v>
          </cell>
          <cell r="N314">
            <v>36.6875</v>
          </cell>
        </row>
        <row r="315">
          <cell r="M315">
            <v>46042</v>
          </cell>
          <cell r="N315">
            <v>36.6875</v>
          </cell>
        </row>
        <row r="316">
          <cell r="M316">
            <v>46043</v>
          </cell>
          <cell r="N316">
            <v>36.9375</v>
          </cell>
        </row>
        <row r="317">
          <cell r="M317">
            <v>46044</v>
          </cell>
          <cell r="N317">
            <v>38.0625</v>
          </cell>
        </row>
        <row r="318">
          <cell r="M318">
            <v>46045</v>
          </cell>
          <cell r="N318">
            <v>37.8125</v>
          </cell>
        </row>
        <row r="319">
          <cell r="M319">
            <v>46048</v>
          </cell>
          <cell r="N319">
            <v>35.625</v>
          </cell>
        </row>
        <row r="320">
          <cell r="M320">
            <v>46049</v>
          </cell>
          <cell r="N320">
            <v>34.5</v>
          </cell>
        </row>
        <row r="321">
          <cell r="M321">
            <v>46050</v>
          </cell>
          <cell r="N321">
            <v>32.625</v>
          </cell>
        </row>
        <row r="322">
          <cell r="M322">
            <v>46051</v>
          </cell>
          <cell r="N322">
            <v>31.75</v>
          </cell>
        </row>
        <row r="323">
          <cell r="M323">
            <v>46052</v>
          </cell>
          <cell r="N323">
            <v>32.9375</v>
          </cell>
        </row>
        <row r="324">
          <cell r="M324">
            <v>46055</v>
          </cell>
          <cell r="N324">
            <v>32.6875</v>
          </cell>
        </row>
        <row r="325">
          <cell r="M325">
            <v>46056</v>
          </cell>
          <cell r="N325">
            <v>34</v>
          </cell>
        </row>
        <row r="326">
          <cell r="M326">
            <v>46057</v>
          </cell>
          <cell r="N326">
            <v>32.5625</v>
          </cell>
        </row>
        <row r="327">
          <cell r="M327">
            <v>46058</v>
          </cell>
          <cell r="N327">
            <v>32.1875</v>
          </cell>
        </row>
        <row r="328">
          <cell r="M328">
            <v>46059</v>
          </cell>
          <cell r="N328">
            <v>31.8125</v>
          </cell>
        </row>
        <row r="329">
          <cell r="M329">
            <v>46062</v>
          </cell>
          <cell r="N329">
            <v>31.1875</v>
          </cell>
        </row>
        <row r="330">
          <cell r="M330">
            <v>46063</v>
          </cell>
          <cell r="N330">
            <v>31.375</v>
          </cell>
        </row>
        <row r="331">
          <cell r="M331">
            <v>46064</v>
          </cell>
          <cell r="N331">
            <v>31.5625</v>
          </cell>
        </row>
        <row r="332">
          <cell r="M332">
            <v>46065</v>
          </cell>
          <cell r="N332">
            <v>32.375</v>
          </cell>
        </row>
        <row r="333">
          <cell r="M333">
            <v>46066</v>
          </cell>
          <cell r="N333">
            <v>33.4375</v>
          </cell>
        </row>
        <row r="334">
          <cell r="M334">
            <v>46071</v>
          </cell>
          <cell r="N334">
            <v>33.6875</v>
          </cell>
        </row>
        <row r="335">
          <cell r="M335">
            <v>46072</v>
          </cell>
          <cell r="N335">
            <v>34.625</v>
          </cell>
        </row>
        <row r="336">
          <cell r="M336">
            <v>46073</v>
          </cell>
          <cell r="N336">
            <v>34.875</v>
          </cell>
        </row>
        <row r="337">
          <cell r="M337">
            <v>46076</v>
          </cell>
          <cell r="N337">
            <v>36.5</v>
          </cell>
        </row>
        <row r="338">
          <cell r="M338">
            <v>46077</v>
          </cell>
          <cell r="N338">
            <v>35.625</v>
          </cell>
        </row>
        <row r="339">
          <cell r="M339">
            <v>46078</v>
          </cell>
          <cell r="N339">
            <v>33.25</v>
          </cell>
        </row>
        <row r="340">
          <cell r="M340">
            <v>46079</v>
          </cell>
          <cell r="N340">
            <v>31.25</v>
          </cell>
        </row>
        <row r="341">
          <cell r="M341">
            <v>46080</v>
          </cell>
          <cell r="N341">
            <v>31.0625</v>
          </cell>
        </row>
        <row r="342">
          <cell r="M342">
            <v>46083</v>
          </cell>
          <cell r="N342">
            <v>30.75</v>
          </cell>
        </row>
        <row r="343">
          <cell r="M343">
            <v>46084</v>
          </cell>
          <cell r="N343">
            <v>31</v>
          </cell>
        </row>
        <row r="344">
          <cell r="M344">
            <v>46085</v>
          </cell>
          <cell r="N344">
            <v>31</v>
          </cell>
        </row>
        <row r="345">
          <cell r="M345">
            <v>46086</v>
          </cell>
          <cell r="N345">
            <v>31.25</v>
          </cell>
        </row>
        <row r="346">
          <cell r="M346">
            <v>46087</v>
          </cell>
          <cell r="N346">
            <v>30.875</v>
          </cell>
        </row>
        <row r="347">
          <cell r="M347">
            <v>46090</v>
          </cell>
          <cell r="N347">
            <v>30.875</v>
          </cell>
        </row>
        <row r="348">
          <cell r="M348">
            <v>46091</v>
          </cell>
          <cell r="N348">
            <v>31.0625</v>
          </cell>
        </row>
        <row r="349">
          <cell r="M349">
            <v>46092</v>
          </cell>
          <cell r="N349">
            <v>31</v>
          </cell>
        </row>
        <row r="350">
          <cell r="M350">
            <v>46093</v>
          </cell>
          <cell r="N350">
            <v>31</v>
          </cell>
        </row>
        <row r="351">
          <cell r="M351">
            <v>46094</v>
          </cell>
          <cell r="N351">
            <v>31.0625</v>
          </cell>
        </row>
        <row r="352">
          <cell r="M352">
            <v>46097</v>
          </cell>
          <cell r="N352">
            <v>30.625</v>
          </cell>
        </row>
        <row r="353">
          <cell r="M353">
            <v>46098</v>
          </cell>
          <cell r="N353">
            <v>28.8125</v>
          </cell>
        </row>
        <row r="354">
          <cell r="M354">
            <v>46099</v>
          </cell>
          <cell r="N354">
            <v>27.1875</v>
          </cell>
        </row>
        <row r="355">
          <cell r="M355">
            <v>46100</v>
          </cell>
          <cell r="N355">
            <v>26.5625</v>
          </cell>
        </row>
        <row r="356">
          <cell r="M356">
            <v>46101</v>
          </cell>
          <cell r="N356">
            <v>26.75</v>
          </cell>
        </row>
        <row r="357">
          <cell r="M357">
            <v>46106</v>
          </cell>
          <cell r="N357">
            <v>26.4375</v>
          </cell>
        </row>
        <row r="358">
          <cell r="M358">
            <v>46107</v>
          </cell>
          <cell r="N358">
            <v>26.3125</v>
          </cell>
        </row>
        <row r="359">
          <cell r="M359">
            <v>46108</v>
          </cell>
          <cell r="N359">
            <v>26.125</v>
          </cell>
        </row>
        <row r="360">
          <cell r="M360">
            <v>46111</v>
          </cell>
          <cell r="N360">
            <v>26.1875</v>
          </cell>
        </row>
        <row r="361">
          <cell r="M361">
            <v>46112</v>
          </cell>
          <cell r="N361">
            <v>26.3125</v>
          </cell>
        </row>
        <row r="362">
          <cell r="M362">
            <v>46113</v>
          </cell>
          <cell r="N362">
            <v>26.25</v>
          </cell>
        </row>
        <row r="363">
          <cell r="M363">
            <v>46118</v>
          </cell>
          <cell r="N363">
            <v>26.125</v>
          </cell>
        </row>
        <row r="364">
          <cell r="M364">
            <v>46119</v>
          </cell>
          <cell r="N364">
            <v>26.1875</v>
          </cell>
        </row>
        <row r="365">
          <cell r="M365">
            <v>46120</v>
          </cell>
          <cell r="N365">
            <v>25.625</v>
          </cell>
        </row>
        <row r="366">
          <cell r="M366">
            <v>46121</v>
          </cell>
          <cell r="N366">
            <v>23.4375</v>
          </cell>
        </row>
        <row r="367">
          <cell r="M367">
            <v>46122</v>
          </cell>
          <cell r="N367">
            <v>22.8125</v>
          </cell>
        </row>
        <row r="368">
          <cell r="M368">
            <v>46125</v>
          </cell>
          <cell r="N368">
            <v>22.5</v>
          </cell>
        </row>
        <row r="369">
          <cell r="M369">
            <v>46126</v>
          </cell>
          <cell r="N369">
            <v>23.0625</v>
          </cell>
        </row>
        <row r="370">
          <cell r="M370">
            <v>46127</v>
          </cell>
          <cell r="N370">
            <v>22.875</v>
          </cell>
        </row>
        <row r="371">
          <cell r="M371">
            <v>46128</v>
          </cell>
          <cell r="N371">
            <v>23.125</v>
          </cell>
        </row>
        <row r="372">
          <cell r="M372">
            <v>46129</v>
          </cell>
          <cell r="N372">
            <v>22.75</v>
          </cell>
        </row>
        <row r="373">
          <cell r="M373">
            <v>46132</v>
          </cell>
          <cell r="N373">
            <v>22.3125</v>
          </cell>
        </row>
        <row r="374">
          <cell r="M374">
            <v>46133</v>
          </cell>
          <cell r="N374">
            <v>22.4375</v>
          </cell>
        </row>
        <row r="375">
          <cell r="M375">
            <v>46134</v>
          </cell>
          <cell r="N375">
            <v>22.5</v>
          </cell>
        </row>
        <row r="376">
          <cell r="M376">
            <v>46135</v>
          </cell>
          <cell r="N376">
            <v>22.5625</v>
          </cell>
        </row>
        <row r="377">
          <cell r="M377">
            <v>46136</v>
          </cell>
          <cell r="N377">
            <v>22.4375</v>
          </cell>
        </row>
        <row r="378">
          <cell r="M378">
            <v>46139</v>
          </cell>
          <cell r="N378">
            <v>22.3125</v>
          </cell>
        </row>
        <row r="379">
          <cell r="M379">
            <v>46140</v>
          </cell>
          <cell r="N379">
            <v>22.625</v>
          </cell>
        </row>
        <row r="380">
          <cell r="M380">
            <v>46141</v>
          </cell>
          <cell r="N380">
            <v>22.625</v>
          </cell>
        </row>
        <row r="381">
          <cell r="M381">
            <v>46142</v>
          </cell>
          <cell r="N381">
            <v>23.125</v>
          </cell>
        </row>
        <row r="382">
          <cell r="M382">
            <v>46146</v>
          </cell>
          <cell r="N382">
            <v>23.125</v>
          </cell>
        </row>
        <row r="383">
          <cell r="M383">
            <v>46147</v>
          </cell>
          <cell r="N383">
            <v>23.4375</v>
          </cell>
        </row>
        <row r="384">
          <cell r="M384">
            <v>46148</v>
          </cell>
          <cell r="N384">
            <v>22.75</v>
          </cell>
        </row>
        <row r="385">
          <cell r="M385">
            <v>46149</v>
          </cell>
          <cell r="N385">
            <v>22.8125</v>
          </cell>
        </row>
        <row r="386">
          <cell r="M386">
            <v>46150</v>
          </cell>
          <cell r="N386">
            <v>22.5625</v>
          </cell>
        </row>
        <row r="387">
          <cell r="M387">
            <v>46153</v>
          </cell>
          <cell r="N387">
            <v>22.75</v>
          </cell>
        </row>
        <row r="388">
          <cell r="M388">
            <v>46154</v>
          </cell>
          <cell r="N388">
            <v>22.625</v>
          </cell>
        </row>
        <row r="389">
          <cell r="M389">
            <v>46155</v>
          </cell>
          <cell r="N389">
            <v>22.5</v>
          </cell>
        </row>
        <row r="390">
          <cell r="M390">
            <v>46156</v>
          </cell>
          <cell r="N390">
            <v>22.8125</v>
          </cell>
        </row>
        <row r="391">
          <cell r="M391">
            <v>46157</v>
          </cell>
          <cell r="N391">
            <v>22.8125</v>
          </cell>
        </row>
        <row r="392">
          <cell r="M392">
            <v>46160</v>
          </cell>
          <cell r="N392">
            <v>22.8125</v>
          </cell>
        </row>
        <row r="393">
          <cell r="M393">
            <v>46161</v>
          </cell>
          <cell r="N393">
            <v>22.9375</v>
          </cell>
        </row>
        <row r="394">
          <cell r="M394">
            <v>46162</v>
          </cell>
          <cell r="N394">
            <v>22.75</v>
          </cell>
        </row>
        <row r="395">
          <cell r="M395">
            <v>46163</v>
          </cell>
          <cell r="N395">
            <v>22.9375</v>
          </cell>
        </row>
        <row r="396">
          <cell r="M396">
            <v>46164</v>
          </cell>
          <cell r="N396">
            <v>22.9375</v>
          </cell>
        </row>
        <row r="397">
          <cell r="M397">
            <v>46168</v>
          </cell>
          <cell r="N397">
            <v>22.8125</v>
          </cell>
        </row>
        <row r="398">
          <cell r="M398">
            <v>46169</v>
          </cell>
          <cell r="N398">
            <v>22.8125</v>
          </cell>
        </row>
        <row r="399">
          <cell r="M399">
            <v>46170</v>
          </cell>
          <cell r="N399">
            <v>23</v>
          </cell>
        </row>
        <row r="400">
          <cell r="M400">
            <v>46171</v>
          </cell>
          <cell r="N400">
            <v>22.25</v>
          </cell>
        </row>
        <row r="401">
          <cell r="M401">
            <v>46174</v>
          </cell>
          <cell r="N401">
            <v>22.9375</v>
          </cell>
        </row>
        <row r="402">
          <cell r="M402">
            <v>46175</v>
          </cell>
          <cell r="N402">
            <v>22.75</v>
          </cell>
        </row>
        <row r="403">
          <cell r="M403">
            <v>46176</v>
          </cell>
          <cell r="N403">
            <v>22.125</v>
          </cell>
        </row>
        <row r="404">
          <cell r="M404">
            <v>46177</v>
          </cell>
          <cell r="N404">
            <v>22.25</v>
          </cell>
        </row>
        <row r="405">
          <cell r="M405">
            <v>46178</v>
          </cell>
          <cell r="N405">
            <v>21.8125</v>
          </cell>
        </row>
        <row r="406">
          <cell r="M406">
            <v>46181</v>
          </cell>
          <cell r="N406">
            <v>21.625</v>
          </cell>
        </row>
        <row r="407">
          <cell r="M407">
            <v>46182</v>
          </cell>
          <cell r="N407">
            <v>21.5</v>
          </cell>
        </row>
        <row r="408">
          <cell r="M408">
            <v>46183</v>
          </cell>
          <cell r="N408">
            <v>21.5625</v>
          </cell>
        </row>
        <row r="409">
          <cell r="M409">
            <v>46184</v>
          </cell>
          <cell r="N409">
            <v>21.5</v>
          </cell>
        </row>
        <row r="410">
          <cell r="M410">
            <v>46185</v>
          </cell>
          <cell r="N410">
            <v>21.375</v>
          </cell>
        </row>
        <row r="411">
          <cell r="M411">
            <v>46189</v>
          </cell>
          <cell r="N411">
            <v>21.75</v>
          </cell>
        </row>
        <row r="412">
          <cell r="M412">
            <v>46190</v>
          </cell>
          <cell r="N412">
            <v>21.9375</v>
          </cell>
        </row>
        <row r="413">
          <cell r="M413">
            <v>46191</v>
          </cell>
          <cell r="N413">
            <v>22.25</v>
          </cell>
        </row>
        <row r="414">
          <cell r="M414">
            <v>46192</v>
          </cell>
          <cell r="N414">
            <v>22.1875</v>
          </cell>
        </row>
        <row r="415">
          <cell r="M415">
            <v>46195</v>
          </cell>
          <cell r="N415">
            <v>22.375</v>
          </cell>
        </row>
        <row r="416">
          <cell r="M416">
            <v>46196</v>
          </cell>
          <cell r="N416">
            <v>22.5</v>
          </cell>
        </row>
        <row r="417">
          <cell r="M417">
            <v>46197</v>
          </cell>
          <cell r="N417">
            <v>22.25</v>
          </cell>
        </row>
        <row r="418">
          <cell r="M418">
            <v>46198</v>
          </cell>
          <cell r="N418">
            <v>22.8125</v>
          </cell>
        </row>
        <row r="419">
          <cell r="M419">
            <v>46199</v>
          </cell>
          <cell r="N419">
            <v>22.5625</v>
          </cell>
        </row>
        <row r="420">
          <cell r="M420">
            <v>46202</v>
          </cell>
          <cell r="N420">
            <v>22.9375</v>
          </cell>
        </row>
        <row r="421">
          <cell r="M421">
            <v>46203</v>
          </cell>
          <cell r="N421">
            <v>22.6875</v>
          </cell>
        </row>
        <row r="422">
          <cell r="M422">
            <v>46204</v>
          </cell>
          <cell r="N422">
            <v>22.1875</v>
          </cell>
        </row>
        <row r="423">
          <cell r="M423">
            <v>46205</v>
          </cell>
          <cell r="N423">
            <v>22.125</v>
          </cell>
        </row>
        <row r="424">
          <cell r="M424">
            <v>46206</v>
          </cell>
          <cell r="N424">
            <v>21.875</v>
          </cell>
        </row>
        <row r="425">
          <cell r="M425">
            <v>46209</v>
          </cell>
          <cell r="N425">
            <v>21.9375</v>
          </cell>
        </row>
        <row r="426">
          <cell r="M426">
            <v>46210</v>
          </cell>
          <cell r="N426">
            <v>21.9375</v>
          </cell>
        </row>
        <row r="427">
          <cell r="M427">
            <v>46211</v>
          </cell>
          <cell r="N427">
            <v>21.9375</v>
          </cell>
        </row>
        <row r="428">
          <cell r="M428">
            <v>46216</v>
          </cell>
          <cell r="N428">
            <v>22.4375</v>
          </cell>
        </row>
        <row r="429">
          <cell r="M429">
            <v>46217</v>
          </cell>
          <cell r="N429">
            <v>22.625</v>
          </cell>
        </row>
        <row r="430">
          <cell r="M430">
            <v>46218</v>
          </cell>
          <cell r="N430">
            <v>22.625</v>
          </cell>
        </row>
        <row r="431">
          <cell r="M431">
            <v>46219</v>
          </cell>
          <cell r="N431">
            <v>22.625</v>
          </cell>
        </row>
        <row r="432">
          <cell r="M432">
            <v>46220</v>
          </cell>
          <cell r="N432">
            <v>22.875</v>
          </cell>
        </row>
        <row r="433">
          <cell r="M433">
            <v>46223</v>
          </cell>
          <cell r="N433">
            <v>22.6875</v>
          </cell>
        </row>
        <row r="434">
          <cell r="M434">
            <v>46224</v>
          </cell>
          <cell r="N434">
            <v>22.9375</v>
          </cell>
        </row>
        <row r="435">
          <cell r="M435">
            <v>46225</v>
          </cell>
          <cell r="N435">
            <v>22.9375</v>
          </cell>
        </row>
        <row r="436">
          <cell r="M436">
            <v>46226</v>
          </cell>
          <cell r="N436">
            <v>22.9375</v>
          </cell>
        </row>
        <row r="437">
          <cell r="M437">
            <v>46227</v>
          </cell>
          <cell r="N437">
            <v>22.6875</v>
          </cell>
        </row>
        <row r="438">
          <cell r="M438">
            <v>46230</v>
          </cell>
          <cell r="N438">
            <v>22.8125</v>
          </cell>
        </row>
        <row r="439">
          <cell r="M439">
            <v>46231</v>
          </cell>
          <cell r="N439">
            <v>22.875</v>
          </cell>
        </row>
        <row r="440">
          <cell r="M440">
            <v>46232</v>
          </cell>
          <cell r="N440">
            <v>22.375</v>
          </cell>
        </row>
        <row r="441">
          <cell r="M441">
            <v>46233</v>
          </cell>
          <cell r="N441">
            <v>22.875</v>
          </cell>
        </row>
        <row r="442">
          <cell r="M442">
            <v>46234</v>
          </cell>
          <cell r="N442">
            <v>23.3125</v>
          </cell>
        </row>
        <row r="443">
          <cell r="M443">
            <v>46237</v>
          </cell>
          <cell r="N443">
            <v>22.9375</v>
          </cell>
        </row>
        <row r="444">
          <cell r="M444">
            <v>46238</v>
          </cell>
          <cell r="N444">
            <v>23.125</v>
          </cell>
        </row>
        <row r="445">
          <cell r="M445">
            <v>46239</v>
          </cell>
          <cell r="N445">
            <v>22.875</v>
          </cell>
        </row>
        <row r="446">
          <cell r="M446">
            <v>46240</v>
          </cell>
          <cell r="N446">
            <v>23.25</v>
          </cell>
        </row>
        <row r="447">
          <cell r="M447">
            <v>46241</v>
          </cell>
          <cell r="N447">
            <v>23.375</v>
          </cell>
        </row>
        <row r="448">
          <cell r="M448">
            <v>46244</v>
          </cell>
          <cell r="N448">
            <v>23.3125</v>
          </cell>
        </row>
        <row r="449">
          <cell r="M449">
            <v>46245</v>
          </cell>
          <cell r="N449">
            <v>23.875</v>
          </cell>
        </row>
        <row r="450">
          <cell r="M450">
            <v>46246</v>
          </cell>
          <cell r="N450">
            <v>23.1875</v>
          </cell>
        </row>
        <row r="451">
          <cell r="M451">
            <v>46247</v>
          </cell>
          <cell r="N451">
            <v>24.1875</v>
          </cell>
        </row>
        <row r="452">
          <cell r="M452">
            <v>46248</v>
          </cell>
          <cell r="N452">
            <v>24.5625</v>
          </cell>
        </row>
        <row r="453">
          <cell r="M453">
            <v>46252</v>
          </cell>
          <cell r="N453">
            <v>24.5</v>
          </cell>
        </row>
        <row r="454">
          <cell r="M454">
            <v>46253</v>
          </cell>
          <cell r="N454">
            <v>25.1875</v>
          </cell>
        </row>
        <row r="455">
          <cell r="M455">
            <v>46254</v>
          </cell>
          <cell r="N455">
            <v>26.5</v>
          </cell>
        </row>
        <row r="456">
          <cell r="M456">
            <v>46255</v>
          </cell>
          <cell r="N456">
            <v>25.3125</v>
          </cell>
        </row>
        <row r="457">
          <cell r="M457">
            <v>46258</v>
          </cell>
          <cell r="N457">
            <v>25.0625</v>
          </cell>
        </row>
        <row r="458">
          <cell r="M458">
            <v>46259</v>
          </cell>
          <cell r="N458">
            <v>25.25</v>
          </cell>
        </row>
        <row r="459">
          <cell r="M459">
            <v>46260</v>
          </cell>
          <cell r="N459">
            <v>25.125</v>
          </cell>
        </row>
        <row r="460">
          <cell r="M460">
            <v>46261</v>
          </cell>
          <cell r="N460">
            <v>25.1875</v>
          </cell>
        </row>
        <row r="461">
          <cell r="M461">
            <v>46262</v>
          </cell>
          <cell r="N461">
            <v>24.625</v>
          </cell>
        </row>
        <row r="462">
          <cell r="M462">
            <v>46265</v>
          </cell>
          <cell r="N462">
            <v>24.6875</v>
          </cell>
        </row>
        <row r="463">
          <cell r="M463">
            <v>46266</v>
          </cell>
          <cell r="N463">
            <v>23.8125</v>
          </cell>
        </row>
        <row r="464">
          <cell r="M464">
            <v>46267</v>
          </cell>
          <cell r="N464">
            <v>24.5</v>
          </cell>
        </row>
        <row r="465">
          <cell r="M465">
            <v>46268</v>
          </cell>
          <cell r="N465">
            <v>24.25</v>
          </cell>
        </row>
        <row r="466">
          <cell r="M466">
            <v>46269</v>
          </cell>
          <cell r="N466">
            <v>24.0625</v>
          </cell>
        </row>
        <row r="467">
          <cell r="M467">
            <v>46272</v>
          </cell>
          <cell r="N467">
            <v>24.1875</v>
          </cell>
        </row>
        <row r="468">
          <cell r="M468">
            <v>46273</v>
          </cell>
          <cell r="N468">
            <v>24</v>
          </cell>
        </row>
        <row r="469">
          <cell r="M469">
            <v>46274</v>
          </cell>
          <cell r="N469">
            <v>23.5625</v>
          </cell>
        </row>
        <row r="470">
          <cell r="M470">
            <v>46275</v>
          </cell>
          <cell r="N470">
            <v>23.8125</v>
          </cell>
        </row>
        <row r="471">
          <cell r="M471">
            <v>46276</v>
          </cell>
          <cell r="N471">
            <v>23.4375</v>
          </cell>
        </row>
        <row r="472">
          <cell r="M472">
            <v>46279</v>
          </cell>
          <cell r="N472">
            <v>23.625</v>
          </cell>
        </row>
        <row r="473">
          <cell r="M473">
            <v>46280</v>
          </cell>
          <cell r="N473">
            <v>23.625</v>
          </cell>
        </row>
        <row r="474">
          <cell r="M474">
            <v>46281</v>
          </cell>
          <cell r="N474">
            <v>23.625</v>
          </cell>
        </row>
        <row r="475">
          <cell r="M475">
            <v>46282</v>
          </cell>
          <cell r="N475">
            <v>23.5625</v>
          </cell>
        </row>
        <row r="476">
          <cell r="M476">
            <v>46283</v>
          </cell>
          <cell r="N476">
            <v>23.25</v>
          </cell>
        </row>
        <row r="477">
          <cell r="M477">
            <v>46286</v>
          </cell>
          <cell r="N477">
            <v>23.5</v>
          </cell>
        </row>
        <row r="478">
          <cell r="M478">
            <v>46287</v>
          </cell>
          <cell r="N478">
            <v>23.625</v>
          </cell>
        </row>
        <row r="479">
          <cell r="M479">
            <v>46288</v>
          </cell>
          <cell r="N479">
            <v>23.6875</v>
          </cell>
        </row>
        <row r="480">
          <cell r="M480">
            <v>46289</v>
          </cell>
          <cell r="N480">
            <v>23.75</v>
          </cell>
        </row>
        <row r="481">
          <cell r="M481">
            <v>46290</v>
          </cell>
          <cell r="N481">
            <v>23.625</v>
          </cell>
        </row>
        <row r="482">
          <cell r="M482">
            <v>46293</v>
          </cell>
          <cell r="N482">
            <v>23.4375</v>
          </cell>
        </row>
        <row r="483">
          <cell r="M483">
            <v>46294</v>
          </cell>
          <cell r="N483">
            <v>24.3125</v>
          </cell>
        </row>
        <row r="484">
          <cell r="M484">
            <v>46295</v>
          </cell>
          <cell r="N484">
            <v>24.125</v>
          </cell>
        </row>
        <row r="485">
          <cell r="M485">
            <v>46296</v>
          </cell>
          <cell r="N485">
            <v>24.4375</v>
          </cell>
        </row>
        <row r="486">
          <cell r="M486">
            <v>46297</v>
          </cell>
          <cell r="N486">
            <v>24.5625</v>
          </cell>
        </row>
        <row r="487">
          <cell r="M487">
            <v>46300</v>
          </cell>
          <cell r="N487">
            <v>23.75</v>
          </cell>
        </row>
        <row r="488">
          <cell r="M488">
            <v>46301</v>
          </cell>
          <cell r="N488">
            <v>24.1875</v>
          </cell>
        </row>
        <row r="489">
          <cell r="M489">
            <v>46302</v>
          </cell>
          <cell r="N489">
            <v>24</v>
          </cell>
        </row>
        <row r="490">
          <cell r="M490">
            <v>46303</v>
          </cell>
          <cell r="N490">
            <v>24.125</v>
          </cell>
        </row>
        <row r="491">
          <cell r="M491">
            <v>46304</v>
          </cell>
          <cell r="N491">
            <v>24.0625</v>
          </cell>
        </row>
        <row r="492">
          <cell r="M492">
            <v>46308</v>
          </cell>
          <cell r="N492">
            <v>23.8125</v>
          </cell>
        </row>
        <row r="493">
          <cell r="M493">
            <v>46309</v>
          </cell>
          <cell r="N493">
            <v>24.5625</v>
          </cell>
        </row>
        <row r="494">
          <cell r="M494">
            <v>46310</v>
          </cell>
          <cell r="N494">
            <v>24.5</v>
          </cell>
        </row>
        <row r="495">
          <cell r="M495"/>
          <cell r="N495"/>
        </row>
        <row r="496">
          <cell r="M496"/>
          <cell r="N496"/>
        </row>
        <row r="497">
          <cell r="M497"/>
          <cell r="N497"/>
        </row>
        <row r="498">
          <cell r="M498"/>
          <cell r="N498"/>
        </row>
        <row r="499">
          <cell r="M499"/>
          <cell r="N499"/>
        </row>
        <row r="500">
          <cell r="M500"/>
          <cell r="N500"/>
        </row>
        <row r="501">
          <cell r="M501"/>
          <cell r="N501"/>
        </row>
        <row r="502">
          <cell r="M502"/>
          <cell r="N502"/>
        </row>
        <row r="503">
          <cell r="M503"/>
          <cell r="N503"/>
        </row>
        <row r="504">
          <cell r="M504"/>
          <cell r="N504"/>
        </row>
        <row r="505">
          <cell r="M505"/>
          <cell r="N505"/>
        </row>
        <row r="506">
          <cell r="M506"/>
          <cell r="N506"/>
        </row>
        <row r="507">
          <cell r="M507"/>
          <cell r="N507"/>
        </row>
        <row r="508">
          <cell r="M508"/>
          <cell r="N508"/>
        </row>
        <row r="509">
          <cell r="M509"/>
          <cell r="N509"/>
        </row>
        <row r="510">
          <cell r="M510"/>
          <cell r="N510"/>
        </row>
        <row r="511">
          <cell r="M511"/>
          <cell r="N511"/>
        </row>
        <row r="512">
          <cell r="M512"/>
          <cell r="N512"/>
        </row>
        <row r="513">
          <cell r="M513"/>
          <cell r="N513"/>
        </row>
        <row r="514">
          <cell r="M514"/>
          <cell r="N514"/>
        </row>
        <row r="515">
          <cell r="M515"/>
          <cell r="N515"/>
        </row>
        <row r="516">
          <cell r="M516"/>
          <cell r="N516"/>
        </row>
        <row r="517">
          <cell r="M517"/>
          <cell r="N517"/>
        </row>
        <row r="518">
          <cell r="M518"/>
          <cell r="N518"/>
        </row>
        <row r="519">
          <cell r="M519"/>
          <cell r="N519"/>
        </row>
        <row r="520">
          <cell r="M520"/>
          <cell r="N520"/>
        </row>
        <row r="521">
          <cell r="M521"/>
          <cell r="N521"/>
        </row>
        <row r="522">
          <cell r="M522"/>
          <cell r="N522"/>
        </row>
        <row r="523">
          <cell r="M523"/>
          <cell r="N523"/>
        </row>
        <row r="524">
          <cell r="M524"/>
          <cell r="N524"/>
        </row>
        <row r="525">
          <cell r="M525"/>
          <cell r="N525"/>
        </row>
        <row r="526">
          <cell r="M526"/>
          <cell r="N526"/>
        </row>
        <row r="527">
          <cell r="M527"/>
          <cell r="N527"/>
        </row>
        <row r="528">
          <cell r="M528"/>
          <cell r="N528"/>
        </row>
        <row r="529">
          <cell r="M529"/>
          <cell r="N529"/>
        </row>
        <row r="530">
          <cell r="M530"/>
          <cell r="N530"/>
        </row>
        <row r="531">
          <cell r="M531"/>
          <cell r="N531"/>
        </row>
        <row r="532">
          <cell r="M532"/>
          <cell r="N532"/>
        </row>
        <row r="533">
          <cell r="M533"/>
          <cell r="N533"/>
        </row>
        <row r="534">
          <cell r="M534"/>
          <cell r="N534"/>
        </row>
        <row r="535">
          <cell r="M535"/>
          <cell r="N535"/>
        </row>
        <row r="536">
          <cell r="M536"/>
          <cell r="N536"/>
        </row>
        <row r="537">
          <cell r="M537"/>
          <cell r="N537"/>
        </row>
        <row r="538">
          <cell r="M538"/>
          <cell r="N538"/>
        </row>
        <row r="539">
          <cell r="M539"/>
          <cell r="N539"/>
        </row>
        <row r="540">
          <cell r="M540"/>
          <cell r="N540"/>
        </row>
        <row r="541">
          <cell r="M541"/>
          <cell r="N541"/>
        </row>
        <row r="542">
          <cell r="M542"/>
          <cell r="N542"/>
        </row>
        <row r="543">
          <cell r="M543"/>
          <cell r="N543"/>
        </row>
        <row r="544">
          <cell r="M544"/>
          <cell r="N544"/>
        </row>
        <row r="545">
          <cell r="M545"/>
          <cell r="N545"/>
        </row>
        <row r="546">
          <cell r="M546"/>
          <cell r="N546"/>
        </row>
        <row r="547">
          <cell r="M547"/>
          <cell r="N547"/>
        </row>
        <row r="548">
          <cell r="M548"/>
          <cell r="N548"/>
        </row>
        <row r="549">
          <cell r="M549"/>
          <cell r="N549"/>
        </row>
        <row r="550">
          <cell r="M550"/>
          <cell r="N550"/>
        </row>
        <row r="551">
          <cell r="M551"/>
          <cell r="N551"/>
        </row>
        <row r="552">
          <cell r="M552"/>
          <cell r="N552"/>
        </row>
        <row r="553">
          <cell r="M553"/>
          <cell r="N553"/>
        </row>
        <row r="554">
          <cell r="M554"/>
          <cell r="N554"/>
        </row>
        <row r="555">
          <cell r="M555"/>
          <cell r="N555"/>
        </row>
        <row r="556">
          <cell r="M556"/>
          <cell r="N556"/>
        </row>
        <row r="557">
          <cell r="M557"/>
          <cell r="N557"/>
        </row>
        <row r="558">
          <cell r="M558"/>
          <cell r="N558"/>
        </row>
        <row r="559">
          <cell r="M559"/>
          <cell r="N559"/>
        </row>
        <row r="560">
          <cell r="M560"/>
          <cell r="N560"/>
        </row>
        <row r="561">
          <cell r="M561"/>
          <cell r="N561"/>
        </row>
        <row r="562">
          <cell r="M562"/>
          <cell r="N562"/>
        </row>
        <row r="563">
          <cell r="M563"/>
          <cell r="N563"/>
        </row>
        <row r="564">
          <cell r="M564"/>
          <cell r="N564"/>
        </row>
        <row r="565">
          <cell r="M565"/>
          <cell r="N565"/>
        </row>
        <row r="566">
          <cell r="M566"/>
          <cell r="N566"/>
        </row>
        <row r="567">
          <cell r="M567"/>
          <cell r="N567"/>
        </row>
        <row r="568">
          <cell r="M568"/>
          <cell r="N568"/>
        </row>
        <row r="569">
          <cell r="M569"/>
          <cell r="N569"/>
        </row>
        <row r="570">
          <cell r="M570"/>
          <cell r="N570"/>
        </row>
        <row r="571">
          <cell r="M571"/>
          <cell r="N571"/>
        </row>
        <row r="572">
          <cell r="M572"/>
          <cell r="N572"/>
        </row>
        <row r="573">
          <cell r="M573"/>
          <cell r="N573"/>
        </row>
        <row r="574">
          <cell r="M574"/>
          <cell r="N574"/>
        </row>
        <row r="575">
          <cell r="M575"/>
          <cell r="N575"/>
        </row>
        <row r="576">
          <cell r="M576"/>
          <cell r="N576"/>
        </row>
        <row r="577">
          <cell r="M577"/>
          <cell r="N577"/>
        </row>
        <row r="578">
          <cell r="M578"/>
          <cell r="N578"/>
        </row>
        <row r="579">
          <cell r="M579"/>
          <cell r="N579"/>
        </row>
        <row r="580">
          <cell r="M580"/>
          <cell r="N580"/>
        </row>
        <row r="581">
          <cell r="M581"/>
          <cell r="N581"/>
        </row>
        <row r="582">
          <cell r="M582"/>
          <cell r="N582"/>
        </row>
        <row r="583">
          <cell r="M583"/>
          <cell r="N583"/>
        </row>
        <row r="584">
          <cell r="M584"/>
          <cell r="N584"/>
        </row>
        <row r="585">
          <cell r="M585"/>
          <cell r="N585"/>
        </row>
        <row r="586">
          <cell r="M586"/>
          <cell r="N586"/>
        </row>
        <row r="587">
          <cell r="M587"/>
          <cell r="N587"/>
        </row>
        <row r="588">
          <cell r="M588"/>
          <cell r="N588"/>
        </row>
        <row r="589">
          <cell r="M589"/>
          <cell r="N589"/>
        </row>
        <row r="590">
          <cell r="M590"/>
          <cell r="N590"/>
        </row>
        <row r="591">
          <cell r="M591"/>
          <cell r="N591"/>
        </row>
        <row r="592">
          <cell r="M592"/>
          <cell r="N592"/>
        </row>
        <row r="593">
          <cell r="M593"/>
          <cell r="N593"/>
        </row>
        <row r="594">
          <cell r="M594"/>
          <cell r="N594"/>
        </row>
        <row r="595">
          <cell r="M595"/>
          <cell r="N595"/>
        </row>
        <row r="596">
          <cell r="M596"/>
          <cell r="N596"/>
        </row>
        <row r="597">
          <cell r="M597"/>
          <cell r="N597"/>
        </row>
        <row r="598">
          <cell r="M598"/>
          <cell r="N598"/>
        </row>
        <row r="599">
          <cell r="M599"/>
          <cell r="N599"/>
        </row>
        <row r="600">
          <cell r="M600"/>
          <cell r="N600"/>
        </row>
        <row r="601">
          <cell r="M601"/>
          <cell r="N601"/>
        </row>
        <row r="602">
          <cell r="M602"/>
          <cell r="N602"/>
        </row>
        <row r="603">
          <cell r="M603"/>
          <cell r="N603"/>
        </row>
        <row r="604">
          <cell r="M604"/>
          <cell r="N604"/>
        </row>
        <row r="605">
          <cell r="M605"/>
          <cell r="N605"/>
        </row>
        <row r="606">
          <cell r="M606"/>
          <cell r="N606"/>
        </row>
        <row r="607">
          <cell r="M607"/>
          <cell r="N607"/>
        </row>
        <row r="608">
          <cell r="M608"/>
          <cell r="N608"/>
        </row>
        <row r="609">
          <cell r="M609"/>
          <cell r="N609"/>
        </row>
        <row r="610">
          <cell r="M610"/>
          <cell r="N610"/>
        </row>
        <row r="611">
          <cell r="M611"/>
          <cell r="N611"/>
        </row>
        <row r="612">
          <cell r="M612"/>
          <cell r="N612"/>
        </row>
        <row r="613">
          <cell r="M613"/>
          <cell r="N613"/>
        </row>
        <row r="614">
          <cell r="M614"/>
          <cell r="N614"/>
        </row>
        <row r="615">
          <cell r="M615"/>
          <cell r="N615"/>
        </row>
        <row r="616">
          <cell r="M616"/>
          <cell r="N616"/>
        </row>
        <row r="617">
          <cell r="M617"/>
          <cell r="N617"/>
        </row>
        <row r="618">
          <cell r="M618"/>
          <cell r="N618"/>
        </row>
        <row r="619">
          <cell r="M619"/>
          <cell r="N619"/>
        </row>
        <row r="620">
          <cell r="M620"/>
          <cell r="N620"/>
        </row>
        <row r="621">
          <cell r="M621"/>
          <cell r="N621"/>
        </row>
        <row r="622">
          <cell r="M622"/>
          <cell r="N622"/>
        </row>
        <row r="623">
          <cell r="M623"/>
          <cell r="N623"/>
        </row>
        <row r="624">
          <cell r="M624"/>
          <cell r="N624"/>
        </row>
        <row r="625">
          <cell r="M625"/>
          <cell r="N625"/>
        </row>
        <row r="626">
          <cell r="M626"/>
          <cell r="N626"/>
        </row>
        <row r="627">
          <cell r="M627"/>
          <cell r="N627"/>
        </row>
        <row r="628">
          <cell r="M628"/>
          <cell r="N628"/>
        </row>
        <row r="629">
          <cell r="M629"/>
          <cell r="N629"/>
        </row>
        <row r="630">
          <cell r="M630"/>
          <cell r="N630"/>
        </row>
        <row r="631">
          <cell r="M631"/>
          <cell r="N631"/>
        </row>
        <row r="632">
          <cell r="M632"/>
          <cell r="N632"/>
        </row>
        <row r="633">
          <cell r="M633"/>
          <cell r="N633"/>
        </row>
        <row r="634">
          <cell r="M634"/>
          <cell r="N634"/>
        </row>
        <row r="635">
          <cell r="M635"/>
          <cell r="N635"/>
        </row>
        <row r="636">
          <cell r="M636"/>
          <cell r="N636"/>
        </row>
        <row r="637">
          <cell r="M637"/>
          <cell r="N637"/>
        </row>
        <row r="638">
          <cell r="M638"/>
          <cell r="N638"/>
        </row>
        <row r="639">
          <cell r="M639"/>
          <cell r="N639"/>
        </row>
        <row r="640">
          <cell r="M640"/>
          <cell r="N640"/>
        </row>
        <row r="641">
          <cell r="M641"/>
          <cell r="N641"/>
        </row>
        <row r="642">
          <cell r="M642"/>
          <cell r="N642"/>
        </row>
        <row r="643">
          <cell r="M643"/>
          <cell r="N643"/>
        </row>
        <row r="644">
          <cell r="M644"/>
          <cell r="N644"/>
        </row>
        <row r="645">
          <cell r="M645"/>
          <cell r="N645"/>
        </row>
        <row r="646">
          <cell r="M646"/>
          <cell r="N646"/>
        </row>
        <row r="647">
          <cell r="M647"/>
          <cell r="N647"/>
        </row>
        <row r="648">
          <cell r="M648"/>
          <cell r="N648"/>
        </row>
        <row r="649">
          <cell r="M649"/>
          <cell r="N649"/>
        </row>
        <row r="650">
          <cell r="M650"/>
          <cell r="N650"/>
        </row>
        <row r="651">
          <cell r="M651"/>
          <cell r="N651"/>
        </row>
        <row r="652">
          <cell r="M652"/>
          <cell r="N652"/>
        </row>
        <row r="653">
          <cell r="M653"/>
          <cell r="N653"/>
        </row>
        <row r="654">
          <cell r="M654"/>
          <cell r="N654"/>
        </row>
        <row r="655">
          <cell r="M655"/>
          <cell r="N655"/>
        </row>
        <row r="656">
          <cell r="M656"/>
          <cell r="N656"/>
        </row>
        <row r="657">
          <cell r="M657"/>
          <cell r="N657"/>
        </row>
        <row r="658">
          <cell r="M658"/>
          <cell r="N658"/>
        </row>
        <row r="659">
          <cell r="M659"/>
          <cell r="N659"/>
        </row>
        <row r="660">
          <cell r="M660"/>
          <cell r="N660"/>
        </row>
        <row r="661">
          <cell r="M661"/>
          <cell r="N661"/>
        </row>
        <row r="662">
          <cell r="M662"/>
          <cell r="N662"/>
        </row>
        <row r="663">
          <cell r="M663"/>
          <cell r="N663"/>
        </row>
        <row r="664">
          <cell r="M664"/>
          <cell r="N664"/>
        </row>
        <row r="665">
          <cell r="M665"/>
          <cell r="N665"/>
        </row>
        <row r="666">
          <cell r="M666"/>
          <cell r="N666"/>
        </row>
        <row r="667">
          <cell r="M667"/>
          <cell r="N667"/>
        </row>
        <row r="668">
          <cell r="M668"/>
          <cell r="N668"/>
        </row>
        <row r="669">
          <cell r="M669"/>
          <cell r="N669"/>
        </row>
        <row r="670">
          <cell r="M670"/>
          <cell r="N670"/>
        </row>
        <row r="671">
          <cell r="M671"/>
          <cell r="N671"/>
        </row>
        <row r="672">
          <cell r="M672"/>
          <cell r="N672"/>
        </row>
        <row r="673">
          <cell r="M673"/>
          <cell r="N673"/>
        </row>
        <row r="674">
          <cell r="M674"/>
          <cell r="N674"/>
        </row>
        <row r="675">
          <cell r="M675"/>
          <cell r="N675"/>
        </row>
        <row r="676">
          <cell r="M676"/>
          <cell r="N676"/>
        </row>
        <row r="677">
          <cell r="M677"/>
          <cell r="N677"/>
        </row>
        <row r="678">
          <cell r="M678"/>
          <cell r="N678"/>
        </row>
        <row r="679">
          <cell r="M679"/>
          <cell r="N679"/>
        </row>
        <row r="680">
          <cell r="M680"/>
          <cell r="N680"/>
        </row>
        <row r="681">
          <cell r="M681"/>
          <cell r="N681"/>
        </row>
        <row r="682">
          <cell r="M682"/>
          <cell r="N682"/>
        </row>
        <row r="683">
          <cell r="M683"/>
          <cell r="N683"/>
        </row>
        <row r="684">
          <cell r="M684"/>
          <cell r="N684"/>
        </row>
        <row r="685">
          <cell r="M685"/>
          <cell r="N685"/>
        </row>
        <row r="686">
          <cell r="M686"/>
          <cell r="N686"/>
        </row>
        <row r="687">
          <cell r="M687"/>
          <cell r="N687"/>
        </row>
        <row r="688">
          <cell r="M688"/>
          <cell r="N688"/>
        </row>
        <row r="689">
          <cell r="M689"/>
          <cell r="N689"/>
        </row>
        <row r="690">
          <cell r="M690"/>
          <cell r="N690"/>
        </row>
        <row r="691">
          <cell r="M691"/>
          <cell r="N691"/>
        </row>
        <row r="692">
          <cell r="M692"/>
          <cell r="N692"/>
        </row>
        <row r="693">
          <cell r="M693"/>
          <cell r="N693"/>
        </row>
        <row r="694">
          <cell r="M694"/>
          <cell r="N694"/>
        </row>
        <row r="695">
          <cell r="M695"/>
          <cell r="N695"/>
        </row>
        <row r="696">
          <cell r="M696"/>
          <cell r="N696"/>
        </row>
        <row r="697">
          <cell r="M697"/>
          <cell r="N697"/>
        </row>
        <row r="698">
          <cell r="M698"/>
          <cell r="N698"/>
        </row>
        <row r="699">
          <cell r="M699"/>
          <cell r="N699"/>
        </row>
        <row r="700">
          <cell r="M700"/>
          <cell r="N700"/>
        </row>
        <row r="701">
          <cell r="M701"/>
          <cell r="N701"/>
        </row>
        <row r="702">
          <cell r="M702"/>
          <cell r="N702"/>
        </row>
        <row r="703">
          <cell r="M703"/>
          <cell r="N703"/>
        </row>
        <row r="704">
          <cell r="M704"/>
          <cell r="N704"/>
        </row>
        <row r="705">
          <cell r="M705"/>
          <cell r="N705"/>
        </row>
        <row r="706">
          <cell r="M706"/>
          <cell r="N706"/>
        </row>
        <row r="707">
          <cell r="M707"/>
          <cell r="N707"/>
        </row>
        <row r="708">
          <cell r="M708"/>
          <cell r="N708"/>
        </row>
        <row r="709">
          <cell r="M709"/>
          <cell r="N709"/>
        </row>
        <row r="710">
          <cell r="M710"/>
          <cell r="N710"/>
        </row>
        <row r="711">
          <cell r="M711"/>
          <cell r="N711"/>
        </row>
        <row r="712">
          <cell r="M712"/>
          <cell r="N712"/>
        </row>
        <row r="713">
          <cell r="M713"/>
          <cell r="N713"/>
        </row>
        <row r="714">
          <cell r="M714"/>
          <cell r="N714"/>
        </row>
        <row r="715">
          <cell r="M715"/>
          <cell r="N715"/>
        </row>
        <row r="716">
          <cell r="M716"/>
          <cell r="N716"/>
        </row>
        <row r="717">
          <cell r="M717"/>
          <cell r="N717"/>
        </row>
        <row r="718">
          <cell r="M718"/>
          <cell r="N718"/>
        </row>
        <row r="719">
          <cell r="M719"/>
          <cell r="N719"/>
        </row>
        <row r="720">
          <cell r="M720"/>
          <cell r="N720"/>
        </row>
        <row r="721">
          <cell r="M721"/>
          <cell r="N721"/>
        </row>
        <row r="722">
          <cell r="M722"/>
          <cell r="N722"/>
        </row>
        <row r="723">
          <cell r="M723"/>
          <cell r="N723"/>
        </row>
        <row r="724">
          <cell r="M724"/>
          <cell r="N724"/>
        </row>
        <row r="725">
          <cell r="M725"/>
          <cell r="N725"/>
        </row>
        <row r="726">
          <cell r="M726"/>
          <cell r="N726"/>
        </row>
        <row r="727">
          <cell r="M727"/>
          <cell r="N727"/>
        </row>
        <row r="728">
          <cell r="M728"/>
          <cell r="N728"/>
        </row>
        <row r="729">
          <cell r="M729"/>
          <cell r="N729"/>
        </row>
        <row r="730">
          <cell r="M730"/>
          <cell r="N730"/>
        </row>
        <row r="731">
          <cell r="M731"/>
          <cell r="N731"/>
        </row>
        <row r="732">
          <cell r="M732"/>
          <cell r="N732"/>
        </row>
        <row r="733">
          <cell r="M733"/>
          <cell r="N733"/>
        </row>
        <row r="734">
          <cell r="M734"/>
          <cell r="N734"/>
        </row>
        <row r="735">
          <cell r="M735"/>
          <cell r="N735"/>
        </row>
        <row r="736">
          <cell r="M736"/>
          <cell r="N736"/>
        </row>
        <row r="737">
          <cell r="M737"/>
          <cell r="N737"/>
        </row>
        <row r="738">
          <cell r="M738"/>
          <cell r="N738"/>
        </row>
        <row r="739">
          <cell r="M739"/>
          <cell r="N739"/>
        </row>
        <row r="740">
          <cell r="M740"/>
          <cell r="N740"/>
        </row>
        <row r="741">
          <cell r="M741"/>
          <cell r="N741"/>
        </row>
        <row r="742">
          <cell r="M742"/>
          <cell r="N742"/>
        </row>
        <row r="743">
          <cell r="M743"/>
          <cell r="N743"/>
        </row>
        <row r="744">
          <cell r="M744"/>
          <cell r="N744"/>
        </row>
        <row r="745">
          <cell r="M745"/>
          <cell r="N745"/>
        </row>
        <row r="746">
          <cell r="M746"/>
          <cell r="N746"/>
        </row>
        <row r="747">
          <cell r="M747"/>
          <cell r="N747"/>
        </row>
        <row r="748">
          <cell r="M748"/>
          <cell r="N748"/>
        </row>
        <row r="749">
          <cell r="M749"/>
          <cell r="N749"/>
        </row>
        <row r="750">
          <cell r="M750"/>
          <cell r="N750"/>
        </row>
        <row r="751">
          <cell r="M751"/>
          <cell r="N751"/>
        </row>
        <row r="752">
          <cell r="M752"/>
          <cell r="N752"/>
        </row>
        <row r="753">
          <cell r="M753"/>
          <cell r="N753"/>
        </row>
        <row r="754">
          <cell r="M754"/>
          <cell r="N754"/>
        </row>
        <row r="755">
          <cell r="M755"/>
          <cell r="N755"/>
        </row>
        <row r="756">
          <cell r="M756"/>
          <cell r="N756"/>
        </row>
        <row r="757">
          <cell r="M757"/>
          <cell r="N757"/>
        </row>
        <row r="758">
          <cell r="M758"/>
          <cell r="N758"/>
        </row>
        <row r="759">
          <cell r="M759"/>
          <cell r="N759"/>
        </row>
        <row r="760">
          <cell r="M760"/>
          <cell r="N760"/>
        </row>
        <row r="761">
          <cell r="M761"/>
          <cell r="N761"/>
        </row>
        <row r="762">
          <cell r="M762"/>
          <cell r="N762"/>
        </row>
        <row r="763">
          <cell r="M763"/>
          <cell r="N763"/>
        </row>
        <row r="764">
          <cell r="M764"/>
          <cell r="N764"/>
        </row>
        <row r="765">
          <cell r="M765"/>
          <cell r="N765"/>
        </row>
        <row r="766">
          <cell r="M766"/>
          <cell r="N766"/>
        </row>
        <row r="767">
          <cell r="M767"/>
          <cell r="N767"/>
        </row>
        <row r="768">
          <cell r="M768"/>
          <cell r="N768"/>
        </row>
        <row r="769">
          <cell r="M769"/>
          <cell r="N769"/>
        </row>
        <row r="770">
          <cell r="M770"/>
          <cell r="N770"/>
        </row>
        <row r="771">
          <cell r="M771"/>
          <cell r="N771"/>
        </row>
        <row r="772">
          <cell r="M772"/>
          <cell r="N772"/>
        </row>
        <row r="773">
          <cell r="M773"/>
          <cell r="N773"/>
        </row>
        <row r="774">
          <cell r="M774"/>
          <cell r="N774"/>
        </row>
        <row r="775">
          <cell r="M775"/>
          <cell r="N775"/>
        </row>
        <row r="776">
          <cell r="M776"/>
          <cell r="N776"/>
        </row>
        <row r="777">
          <cell r="M777"/>
          <cell r="N777"/>
        </row>
        <row r="778">
          <cell r="M778"/>
          <cell r="N778"/>
        </row>
        <row r="779">
          <cell r="M779"/>
          <cell r="N779"/>
        </row>
        <row r="780">
          <cell r="M780"/>
          <cell r="N780"/>
        </row>
        <row r="781">
          <cell r="M781"/>
          <cell r="N781"/>
        </row>
        <row r="782">
          <cell r="M782"/>
          <cell r="N782"/>
        </row>
        <row r="783">
          <cell r="M783"/>
          <cell r="N783"/>
        </row>
        <row r="784">
          <cell r="M784"/>
          <cell r="N784"/>
        </row>
        <row r="785">
          <cell r="M785"/>
          <cell r="N785"/>
        </row>
        <row r="786">
          <cell r="M786"/>
          <cell r="N786"/>
        </row>
        <row r="787">
          <cell r="M787"/>
          <cell r="N787"/>
        </row>
        <row r="788">
          <cell r="M788"/>
          <cell r="N788"/>
        </row>
        <row r="789">
          <cell r="M789"/>
          <cell r="N789"/>
        </row>
        <row r="790">
          <cell r="M790"/>
          <cell r="N790"/>
        </row>
        <row r="791">
          <cell r="M791"/>
          <cell r="N791"/>
        </row>
        <row r="792">
          <cell r="M792"/>
          <cell r="N792"/>
        </row>
        <row r="793">
          <cell r="M793"/>
          <cell r="N793"/>
        </row>
        <row r="794">
          <cell r="M794"/>
          <cell r="N794"/>
        </row>
        <row r="795">
          <cell r="M795"/>
          <cell r="N795"/>
        </row>
        <row r="796">
          <cell r="M796"/>
          <cell r="N796"/>
        </row>
        <row r="797">
          <cell r="M797"/>
          <cell r="N797"/>
        </row>
        <row r="798">
          <cell r="M798"/>
          <cell r="N798"/>
        </row>
        <row r="799">
          <cell r="M799"/>
          <cell r="N799"/>
        </row>
        <row r="800">
          <cell r="M800"/>
          <cell r="N800"/>
        </row>
        <row r="801">
          <cell r="M801"/>
          <cell r="N801"/>
        </row>
        <row r="802">
          <cell r="M802"/>
          <cell r="N802"/>
        </row>
        <row r="803">
          <cell r="M803"/>
          <cell r="N803"/>
        </row>
        <row r="804">
          <cell r="M804"/>
          <cell r="N804"/>
        </row>
        <row r="805">
          <cell r="M805"/>
          <cell r="N805"/>
        </row>
        <row r="806">
          <cell r="M806"/>
          <cell r="N806"/>
        </row>
        <row r="807">
          <cell r="M807"/>
          <cell r="N807"/>
        </row>
        <row r="808">
          <cell r="M808"/>
          <cell r="N808"/>
        </row>
        <row r="809">
          <cell r="M809"/>
          <cell r="N809"/>
        </row>
        <row r="810">
          <cell r="M810"/>
          <cell r="N810"/>
        </row>
        <row r="811">
          <cell r="M811"/>
          <cell r="N811"/>
        </row>
        <row r="812">
          <cell r="M812"/>
          <cell r="N812"/>
        </row>
        <row r="813">
          <cell r="M813"/>
          <cell r="N813"/>
        </row>
        <row r="814">
          <cell r="M814"/>
          <cell r="N814"/>
        </row>
        <row r="815">
          <cell r="M815"/>
          <cell r="N815"/>
        </row>
        <row r="816">
          <cell r="M816"/>
          <cell r="N816"/>
        </row>
        <row r="817">
          <cell r="M817"/>
          <cell r="N817"/>
        </row>
        <row r="818">
          <cell r="M818"/>
          <cell r="N818"/>
        </row>
        <row r="819">
          <cell r="M819"/>
          <cell r="N819"/>
        </row>
        <row r="820">
          <cell r="M820"/>
          <cell r="N820"/>
        </row>
        <row r="821">
          <cell r="M821"/>
          <cell r="N821"/>
        </row>
        <row r="822">
          <cell r="M822"/>
          <cell r="N822"/>
        </row>
        <row r="823">
          <cell r="M823"/>
          <cell r="N823"/>
        </row>
        <row r="824">
          <cell r="M824"/>
          <cell r="N824"/>
        </row>
        <row r="825">
          <cell r="M825"/>
          <cell r="N825"/>
        </row>
        <row r="826">
          <cell r="M826"/>
          <cell r="N826"/>
        </row>
        <row r="827">
          <cell r="M827"/>
          <cell r="N827"/>
        </row>
        <row r="828">
          <cell r="M828"/>
          <cell r="N828"/>
        </row>
        <row r="829">
          <cell r="M829"/>
          <cell r="N829"/>
        </row>
        <row r="830">
          <cell r="M830"/>
          <cell r="N830"/>
        </row>
        <row r="831">
          <cell r="M831"/>
          <cell r="N831"/>
        </row>
        <row r="832">
          <cell r="M832"/>
          <cell r="N832"/>
        </row>
        <row r="833">
          <cell r="M833"/>
          <cell r="N833"/>
        </row>
        <row r="834">
          <cell r="M834"/>
          <cell r="N834"/>
        </row>
        <row r="835">
          <cell r="M835"/>
          <cell r="N835"/>
        </row>
        <row r="836">
          <cell r="M836"/>
          <cell r="N836"/>
        </row>
        <row r="837">
          <cell r="M837"/>
          <cell r="N837"/>
        </row>
        <row r="838">
          <cell r="M838"/>
          <cell r="N838"/>
        </row>
        <row r="839">
          <cell r="M839"/>
          <cell r="N839"/>
        </row>
        <row r="840">
          <cell r="M840"/>
          <cell r="N840"/>
        </row>
        <row r="841">
          <cell r="M841"/>
          <cell r="N841"/>
        </row>
        <row r="842">
          <cell r="M842"/>
          <cell r="N842"/>
        </row>
        <row r="843">
          <cell r="M843"/>
          <cell r="N843"/>
        </row>
        <row r="844">
          <cell r="M844"/>
          <cell r="N844"/>
        </row>
        <row r="845">
          <cell r="M845"/>
          <cell r="N845"/>
        </row>
        <row r="846">
          <cell r="M846"/>
          <cell r="N846"/>
        </row>
        <row r="847">
          <cell r="M847"/>
          <cell r="N847"/>
        </row>
        <row r="848">
          <cell r="M848"/>
          <cell r="N848"/>
        </row>
        <row r="849">
          <cell r="M849"/>
          <cell r="N849"/>
        </row>
        <row r="850">
          <cell r="M850"/>
          <cell r="N850"/>
        </row>
        <row r="851">
          <cell r="M851"/>
          <cell r="N851"/>
        </row>
        <row r="852">
          <cell r="M852"/>
          <cell r="N852"/>
        </row>
        <row r="853">
          <cell r="M853"/>
          <cell r="N853"/>
        </row>
        <row r="854">
          <cell r="M854"/>
          <cell r="N854"/>
        </row>
        <row r="855">
          <cell r="M855"/>
          <cell r="N855"/>
        </row>
        <row r="856">
          <cell r="M856"/>
          <cell r="N856"/>
        </row>
        <row r="857">
          <cell r="M857"/>
          <cell r="N857"/>
        </row>
        <row r="858">
          <cell r="M858"/>
          <cell r="N858"/>
        </row>
        <row r="859">
          <cell r="M859"/>
          <cell r="N859"/>
        </row>
        <row r="860">
          <cell r="M860"/>
          <cell r="N860"/>
        </row>
        <row r="861">
          <cell r="M861"/>
          <cell r="N861"/>
        </row>
        <row r="862">
          <cell r="M862"/>
          <cell r="N862"/>
        </row>
        <row r="863">
          <cell r="M863"/>
          <cell r="N863"/>
        </row>
        <row r="864">
          <cell r="M864"/>
          <cell r="N864"/>
        </row>
        <row r="865">
          <cell r="M865"/>
          <cell r="N865"/>
        </row>
        <row r="866">
          <cell r="M866"/>
          <cell r="N866"/>
        </row>
        <row r="867">
          <cell r="M867"/>
          <cell r="N867"/>
        </row>
        <row r="868">
          <cell r="M868"/>
          <cell r="N868"/>
        </row>
        <row r="869">
          <cell r="M869"/>
          <cell r="N869"/>
        </row>
        <row r="870">
          <cell r="M870"/>
          <cell r="N870"/>
        </row>
        <row r="871">
          <cell r="M871"/>
          <cell r="N871"/>
        </row>
        <row r="872">
          <cell r="M872"/>
          <cell r="N872"/>
        </row>
        <row r="873">
          <cell r="M873"/>
          <cell r="N873"/>
        </row>
        <row r="874">
          <cell r="M874"/>
          <cell r="N874"/>
        </row>
        <row r="875">
          <cell r="M875"/>
          <cell r="N875"/>
        </row>
        <row r="876">
          <cell r="M876"/>
          <cell r="N876"/>
        </row>
        <row r="877">
          <cell r="M877"/>
          <cell r="N877"/>
        </row>
        <row r="878">
          <cell r="M878"/>
          <cell r="N878"/>
        </row>
        <row r="879">
          <cell r="M879"/>
          <cell r="N879"/>
        </row>
        <row r="880">
          <cell r="M880"/>
          <cell r="N880"/>
        </row>
        <row r="881">
          <cell r="M881"/>
          <cell r="N881"/>
        </row>
        <row r="882">
          <cell r="M882"/>
          <cell r="N882"/>
        </row>
        <row r="883">
          <cell r="M883"/>
          <cell r="N883"/>
        </row>
        <row r="884">
          <cell r="M884"/>
          <cell r="N884"/>
        </row>
        <row r="885">
          <cell r="M885"/>
          <cell r="N885"/>
        </row>
        <row r="886">
          <cell r="M886"/>
          <cell r="N886"/>
        </row>
        <row r="887">
          <cell r="M887"/>
          <cell r="N887"/>
        </row>
        <row r="888">
          <cell r="M888"/>
          <cell r="N888"/>
        </row>
        <row r="889">
          <cell r="M889"/>
          <cell r="N889"/>
        </row>
        <row r="890">
          <cell r="M890"/>
          <cell r="N890"/>
        </row>
        <row r="891">
          <cell r="M891"/>
          <cell r="N891"/>
        </row>
        <row r="892">
          <cell r="M892"/>
          <cell r="N892"/>
        </row>
        <row r="893">
          <cell r="M893"/>
          <cell r="N893"/>
        </row>
        <row r="894">
          <cell r="M894"/>
          <cell r="N894"/>
        </row>
        <row r="895">
          <cell r="M895"/>
          <cell r="N895"/>
        </row>
        <row r="896">
          <cell r="M896"/>
          <cell r="N896"/>
        </row>
        <row r="897">
          <cell r="M897"/>
          <cell r="N897"/>
        </row>
        <row r="898">
          <cell r="M898"/>
          <cell r="N898"/>
        </row>
        <row r="899">
          <cell r="M899"/>
          <cell r="N899"/>
        </row>
        <row r="900">
          <cell r="M900"/>
          <cell r="N900"/>
        </row>
        <row r="901">
          <cell r="M901"/>
          <cell r="N901"/>
        </row>
        <row r="902">
          <cell r="M902"/>
          <cell r="N902"/>
        </row>
        <row r="903">
          <cell r="M903"/>
          <cell r="N903"/>
        </row>
        <row r="904">
          <cell r="M904"/>
          <cell r="N904"/>
        </row>
        <row r="905">
          <cell r="M905"/>
          <cell r="N905"/>
        </row>
        <row r="906">
          <cell r="M906"/>
          <cell r="N906"/>
        </row>
        <row r="907">
          <cell r="M907"/>
          <cell r="N907"/>
        </row>
        <row r="908">
          <cell r="M908"/>
          <cell r="N908"/>
        </row>
        <row r="909">
          <cell r="M909"/>
          <cell r="N909"/>
        </row>
        <row r="910">
          <cell r="M910"/>
          <cell r="N910"/>
        </row>
        <row r="911">
          <cell r="M911"/>
          <cell r="N911"/>
        </row>
        <row r="912">
          <cell r="M912"/>
          <cell r="N912"/>
        </row>
        <row r="913">
          <cell r="M913"/>
          <cell r="N913"/>
        </row>
        <row r="914">
          <cell r="M914"/>
          <cell r="N914"/>
        </row>
        <row r="915">
          <cell r="M915"/>
          <cell r="N915"/>
        </row>
        <row r="916">
          <cell r="M916"/>
          <cell r="N916"/>
        </row>
        <row r="917">
          <cell r="M917"/>
          <cell r="N917"/>
        </row>
        <row r="918">
          <cell r="M918"/>
          <cell r="N918"/>
        </row>
        <row r="919">
          <cell r="M919"/>
          <cell r="N919"/>
        </row>
        <row r="920">
          <cell r="M920"/>
          <cell r="N920"/>
        </row>
        <row r="921">
          <cell r="M921"/>
          <cell r="N921"/>
        </row>
        <row r="922">
          <cell r="M922"/>
          <cell r="N922"/>
        </row>
        <row r="923">
          <cell r="M923"/>
          <cell r="N923"/>
        </row>
        <row r="924">
          <cell r="M924"/>
          <cell r="N924"/>
        </row>
        <row r="925">
          <cell r="M925"/>
          <cell r="N925"/>
        </row>
        <row r="926">
          <cell r="M926"/>
          <cell r="N926"/>
        </row>
        <row r="927">
          <cell r="M927"/>
          <cell r="N927"/>
        </row>
        <row r="928">
          <cell r="M928"/>
          <cell r="N928"/>
        </row>
        <row r="929">
          <cell r="M929"/>
          <cell r="N929"/>
        </row>
        <row r="930">
          <cell r="M930"/>
          <cell r="N930"/>
        </row>
        <row r="931">
          <cell r="M931"/>
          <cell r="N931"/>
        </row>
        <row r="932">
          <cell r="M932"/>
          <cell r="N932"/>
        </row>
        <row r="933">
          <cell r="M933"/>
          <cell r="N933"/>
        </row>
        <row r="934">
          <cell r="M934"/>
          <cell r="N934"/>
        </row>
        <row r="935">
          <cell r="M935"/>
          <cell r="N935"/>
        </row>
        <row r="936">
          <cell r="M936"/>
          <cell r="N936"/>
        </row>
        <row r="937">
          <cell r="M937"/>
          <cell r="N937"/>
        </row>
        <row r="938">
          <cell r="M938"/>
          <cell r="N938"/>
        </row>
        <row r="939">
          <cell r="M939"/>
          <cell r="N939"/>
        </row>
        <row r="940">
          <cell r="M940"/>
          <cell r="N940"/>
        </row>
        <row r="941">
          <cell r="M941"/>
          <cell r="N941"/>
        </row>
        <row r="942">
          <cell r="M942"/>
          <cell r="N942"/>
        </row>
        <row r="943">
          <cell r="M943"/>
          <cell r="N943"/>
        </row>
        <row r="944">
          <cell r="M944"/>
          <cell r="N944"/>
        </row>
        <row r="945">
          <cell r="M945"/>
          <cell r="N945"/>
        </row>
        <row r="946">
          <cell r="M946"/>
          <cell r="N946"/>
        </row>
        <row r="947">
          <cell r="M947"/>
          <cell r="N947"/>
        </row>
        <row r="948">
          <cell r="M948"/>
          <cell r="N948"/>
        </row>
        <row r="949">
          <cell r="M949"/>
          <cell r="N949"/>
        </row>
        <row r="950">
          <cell r="M950"/>
          <cell r="N950"/>
        </row>
        <row r="951">
          <cell r="M951"/>
          <cell r="N951"/>
        </row>
        <row r="952">
          <cell r="M952"/>
          <cell r="N952"/>
        </row>
        <row r="953">
          <cell r="M953"/>
          <cell r="N953"/>
        </row>
        <row r="954">
          <cell r="M954"/>
          <cell r="N954"/>
        </row>
        <row r="955">
          <cell r="M955"/>
          <cell r="N955"/>
        </row>
        <row r="956">
          <cell r="M956"/>
          <cell r="N956"/>
        </row>
        <row r="957">
          <cell r="M957"/>
          <cell r="N957"/>
        </row>
        <row r="958">
          <cell r="M958"/>
          <cell r="N958"/>
        </row>
        <row r="959">
          <cell r="M959"/>
          <cell r="N959"/>
        </row>
        <row r="960">
          <cell r="M960"/>
          <cell r="N960"/>
        </row>
        <row r="961">
          <cell r="M961"/>
          <cell r="N961"/>
        </row>
        <row r="962">
          <cell r="M962"/>
          <cell r="N962"/>
        </row>
        <row r="963">
          <cell r="M963"/>
          <cell r="N963"/>
        </row>
        <row r="964">
          <cell r="M964"/>
          <cell r="N964"/>
        </row>
        <row r="965">
          <cell r="M965"/>
          <cell r="N965"/>
        </row>
        <row r="966">
          <cell r="M966"/>
          <cell r="N966"/>
        </row>
        <row r="967">
          <cell r="M967"/>
          <cell r="N967"/>
        </row>
        <row r="968">
          <cell r="M968"/>
          <cell r="N968"/>
        </row>
        <row r="969">
          <cell r="M969"/>
          <cell r="N969"/>
        </row>
        <row r="970">
          <cell r="M970"/>
          <cell r="N970"/>
        </row>
        <row r="971">
          <cell r="M971"/>
          <cell r="N971"/>
        </row>
        <row r="972">
          <cell r="M972"/>
          <cell r="N972"/>
        </row>
        <row r="973">
          <cell r="M973"/>
          <cell r="N973"/>
        </row>
        <row r="974">
          <cell r="M974"/>
          <cell r="N974"/>
        </row>
        <row r="975">
          <cell r="M975"/>
          <cell r="N975"/>
        </row>
        <row r="976">
          <cell r="M976"/>
          <cell r="N976"/>
        </row>
        <row r="977">
          <cell r="M977"/>
          <cell r="N977"/>
        </row>
        <row r="978">
          <cell r="M978"/>
          <cell r="N978"/>
        </row>
        <row r="979">
          <cell r="M979"/>
          <cell r="N979"/>
        </row>
        <row r="980">
          <cell r="M980"/>
          <cell r="N980"/>
        </row>
        <row r="981">
          <cell r="M981"/>
          <cell r="N981"/>
        </row>
        <row r="982">
          <cell r="M982"/>
          <cell r="N982"/>
        </row>
        <row r="983">
          <cell r="M983"/>
          <cell r="N983"/>
        </row>
        <row r="984">
          <cell r="M984"/>
          <cell r="N984"/>
        </row>
        <row r="985">
          <cell r="M985"/>
          <cell r="N985"/>
        </row>
        <row r="986">
          <cell r="M986"/>
          <cell r="N986"/>
        </row>
        <row r="987">
          <cell r="M987"/>
          <cell r="N987"/>
        </row>
        <row r="988">
          <cell r="M988"/>
          <cell r="N988"/>
        </row>
        <row r="989">
          <cell r="M989"/>
          <cell r="N989"/>
        </row>
        <row r="990">
          <cell r="M990"/>
          <cell r="N990"/>
        </row>
        <row r="991">
          <cell r="M991"/>
          <cell r="N991"/>
        </row>
        <row r="992">
          <cell r="M992"/>
          <cell r="N992"/>
        </row>
        <row r="993">
          <cell r="M993"/>
          <cell r="N993"/>
        </row>
        <row r="994">
          <cell r="M994"/>
          <cell r="N994"/>
        </row>
        <row r="995">
          <cell r="M995"/>
          <cell r="N995"/>
        </row>
        <row r="996">
          <cell r="M996"/>
          <cell r="N996"/>
        </row>
        <row r="997">
          <cell r="M997"/>
          <cell r="N997"/>
        </row>
        <row r="998">
          <cell r="M998"/>
          <cell r="N998"/>
        </row>
        <row r="999">
          <cell r="M999"/>
          <cell r="N999"/>
        </row>
        <row r="1000">
          <cell r="M1000"/>
          <cell r="N1000"/>
        </row>
        <row r="1001">
          <cell r="M1001"/>
          <cell r="N1001"/>
        </row>
        <row r="1002">
          <cell r="M1002"/>
          <cell r="N1002"/>
        </row>
        <row r="1003">
          <cell r="M1003"/>
          <cell r="N1003"/>
        </row>
        <row r="1004">
          <cell r="M1004"/>
          <cell r="N1004"/>
        </row>
        <row r="1005">
          <cell r="M1005"/>
          <cell r="N1005"/>
        </row>
        <row r="1006">
          <cell r="M1006"/>
          <cell r="N1006"/>
        </row>
        <row r="1007">
          <cell r="M1007"/>
          <cell r="N1007"/>
        </row>
        <row r="1008">
          <cell r="M1008"/>
          <cell r="N1008"/>
        </row>
        <row r="1009">
          <cell r="M1009"/>
          <cell r="N1009"/>
        </row>
        <row r="1010">
          <cell r="M1010"/>
          <cell r="N1010"/>
        </row>
        <row r="1011">
          <cell r="M1011"/>
          <cell r="N1011"/>
        </row>
        <row r="1012">
          <cell r="M1012"/>
          <cell r="N1012"/>
        </row>
        <row r="1013">
          <cell r="M1013"/>
          <cell r="N1013"/>
        </row>
        <row r="1014">
          <cell r="M1014"/>
          <cell r="N1014"/>
        </row>
        <row r="1015">
          <cell r="M1015"/>
          <cell r="N1015"/>
        </row>
        <row r="1016">
          <cell r="M1016"/>
          <cell r="N1016"/>
        </row>
        <row r="1017">
          <cell r="M1017"/>
          <cell r="N1017"/>
        </row>
        <row r="1018">
          <cell r="M1018"/>
          <cell r="N1018"/>
        </row>
        <row r="1019">
          <cell r="M1019"/>
          <cell r="N1019"/>
        </row>
        <row r="1020">
          <cell r="M1020"/>
          <cell r="N1020"/>
        </row>
        <row r="1021">
          <cell r="M1021"/>
          <cell r="N1021"/>
        </row>
        <row r="1022">
          <cell r="M1022"/>
          <cell r="N1022"/>
        </row>
        <row r="1023">
          <cell r="M1023"/>
          <cell r="N1023"/>
        </row>
        <row r="1024">
          <cell r="M1024"/>
          <cell r="N1024"/>
        </row>
        <row r="1025">
          <cell r="M1025"/>
          <cell r="N1025"/>
        </row>
        <row r="1026">
          <cell r="M1026"/>
          <cell r="N1026"/>
        </row>
        <row r="1027">
          <cell r="M1027"/>
          <cell r="N1027"/>
        </row>
        <row r="1028">
          <cell r="M1028"/>
          <cell r="N1028"/>
        </row>
        <row r="1029">
          <cell r="M1029"/>
          <cell r="N1029"/>
        </row>
        <row r="1030">
          <cell r="M1030"/>
          <cell r="N1030"/>
        </row>
        <row r="1031">
          <cell r="M1031"/>
          <cell r="N1031"/>
        </row>
        <row r="1032">
          <cell r="M1032"/>
          <cell r="N1032"/>
        </row>
        <row r="1033">
          <cell r="M1033"/>
          <cell r="N1033"/>
        </row>
        <row r="1034">
          <cell r="M1034"/>
          <cell r="N1034"/>
        </row>
        <row r="1035">
          <cell r="M1035"/>
          <cell r="N1035"/>
        </row>
        <row r="1036">
          <cell r="M1036"/>
          <cell r="N1036"/>
        </row>
        <row r="1037">
          <cell r="M1037"/>
          <cell r="N1037"/>
        </row>
        <row r="1038">
          <cell r="M1038"/>
          <cell r="N1038"/>
        </row>
        <row r="1039">
          <cell r="M1039"/>
          <cell r="N1039"/>
        </row>
        <row r="1040">
          <cell r="M1040"/>
          <cell r="N1040"/>
        </row>
        <row r="1041">
          <cell r="M1041"/>
          <cell r="N1041"/>
        </row>
        <row r="1042">
          <cell r="M1042"/>
          <cell r="N1042"/>
        </row>
        <row r="1043">
          <cell r="M1043"/>
          <cell r="N1043"/>
        </row>
        <row r="1044">
          <cell r="M1044"/>
          <cell r="N1044"/>
        </row>
        <row r="1045">
          <cell r="M1045"/>
          <cell r="N1045"/>
        </row>
        <row r="1046">
          <cell r="M1046"/>
          <cell r="N1046"/>
        </row>
        <row r="1047">
          <cell r="M1047"/>
          <cell r="N1047"/>
        </row>
        <row r="1048">
          <cell r="M1048"/>
          <cell r="N1048"/>
        </row>
        <row r="1049">
          <cell r="M1049"/>
          <cell r="N1049"/>
        </row>
        <row r="1050">
          <cell r="M1050"/>
          <cell r="N1050"/>
        </row>
        <row r="1051">
          <cell r="M1051"/>
          <cell r="N1051"/>
        </row>
        <row r="1052">
          <cell r="M1052"/>
          <cell r="N1052"/>
        </row>
        <row r="1053">
          <cell r="M1053"/>
          <cell r="N1053"/>
        </row>
        <row r="1054">
          <cell r="M1054"/>
          <cell r="N1054"/>
        </row>
        <row r="1055">
          <cell r="M1055"/>
          <cell r="N1055"/>
        </row>
        <row r="1056">
          <cell r="M1056"/>
          <cell r="N1056"/>
        </row>
        <row r="1057">
          <cell r="M1057"/>
          <cell r="N1057"/>
        </row>
        <row r="1058">
          <cell r="M1058"/>
          <cell r="N1058"/>
        </row>
        <row r="1059">
          <cell r="M1059"/>
          <cell r="N1059"/>
        </row>
        <row r="1060">
          <cell r="M1060"/>
          <cell r="N1060"/>
        </row>
        <row r="1061">
          <cell r="M1061"/>
          <cell r="N1061"/>
        </row>
        <row r="1062">
          <cell r="M1062"/>
          <cell r="N1062"/>
        </row>
        <row r="1063">
          <cell r="M1063"/>
          <cell r="N1063"/>
        </row>
        <row r="1064">
          <cell r="M1064"/>
          <cell r="N1064"/>
        </row>
        <row r="1065">
          <cell r="M1065"/>
          <cell r="N1065"/>
        </row>
        <row r="1066">
          <cell r="M1066"/>
          <cell r="N1066"/>
        </row>
        <row r="1067">
          <cell r="M1067"/>
          <cell r="N1067"/>
        </row>
        <row r="1068">
          <cell r="M1068"/>
          <cell r="N1068"/>
        </row>
        <row r="1069">
          <cell r="M1069"/>
          <cell r="N1069"/>
        </row>
        <row r="1070">
          <cell r="M1070"/>
          <cell r="N1070"/>
        </row>
        <row r="1071">
          <cell r="M1071"/>
          <cell r="N1071"/>
        </row>
        <row r="1072">
          <cell r="M1072"/>
          <cell r="N1072"/>
        </row>
        <row r="1073">
          <cell r="M1073"/>
          <cell r="N1073"/>
        </row>
        <row r="1074">
          <cell r="M1074"/>
          <cell r="N1074"/>
        </row>
        <row r="1075">
          <cell r="M1075"/>
          <cell r="N1075"/>
        </row>
        <row r="1076">
          <cell r="M1076"/>
          <cell r="N1076"/>
        </row>
        <row r="1077">
          <cell r="M1077"/>
          <cell r="N1077"/>
        </row>
        <row r="1078">
          <cell r="M1078"/>
          <cell r="N1078"/>
        </row>
        <row r="1079">
          <cell r="M1079"/>
          <cell r="N1079"/>
        </row>
        <row r="1080">
          <cell r="M1080"/>
          <cell r="N1080"/>
        </row>
        <row r="1081">
          <cell r="M1081"/>
          <cell r="N1081"/>
        </row>
        <row r="1082">
          <cell r="M1082"/>
          <cell r="N1082"/>
        </row>
        <row r="1083">
          <cell r="M1083"/>
          <cell r="N1083"/>
        </row>
        <row r="1084">
          <cell r="M1084"/>
          <cell r="N1084"/>
        </row>
        <row r="1085">
          <cell r="M1085"/>
          <cell r="N1085"/>
        </row>
        <row r="1086">
          <cell r="M1086"/>
          <cell r="N1086"/>
        </row>
        <row r="1087">
          <cell r="M1087"/>
          <cell r="N1087"/>
        </row>
        <row r="1088">
          <cell r="M1088"/>
          <cell r="N1088"/>
        </row>
        <row r="1089">
          <cell r="M1089"/>
          <cell r="N1089"/>
        </row>
        <row r="1090">
          <cell r="M1090"/>
          <cell r="N1090"/>
        </row>
        <row r="1091">
          <cell r="M1091"/>
          <cell r="N1091"/>
        </row>
        <row r="1092">
          <cell r="M1092"/>
          <cell r="N1092"/>
        </row>
        <row r="1093">
          <cell r="M1093"/>
          <cell r="N1093"/>
        </row>
        <row r="1094">
          <cell r="M1094"/>
          <cell r="N1094"/>
        </row>
        <row r="1095">
          <cell r="M1095"/>
          <cell r="N1095"/>
        </row>
        <row r="1096">
          <cell r="M1096"/>
          <cell r="N1096"/>
        </row>
        <row r="1097">
          <cell r="M1097"/>
          <cell r="N1097"/>
        </row>
        <row r="1098">
          <cell r="M1098"/>
          <cell r="N1098"/>
        </row>
        <row r="1099">
          <cell r="M1099"/>
          <cell r="N1099"/>
        </row>
        <row r="1100">
          <cell r="M1100"/>
          <cell r="N1100"/>
        </row>
        <row r="1101">
          <cell r="M1101"/>
          <cell r="N1101"/>
        </row>
        <row r="1102">
          <cell r="M1102"/>
          <cell r="N1102"/>
        </row>
        <row r="1103">
          <cell r="M1103"/>
          <cell r="N1103"/>
        </row>
        <row r="1104">
          <cell r="M1104"/>
          <cell r="N1104"/>
        </row>
        <row r="1105">
          <cell r="M1105"/>
          <cell r="N1105"/>
        </row>
        <row r="1106">
          <cell r="M1106"/>
          <cell r="N1106"/>
        </row>
        <row r="1107">
          <cell r="M1107"/>
          <cell r="N1107"/>
        </row>
        <row r="1108">
          <cell r="M1108"/>
          <cell r="N1108"/>
        </row>
        <row r="1109">
          <cell r="M1109"/>
          <cell r="N1109"/>
        </row>
        <row r="1110">
          <cell r="M1110"/>
          <cell r="N1110"/>
        </row>
        <row r="1111">
          <cell r="M1111"/>
          <cell r="N1111"/>
        </row>
        <row r="1112">
          <cell r="M1112"/>
          <cell r="N1112"/>
        </row>
        <row r="1113">
          <cell r="M1113"/>
          <cell r="N1113"/>
        </row>
        <row r="1114">
          <cell r="M1114"/>
          <cell r="N1114"/>
        </row>
        <row r="1115">
          <cell r="M1115"/>
          <cell r="N1115"/>
        </row>
        <row r="1116">
          <cell r="M1116"/>
          <cell r="N1116"/>
        </row>
        <row r="1117">
          <cell r="M1117"/>
          <cell r="N1117"/>
        </row>
        <row r="1118">
          <cell r="M1118"/>
          <cell r="N1118"/>
        </row>
        <row r="1119">
          <cell r="M1119"/>
          <cell r="N1119"/>
        </row>
        <row r="1120">
          <cell r="M1120"/>
          <cell r="N1120"/>
        </row>
        <row r="1121">
          <cell r="M1121"/>
          <cell r="N1121"/>
        </row>
        <row r="1122">
          <cell r="M1122"/>
          <cell r="N1122"/>
        </row>
        <row r="1123">
          <cell r="M1123"/>
          <cell r="N1123"/>
        </row>
        <row r="1124">
          <cell r="M1124"/>
          <cell r="N1124"/>
        </row>
        <row r="1125">
          <cell r="M1125"/>
          <cell r="N1125"/>
        </row>
        <row r="1126">
          <cell r="M1126"/>
          <cell r="N1126"/>
        </row>
        <row r="1127">
          <cell r="M1127"/>
          <cell r="N1127"/>
        </row>
        <row r="1128">
          <cell r="M1128"/>
          <cell r="N1128"/>
        </row>
        <row r="1129">
          <cell r="M1129"/>
          <cell r="N1129"/>
        </row>
        <row r="1130">
          <cell r="M1130"/>
          <cell r="N1130"/>
        </row>
        <row r="1131">
          <cell r="M1131"/>
          <cell r="N1131"/>
        </row>
        <row r="1132">
          <cell r="M1132"/>
          <cell r="N1132"/>
        </row>
        <row r="1133">
          <cell r="M1133"/>
          <cell r="N1133"/>
        </row>
        <row r="1134">
          <cell r="M1134"/>
          <cell r="N1134"/>
        </row>
        <row r="1135">
          <cell r="M1135"/>
          <cell r="N1135"/>
        </row>
        <row r="1136">
          <cell r="M1136"/>
          <cell r="N1136"/>
        </row>
        <row r="1137">
          <cell r="M1137"/>
          <cell r="N1137"/>
        </row>
        <row r="1138">
          <cell r="M1138"/>
          <cell r="N1138"/>
        </row>
        <row r="1139">
          <cell r="M1139"/>
          <cell r="N1139"/>
        </row>
        <row r="1140">
          <cell r="M1140"/>
          <cell r="N1140"/>
        </row>
        <row r="1141">
          <cell r="M1141"/>
          <cell r="N1141"/>
        </row>
        <row r="1142">
          <cell r="M1142"/>
          <cell r="N1142"/>
        </row>
        <row r="1143">
          <cell r="M1143"/>
          <cell r="N1143"/>
        </row>
        <row r="1144">
          <cell r="M1144"/>
          <cell r="N1144"/>
        </row>
        <row r="1145">
          <cell r="M1145"/>
          <cell r="N1145"/>
        </row>
        <row r="1146">
          <cell r="M1146"/>
          <cell r="N1146"/>
        </row>
        <row r="1147">
          <cell r="M1147"/>
          <cell r="N1147"/>
        </row>
        <row r="1148">
          <cell r="M1148"/>
          <cell r="N1148"/>
        </row>
        <row r="1149">
          <cell r="M1149"/>
          <cell r="N1149"/>
        </row>
        <row r="1150">
          <cell r="M1150"/>
          <cell r="N1150"/>
        </row>
        <row r="1151">
          <cell r="M1151"/>
          <cell r="N1151"/>
        </row>
        <row r="1152">
          <cell r="M1152"/>
          <cell r="N1152"/>
        </row>
        <row r="1153">
          <cell r="M1153"/>
          <cell r="N1153"/>
        </row>
        <row r="1154">
          <cell r="M1154"/>
          <cell r="N1154"/>
        </row>
        <row r="1155">
          <cell r="M1155"/>
          <cell r="N1155"/>
        </row>
        <row r="1156">
          <cell r="M1156"/>
          <cell r="N1156"/>
        </row>
        <row r="1157">
          <cell r="M1157"/>
          <cell r="N1157"/>
        </row>
        <row r="1158">
          <cell r="M1158"/>
          <cell r="N1158"/>
        </row>
        <row r="1159">
          <cell r="M1159"/>
          <cell r="N1159"/>
        </row>
        <row r="1160">
          <cell r="M1160"/>
          <cell r="N1160"/>
        </row>
        <row r="1161">
          <cell r="M1161"/>
          <cell r="N1161"/>
        </row>
        <row r="1162">
          <cell r="M1162"/>
          <cell r="N1162"/>
        </row>
        <row r="1163">
          <cell r="M1163"/>
          <cell r="N1163"/>
        </row>
        <row r="1164">
          <cell r="M1164"/>
          <cell r="N1164"/>
        </row>
        <row r="1165">
          <cell r="M1165"/>
          <cell r="N1165"/>
        </row>
        <row r="1166">
          <cell r="M1166"/>
          <cell r="N1166"/>
        </row>
        <row r="1167">
          <cell r="M1167"/>
          <cell r="N1167"/>
        </row>
        <row r="1168">
          <cell r="M1168"/>
          <cell r="N1168"/>
        </row>
        <row r="1169">
          <cell r="M1169"/>
          <cell r="N1169"/>
        </row>
        <row r="1170">
          <cell r="M1170"/>
          <cell r="N1170"/>
        </row>
        <row r="1171">
          <cell r="M1171"/>
          <cell r="N1171"/>
        </row>
        <row r="1172">
          <cell r="M1172"/>
          <cell r="N1172"/>
        </row>
        <row r="1173">
          <cell r="M1173"/>
          <cell r="N1173"/>
        </row>
        <row r="1174">
          <cell r="M1174"/>
          <cell r="N1174"/>
        </row>
        <row r="1175">
          <cell r="M1175"/>
          <cell r="N1175"/>
        </row>
        <row r="1176">
          <cell r="M1176"/>
          <cell r="N1176"/>
        </row>
        <row r="1177">
          <cell r="M1177"/>
          <cell r="N1177"/>
        </row>
        <row r="1178">
          <cell r="M1178"/>
          <cell r="N1178"/>
        </row>
        <row r="1179">
          <cell r="M1179"/>
          <cell r="N1179"/>
        </row>
        <row r="1180">
          <cell r="M1180"/>
          <cell r="N1180"/>
        </row>
        <row r="1181">
          <cell r="M1181"/>
          <cell r="N1181"/>
        </row>
        <row r="1182">
          <cell r="M1182"/>
          <cell r="N1182"/>
        </row>
        <row r="1183">
          <cell r="M1183"/>
          <cell r="N1183"/>
        </row>
        <row r="1184">
          <cell r="M1184"/>
          <cell r="N1184"/>
        </row>
        <row r="1185">
          <cell r="M1185"/>
          <cell r="N1185"/>
        </row>
        <row r="1186">
          <cell r="M1186"/>
          <cell r="N1186"/>
        </row>
        <row r="1187">
          <cell r="M1187"/>
          <cell r="N1187"/>
        </row>
        <row r="1188">
          <cell r="M1188"/>
          <cell r="N1188"/>
        </row>
        <row r="1189">
          <cell r="M1189"/>
          <cell r="N1189"/>
        </row>
        <row r="1190">
          <cell r="M1190"/>
          <cell r="N1190"/>
        </row>
        <row r="1191">
          <cell r="M1191"/>
          <cell r="N1191"/>
        </row>
        <row r="1192">
          <cell r="M1192"/>
          <cell r="N1192"/>
        </row>
        <row r="1193">
          <cell r="M1193"/>
          <cell r="N1193"/>
        </row>
        <row r="1194">
          <cell r="M1194"/>
          <cell r="N1194"/>
        </row>
        <row r="1195">
          <cell r="M1195"/>
          <cell r="N1195"/>
        </row>
        <row r="1196">
          <cell r="M1196"/>
          <cell r="N1196"/>
        </row>
        <row r="1197">
          <cell r="M1197"/>
          <cell r="N1197"/>
        </row>
        <row r="1198">
          <cell r="M1198"/>
          <cell r="N1198"/>
        </row>
        <row r="1199">
          <cell r="M1199"/>
          <cell r="N1199"/>
        </row>
        <row r="1200">
          <cell r="M1200"/>
          <cell r="N1200"/>
        </row>
        <row r="1201">
          <cell r="M1201"/>
          <cell r="N1201"/>
        </row>
        <row r="1202">
          <cell r="M1202"/>
          <cell r="N1202"/>
        </row>
        <row r="1203">
          <cell r="M1203"/>
          <cell r="N1203"/>
        </row>
        <row r="1204">
          <cell r="M1204"/>
          <cell r="N1204"/>
        </row>
        <row r="1205">
          <cell r="M1205"/>
          <cell r="N1205"/>
        </row>
        <row r="1206">
          <cell r="M1206"/>
          <cell r="N1206"/>
        </row>
        <row r="1207">
          <cell r="M1207"/>
          <cell r="N1207"/>
        </row>
        <row r="1208">
          <cell r="M1208"/>
          <cell r="N1208"/>
        </row>
        <row r="1209">
          <cell r="M1209"/>
          <cell r="N1209"/>
        </row>
        <row r="1210">
          <cell r="M1210"/>
          <cell r="N1210"/>
        </row>
        <row r="1211">
          <cell r="M1211"/>
          <cell r="N1211"/>
        </row>
        <row r="1212">
          <cell r="M1212"/>
          <cell r="N1212"/>
        </row>
        <row r="1213">
          <cell r="M1213"/>
          <cell r="N1213"/>
        </row>
        <row r="1214">
          <cell r="M1214"/>
          <cell r="N1214"/>
        </row>
        <row r="1215">
          <cell r="M1215"/>
          <cell r="N1215"/>
        </row>
        <row r="1216">
          <cell r="M1216"/>
          <cell r="N1216"/>
        </row>
        <row r="1217">
          <cell r="M1217"/>
          <cell r="N1217"/>
        </row>
        <row r="1218">
          <cell r="M1218"/>
          <cell r="N1218"/>
        </row>
        <row r="1219">
          <cell r="M1219"/>
          <cell r="N1219"/>
        </row>
        <row r="1220">
          <cell r="M1220"/>
          <cell r="N1220"/>
        </row>
        <row r="1221">
          <cell r="M1221"/>
          <cell r="N1221"/>
        </row>
        <row r="1222">
          <cell r="M1222"/>
          <cell r="N1222"/>
        </row>
        <row r="1223">
          <cell r="M1223"/>
          <cell r="N1223"/>
        </row>
        <row r="1224">
          <cell r="M1224"/>
          <cell r="N1224"/>
        </row>
        <row r="1225">
          <cell r="M1225"/>
          <cell r="N1225"/>
        </row>
        <row r="1226">
          <cell r="M1226"/>
          <cell r="N1226"/>
        </row>
        <row r="1227">
          <cell r="M1227"/>
          <cell r="N1227"/>
        </row>
        <row r="1228">
          <cell r="M1228"/>
          <cell r="N1228"/>
        </row>
        <row r="1229">
          <cell r="M1229"/>
          <cell r="N1229"/>
        </row>
        <row r="1230">
          <cell r="M1230"/>
          <cell r="N1230"/>
        </row>
        <row r="1231">
          <cell r="M1231"/>
          <cell r="N1231"/>
        </row>
        <row r="1232">
          <cell r="M1232"/>
          <cell r="N1232"/>
        </row>
        <row r="1233">
          <cell r="M1233"/>
          <cell r="N1233"/>
        </row>
        <row r="1234">
          <cell r="M1234"/>
          <cell r="N1234"/>
        </row>
        <row r="1235">
          <cell r="M1235"/>
          <cell r="N1235"/>
        </row>
        <row r="1236">
          <cell r="M1236"/>
          <cell r="N1236"/>
        </row>
        <row r="1237">
          <cell r="M1237"/>
          <cell r="N1237"/>
        </row>
        <row r="1238">
          <cell r="M1238"/>
          <cell r="N1238"/>
        </row>
        <row r="1239">
          <cell r="M1239"/>
          <cell r="N1239"/>
        </row>
        <row r="1240">
          <cell r="M1240"/>
          <cell r="N1240"/>
        </row>
        <row r="1241">
          <cell r="M1241"/>
          <cell r="N1241"/>
        </row>
        <row r="1242">
          <cell r="M1242"/>
          <cell r="N1242"/>
        </row>
        <row r="1243">
          <cell r="M1243"/>
          <cell r="N1243"/>
        </row>
        <row r="1244">
          <cell r="M1244"/>
          <cell r="N1244"/>
        </row>
        <row r="1245">
          <cell r="M1245"/>
          <cell r="N1245"/>
        </row>
        <row r="1246">
          <cell r="M1246"/>
          <cell r="N1246"/>
        </row>
        <row r="1247">
          <cell r="M1247"/>
          <cell r="N1247"/>
        </row>
        <row r="1248">
          <cell r="M1248"/>
          <cell r="N1248"/>
        </row>
        <row r="1249">
          <cell r="M1249"/>
          <cell r="N1249"/>
        </row>
        <row r="1250">
          <cell r="M1250"/>
          <cell r="N1250"/>
        </row>
        <row r="1251">
          <cell r="M1251"/>
          <cell r="N1251"/>
        </row>
        <row r="1252">
          <cell r="M1252"/>
          <cell r="N1252"/>
        </row>
        <row r="1253">
          <cell r="M1253"/>
          <cell r="N1253"/>
        </row>
        <row r="1254">
          <cell r="M1254"/>
          <cell r="N1254"/>
        </row>
        <row r="1255">
          <cell r="M1255"/>
          <cell r="N1255"/>
        </row>
        <row r="1256">
          <cell r="M1256"/>
          <cell r="N1256"/>
        </row>
        <row r="1257">
          <cell r="M1257"/>
          <cell r="N1257"/>
        </row>
        <row r="1258">
          <cell r="M1258"/>
          <cell r="N1258"/>
        </row>
        <row r="1259">
          <cell r="M1259"/>
          <cell r="N1259"/>
        </row>
        <row r="1260">
          <cell r="M1260"/>
          <cell r="N1260"/>
        </row>
        <row r="1261">
          <cell r="M1261"/>
          <cell r="N1261"/>
        </row>
        <row r="1262">
          <cell r="M1262"/>
          <cell r="N1262"/>
        </row>
        <row r="1263">
          <cell r="M1263"/>
          <cell r="N1263"/>
        </row>
        <row r="1264">
          <cell r="M1264"/>
          <cell r="N1264"/>
        </row>
        <row r="1265">
          <cell r="M1265"/>
          <cell r="N1265"/>
        </row>
        <row r="1266">
          <cell r="M1266"/>
          <cell r="N1266"/>
        </row>
        <row r="1267">
          <cell r="M1267"/>
          <cell r="N1267"/>
        </row>
        <row r="1268">
          <cell r="M1268"/>
          <cell r="N1268"/>
        </row>
        <row r="1269">
          <cell r="M1269"/>
          <cell r="N1269"/>
        </row>
        <row r="1270">
          <cell r="M1270"/>
          <cell r="N1270"/>
        </row>
        <row r="1271">
          <cell r="M1271"/>
          <cell r="N1271"/>
        </row>
        <row r="1272">
          <cell r="M1272"/>
          <cell r="N1272"/>
        </row>
        <row r="1273">
          <cell r="M1273"/>
          <cell r="N1273"/>
        </row>
        <row r="1274">
          <cell r="M1274"/>
          <cell r="N1274"/>
        </row>
        <row r="1275">
          <cell r="M1275"/>
          <cell r="N1275"/>
        </row>
        <row r="1276">
          <cell r="M1276"/>
          <cell r="N1276"/>
        </row>
        <row r="1277">
          <cell r="M1277"/>
          <cell r="N1277"/>
        </row>
        <row r="1278">
          <cell r="M1278"/>
          <cell r="N1278"/>
        </row>
        <row r="1279">
          <cell r="M1279"/>
          <cell r="N1279"/>
        </row>
        <row r="1280">
          <cell r="M1280"/>
          <cell r="N1280"/>
        </row>
        <row r="1281">
          <cell r="M1281"/>
          <cell r="N1281"/>
        </row>
        <row r="1282">
          <cell r="M1282"/>
          <cell r="N1282"/>
        </row>
        <row r="1283">
          <cell r="M1283"/>
          <cell r="N1283"/>
        </row>
        <row r="1284">
          <cell r="M1284"/>
          <cell r="N1284"/>
        </row>
        <row r="1285">
          <cell r="M1285"/>
          <cell r="N1285"/>
        </row>
        <row r="1286">
          <cell r="M1286"/>
          <cell r="N1286"/>
        </row>
        <row r="1287">
          <cell r="M1287"/>
          <cell r="N1287"/>
        </row>
        <row r="1288">
          <cell r="M1288"/>
          <cell r="N1288"/>
        </row>
        <row r="1289">
          <cell r="M1289"/>
          <cell r="N1289"/>
        </row>
        <row r="1290">
          <cell r="M1290"/>
          <cell r="N1290"/>
        </row>
        <row r="1291">
          <cell r="M1291"/>
          <cell r="N1291"/>
        </row>
        <row r="1292">
          <cell r="M1292"/>
          <cell r="N1292"/>
        </row>
        <row r="1293">
          <cell r="M1293"/>
          <cell r="N1293"/>
        </row>
        <row r="1294">
          <cell r="M1294"/>
          <cell r="N1294"/>
        </row>
        <row r="1295">
          <cell r="M1295"/>
          <cell r="N1295"/>
        </row>
        <row r="1296">
          <cell r="M1296"/>
          <cell r="N1296"/>
        </row>
        <row r="1297">
          <cell r="M1297"/>
          <cell r="N1297"/>
        </row>
        <row r="1298">
          <cell r="M1298"/>
          <cell r="N1298"/>
        </row>
        <row r="1299">
          <cell r="M1299"/>
          <cell r="N1299"/>
        </row>
        <row r="1300">
          <cell r="M1300"/>
          <cell r="N1300"/>
        </row>
        <row r="1301">
          <cell r="M1301"/>
          <cell r="N1301"/>
        </row>
        <row r="1302">
          <cell r="M1302"/>
          <cell r="N1302"/>
        </row>
        <row r="1303">
          <cell r="M1303"/>
          <cell r="N1303"/>
        </row>
        <row r="1304">
          <cell r="M1304"/>
          <cell r="N1304"/>
        </row>
        <row r="1305">
          <cell r="M1305"/>
          <cell r="N1305"/>
        </row>
        <row r="1306">
          <cell r="M1306"/>
          <cell r="N1306"/>
        </row>
        <row r="1307">
          <cell r="M1307"/>
          <cell r="N1307"/>
        </row>
        <row r="1308">
          <cell r="M1308"/>
          <cell r="N1308"/>
        </row>
        <row r="1309">
          <cell r="M1309"/>
          <cell r="N1309"/>
        </row>
        <row r="1310">
          <cell r="M1310"/>
          <cell r="N1310"/>
        </row>
        <row r="1311">
          <cell r="M1311"/>
          <cell r="N1311"/>
        </row>
        <row r="1312">
          <cell r="M1312"/>
          <cell r="N1312"/>
        </row>
        <row r="1313">
          <cell r="M1313"/>
          <cell r="N1313"/>
        </row>
        <row r="1314">
          <cell r="M1314"/>
          <cell r="N1314"/>
        </row>
        <row r="1315">
          <cell r="M1315"/>
          <cell r="N1315"/>
        </row>
        <row r="1316">
          <cell r="M1316"/>
          <cell r="N1316"/>
        </row>
        <row r="1317">
          <cell r="M1317"/>
          <cell r="N1317"/>
        </row>
        <row r="1318">
          <cell r="M1318"/>
          <cell r="N1318"/>
        </row>
        <row r="1319">
          <cell r="M1319"/>
          <cell r="N1319"/>
        </row>
        <row r="1320">
          <cell r="M1320"/>
          <cell r="N1320"/>
        </row>
        <row r="1321">
          <cell r="M1321"/>
          <cell r="N1321"/>
        </row>
        <row r="1322">
          <cell r="M1322"/>
          <cell r="N1322"/>
        </row>
        <row r="1323">
          <cell r="M1323"/>
          <cell r="N1323"/>
        </row>
        <row r="1324">
          <cell r="M1324"/>
          <cell r="N1324"/>
        </row>
        <row r="1325">
          <cell r="M1325"/>
          <cell r="N1325"/>
        </row>
        <row r="1326">
          <cell r="M1326"/>
          <cell r="N1326"/>
        </row>
        <row r="1327">
          <cell r="M1327"/>
          <cell r="N1327"/>
        </row>
        <row r="1328">
          <cell r="M1328"/>
          <cell r="N1328"/>
        </row>
        <row r="1329">
          <cell r="M1329"/>
          <cell r="N1329"/>
        </row>
        <row r="1330">
          <cell r="M1330"/>
          <cell r="N1330"/>
        </row>
        <row r="1331">
          <cell r="M1331"/>
          <cell r="N1331"/>
        </row>
        <row r="1332">
          <cell r="M1332"/>
          <cell r="N1332"/>
        </row>
        <row r="1333">
          <cell r="M1333"/>
          <cell r="N1333"/>
        </row>
        <row r="1334">
          <cell r="M1334"/>
          <cell r="N1334"/>
        </row>
        <row r="1335">
          <cell r="M1335"/>
          <cell r="N1335"/>
        </row>
        <row r="1336">
          <cell r="M1336"/>
          <cell r="N1336"/>
        </row>
        <row r="1337">
          <cell r="M1337"/>
          <cell r="N1337"/>
        </row>
        <row r="1338">
          <cell r="M1338"/>
          <cell r="N1338"/>
        </row>
        <row r="1339">
          <cell r="M1339"/>
          <cell r="N1339"/>
        </row>
        <row r="1340">
          <cell r="M1340"/>
          <cell r="N1340"/>
        </row>
        <row r="1341">
          <cell r="M1341"/>
          <cell r="N1341"/>
        </row>
        <row r="1342">
          <cell r="M1342"/>
          <cell r="N1342"/>
        </row>
        <row r="1343">
          <cell r="M1343"/>
          <cell r="N1343"/>
        </row>
        <row r="1344">
          <cell r="M1344"/>
          <cell r="N1344"/>
        </row>
        <row r="1345">
          <cell r="M1345"/>
          <cell r="N1345"/>
        </row>
        <row r="1346">
          <cell r="M1346"/>
          <cell r="N1346"/>
        </row>
        <row r="1347">
          <cell r="M1347"/>
          <cell r="N1347"/>
        </row>
        <row r="1348">
          <cell r="M1348"/>
          <cell r="N1348"/>
        </row>
        <row r="1349">
          <cell r="M1349"/>
          <cell r="N1349"/>
        </row>
        <row r="1350">
          <cell r="M1350"/>
          <cell r="N1350"/>
        </row>
        <row r="1351">
          <cell r="M1351"/>
          <cell r="N1351"/>
        </row>
        <row r="1352">
          <cell r="M1352"/>
          <cell r="N1352"/>
        </row>
        <row r="1353">
          <cell r="M1353"/>
          <cell r="N1353"/>
        </row>
        <row r="1354">
          <cell r="M1354"/>
          <cell r="N1354"/>
        </row>
        <row r="1355">
          <cell r="M1355"/>
          <cell r="N1355"/>
        </row>
        <row r="1356">
          <cell r="M1356"/>
          <cell r="N1356"/>
        </row>
        <row r="1357">
          <cell r="M1357"/>
          <cell r="N1357"/>
        </row>
        <row r="1358">
          <cell r="M1358"/>
          <cell r="N1358"/>
        </row>
        <row r="1359">
          <cell r="M1359"/>
          <cell r="N1359"/>
        </row>
        <row r="1360">
          <cell r="M1360"/>
          <cell r="N1360"/>
        </row>
        <row r="1361">
          <cell r="M1361"/>
          <cell r="N1361"/>
        </row>
        <row r="1362">
          <cell r="M1362"/>
          <cell r="N1362"/>
        </row>
        <row r="1363">
          <cell r="M1363"/>
          <cell r="N1363"/>
        </row>
        <row r="1364">
          <cell r="M1364"/>
          <cell r="N1364"/>
        </row>
        <row r="1365">
          <cell r="M1365"/>
          <cell r="N1365"/>
        </row>
        <row r="1366">
          <cell r="M1366"/>
          <cell r="N1366"/>
        </row>
        <row r="1367">
          <cell r="M1367"/>
          <cell r="N1367"/>
        </row>
        <row r="1368">
          <cell r="M1368"/>
          <cell r="N1368"/>
        </row>
        <row r="1369">
          <cell r="M1369"/>
          <cell r="N1369"/>
        </row>
        <row r="1370">
          <cell r="M1370"/>
          <cell r="N1370"/>
        </row>
        <row r="1371">
          <cell r="M1371"/>
          <cell r="N1371"/>
        </row>
        <row r="1372">
          <cell r="M1372"/>
          <cell r="N1372"/>
        </row>
        <row r="1373">
          <cell r="M1373"/>
          <cell r="N1373"/>
        </row>
        <row r="1374">
          <cell r="M1374"/>
          <cell r="N1374"/>
        </row>
        <row r="1375">
          <cell r="M1375"/>
          <cell r="N1375"/>
        </row>
        <row r="1376">
          <cell r="M1376"/>
          <cell r="N1376"/>
        </row>
        <row r="1377">
          <cell r="M1377"/>
          <cell r="N1377"/>
        </row>
        <row r="1378">
          <cell r="M1378"/>
          <cell r="N1378"/>
        </row>
        <row r="1379">
          <cell r="M1379"/>
          <cell r="N1379"/>
        </row>
        <row r="1380">
          <cell r="M1380"/>
          <cell r="N1380"/>
        </row>
        <row r="1381">
          <cell r="M1381"/>
          <cell r="N1381"/>
        </row>
        <row r="1382">
          <cell r="M1382"/>
          <cell r="N1382"/>
        </row>
        <row r="1383">
          <cell r="M1383"/>
          <cell r="N1383"/>
        </row>
        <row r="1384">
          <cell r="M1384"/>
          <cell r="N1384"/>
        </row>
        <row r="1385">
          <cell r="M1385"/>
          <cell r="N1385"/>
        </row>
        <row r="1386">
          <cell r="M1386"/>
          <cell r="N1386"/>
        </row>
        <row r="1387">
          <cell r="M1387"/>
          <cell r="N1387"/>
        </row>
        <row r="1388">
          <cell r="M1388"/>
          <cell r="N1388"/>
        </row>
        <row r="1389">
          <cell r="M1389"/>
          <cell r="N1389"/>
        </row>
        <row r="1390">
          <cell r="M1390"/>
          <cell r="N1390"/>
        </row>
        <row r="1391">
          <cell r="M1391"/>
          <cell r="N1391"/>
        </row>
        <row r="1392">
          <cell r="M1392"/>
          <cell r="N1392"/>
        </row>
        <row r="1393">
          <cell r="M1393"/>
          <cell r="N1393"/>
        </row>
        <row r="1394">
          <cell r="M1394"/>
          <cell r="N1394"/>
        </row>
        <row r="1395">
          <cell r="M1395"/>
          <cell r="N1395"/>
        </row>
        <row r="1396">
          <cell r="M1396"/>
          <cell r="N1396"/>
        </row>
        <row r="1397">
          <cell r="M1397"/>
          <cell r="N1397"/>
        </row>
        <row r="1398">
          <cell r="M1398"/>
          <cell r="N1398"/>
        </row>
        <row r="1399">
          <cell r="M1399"/>
          <cell r="N1399"/>
        </row>
        <row r="1400">
          <cell r="M1400"/>
          <cell r="N1400"/>
        </row>
        <row r="1401">
          <cell r="M1401"/>
          <cell r="N1401"/>
        </row>
        <row r="1402">
          <cell r="M1402"/>
          <cell r="N1402"/>
        </row>
        <row r="1403">
          <cell r="M1403"/>
          <cell r="N1403"/>
        </row>
        <row r="1404">
          <cell r="M1404"/>
          <cell r="N1404"/>
        </row>
        <row r="1405">
          <cell r="M1405"/>
          <cell r="N1405"/>
        </row>
        <row r="1406">
          <cell r="M1406"/>
          <cell r="N1406"/>
        </row>
        <row r="1407">
          <cell r="M1407"/>
          <cell r="N1407"/>
        </row>
        <row r="1408">
          <cell r="M1408"/>
          <cell r="N1408"/>
        </row>
        <row r="1409">
          <cell r="M1409"/>
          <cell r="N1409"/>
        </row>
        <row r="1410">
          <cell r="M1410"/>
          <cell r="N1410"/>
        </row>
        <row r="1411">
          <cell r="M1411"/>
          <cell r="N1411"/>
        </row>
        <row r="1412">
          <cell r="M1412"/>
          <cell r="N1412"/>
        </row>
        <row r="1413">
          <cell r="M1413"/>
          <cell r="N1413"/>
        </row>
        <row r="1414">
          <cell r="M1414"/>
          <cell r="N1414"/>
        </row>
        <row r="1415">
          <cell r="M1415"/>
          <cell r="N1415"/>
        </row>
        <row r="1416">
          <cell r="M1416"/>
          <cell r="N1416"/>
        </row>
        <row r="1417">
          <cell r="M1417"/>
          <cell r="N1417"/>
        </row>
        <row r="1418">
          <cell r="M1418"/>
          <cell r="N1418"/>
        </row>
        <row r="1419">
          <cell r="M1419"/>
          <cell r="N1419"/>
        </row>
        <row r="1420">
          <cell r="M1420"/>
          <cell r="N1420"/>
        </row>
        <row r="1421">
          <cell r="M1421"/>
          <cell r="N1421"/>
        </row>
        <row r="1422">
          <cell r="M1422"/>
          <cell r="N1422"/>
        </row>
        <row r="1423">
          <cell r="M1423"/>
          <cell r="N1423"/>
        </row>
        <row r="1424">
          <cell r="M1424"/>
          <cell r="N1424"/>
        </row>
        <row r="1425">
          <cell r="M1425"/>
          <cell r="N1425"/>
        </row>
        <row r="1426">
          <cell r="M1426"/>
          <cell r="N1426"/>
        </row>
        <row r="1427">
          <cell r="M1427"/>
          <cell r="N1427"/>
        </row>
        <row r="1428">
          <cell r="M1428"/>
          <cell r="N1428"/>
        </row>
        <row r="1429">
          <cell r="M1429"/>
          <cell r="N1429"/>
        </row>
        <row r="1430">
          <cell r="M1430"/>
          <cell r="N1430"/>
        </row>
        <row r="1431">
          <cell r="M1431"/>
          <cell r="N1431"/>
        </row>
        <row r="1432">
          <cell r="M1432"/>
          <cell r="N1432"/>
        </row>
        <row r="1433">
          <cell r="M1433"/>
          <cell r="N1433"/>
        </row>
        <row r="1434">
          <cell r="M1434"/>
          <cell r="N1434"/>
        </row>
        <row r="1435">
          <cell r="M1435"/>
          <cell r="N1435"/>
        </row>
        <row r="1436">
          <cell r="M1436"/>
          <cell r="N1436"/>
        </row>
        <row r="1437">
          <cell r="M1437"/>
          <cell r="N1437"/>
        </row>
        <row r="1438">
          <cell r="M1438"/>
          <cell r="N1438"/>
        </row>
        <row r="1439">
          <cell r="M1439"/>
          <cell r="N1439"/>
        </row>
        <row r="1440">
          <cell r="M1440"/>
          <cell r="N1440"/>
        </row>
        <row r="1441">
          <cell r="M1441"/>
          <cell r="N1441"/>
        </row>
        <row r="1442">
          <cell r="M1442"/>
          <cell r="N1442"/>
        </row>
        <row r="1443">
          <cell r="M1443"/>
          <cell r="N1443"/>
        </row>
        <row r="1444">
          <cell r="M1444"/>
          <cell r="N1444"/>
        </row>
        <row r="1445">
          <cell r="M1445"/>
          <cell r="N1445"/>
        </row>
        <row r="1446">
          <cell r="M1446"/>
          <cell r="N1446"/>
        </row>
        <row r="1447">
          <cell r="M1447"/>
          <cell r="N1447"/>
        </row>
        <row r="1448">
          <cell r="M1448"/>
          <cell r="N1448"/>
        </row>
        <row r="1449">
          <cell r="M1449"/>
          <cell r="N1449"/>
        </row>
        <row r="1450">
          <cell r="M1450"/>
          <cell r="N1450"/>
        </row>
        <row r="1451">
          <cell r="M1451"/>
          <cell r="N1451"/>
        </row>
        <row r="1452">
          <cell r="M1452"/>
          <cell r="N1452"/>
        </row>
        <row r="1453">
          <cell r="M1453"/>
          <cell r="N1453"/>
        </row>
        <row r="1454">
          <cell r="M1454"/>
          <cell r="N1454"/>
        </row>
        <row r="1455">
          <cell r="M1455"/>
          <cell r="N1455"/>
        </row>
        <row r="1456">
          <cell r="M1456"/>
          <cell r="N1456"/>
        </row>
        <row r="1457">
          <cell r="M1457"/>
          <cell r="N1457"/>
        </row>
        <row r="1458">
          <cell r="M1458"/>
          <cell r="N1458"/>
        </row>
        <row r="1459">
          <cell r="M1459"/>
          <cell r="N1459"/>
        </row>
        <row r="1460">
          <cell r="M1460"/>
          <cell r="N1460"/>
        </row>
        <row r="1461">
          <cell r="M1461"/>
          <cell r="N1461"/>
        </row>
        <row r="1462">
          <cell r="M1462"/>
          <cell r="N1462"/>
        </row>
        <row r="1463">
          <cell r="M1463"/>
          <cell r="N1463"/>
        </row>
        <row r="1464">
          <cell r="M1464"/>
          <cell r="N1464"/>
        </row>
        <row r="1465">
          <cell r="M1465"/>
          <cell r="N1465"/>
        </row>
        <row r="1466">
          <cell r="M1466"/>
          <cell r="N1466"/>
        </row>
        <row r="1467">
          <cell r="M1467"/>
          <cell r="N1467"/>
        </row>
        <row r="1468">
          <cell r="M1468"/>
          <cell r="N1468"/>
        </row>
        <row r="1469">
          <cell r="M1469"/>
          <cell r="N1469"/>
        </row>
        <row r="1470">
          <cell r="M1470"/>
          <cell r="N1470"/>
        </row>
        <row r="1471">
          <cell r="M1471"/>
          <cell r="N1471"/>
        </row>
        <row r="1472">
          <cell r="M1472"/>
          <cell r="N1472"/>
        </row>
        <row r="1473">
          <cell r="M1473"/>
          <cell r="N1473"/>
        </row>
        <row r="1474">
          <cell r="M1474"/>
          <cell r="N1474"/>
        </row>
        <row r="1475">
          <cell r="M1475"/>
          <cell r="N1475"/>
        </row>
        <row r="1476">
          <cell r="M1476"/>
          <cell r="N1476"/>
        </row>
        <row r="1477">
          <cell r="M1477"/>
          <cell r="N1477"/>
        </row>
        <row r="1478">
          <cell r="M1478"/>
          <cell r="N1478"/>
        </row>
        <row r="1479">
          <cell r="M1479"/>
          <cell r="N1479"/>
        </row>
        <row r="1480">
          <cell r="M1480"/>
          <cell r="N1480"/>
        </row>
        <row r="1481">
          <cell r="M1481"/>
          <cell r="N1481"/>
        </row>
        <row r="1482">
          <cell r="M1482"/>
          <cell r="N1482"/>
        </row>
        <row r="1483">
          <cell r="M1483"/>
          <cell r="N1483"/>
        </row>
        <row r="1484">
          <cell r="M1484"/>
          <cell r="N1484"/>
        </row>
        <row r="1485">
          <cell r="M1485"/>
          <cell r="N1485"/>
        </row>
        <row r="1486">
          <cell r="M1486"/>
          <cell r="N1486"/>
        </row>
        <row r="1487">
          <cell r="M1487"/>
          <cell r="N1487"/>
        </row>
        <row r="1488">
          <cell r="M1488"/>
          <cell r="N1488"/>
        </row>
        <row r="1489">
          <cell r="M1489"/>
          <cell r="N1489"/>
        </row>
        <row r="1490">
          <cell r="M1490"/>
          <cell r="N1490"/>
        </row>
        <row r="1491">
          <cell r="M1491"/>
          <cell r="N1491"/>
        </row>
        <row r="1492">
          <cell r="M1492"/>
          <cell r="N1492"/>
        </row>
        <row r="1493">
          <cell r="M1493"/>
          <cell r="N1493"/>
        </row>
        <row r="1494">
          <cell r="M1494"/>
          <cell r="N1494"/>
        </row>
        <row r="1495">
          <cell r="M1495"/>
          <cell r="N1495"/>
        </row>
        <row r="1496">
          <cell r="M1496"/>
          <cell r="N1496"/>
        </row>
        <row r="1497">
          <cell r="M1497"/>
          <cell r="N1497"/>
        </row>
        <row r="1498">
          <cell r="M1498"/>
          <cell r="N1498"/>
        </row>
        <row r="1499">
          <cell r="M1499"/>
          <cell r="N1499"/>
        </row>
        <row r="1500">
          <cell r="M1500"/>
          <cell r="N1500"/>
        </row>
        <row r="1501">
          <cell r="M1501"/>
          <cell r="N1501"/>
        </row>
        <row r="1502">
          <cell r="M1502"/>
          <cell r="N1502"/>
        </row>
        <row r="1503">
          <cell r="M1503"/>
          <cell r="N1503"/>
        </row>
        <row r="1504">
          <cell r="M1504"/>
          <cell r="N1504"/>
        </row>
        <row r="1505">
          <cell r="M1505"/>
          <cell r="N1505"/>
        </row>
        <row r="1506">
          <cell r="M1506"/>
          <cell r="N1506"/>
        </row>
        <row r="1507">
          <cell r="M1507"/>
          <cell r="N1507"/>
        </row>
        <row r="1508">
          <cell r="M1508"/>
          <cell r="N1508"/>
        </row>
        <row r="1509">
          <cell r="M1509"/>
          <cell r="N1509"/>
        </row>
        <row r="1510">
          <cell r="M1510"/>
          <cell r="N1510"/>
        </row>
        <row r="1511">
          <cell r="M1511"/>
          <cell r="N1511"/>
        </row>
        <row r="1512">
          <cell r="M1512"/>
          <cell r="N1512"/>
        </row>
        <row r="1513">
          <cell r="M1513"/>
          <cell r="N1513"/>
        </row>
        <row r="1514">
          <cell r="M1514"/>
          <cell r="N1514"/>
        </row>
        <row r="1515">
          <cell r="M1515"/>
          <cell r="N1515"/>
        </row>
        <row r="1516">
          <cell r="M1516"/>
          <cell r="N1516"/>
        </row>
        <row r="1517">
          <cell r="M1517"/>
          <cell r="N1517"/>
        </row>
        <row r="1518">
          <cell r="M1518"/>
          <cell r="N1518"/>
        </row>
        <row r="1519">
          <cell r="M1519"/>
          <cell r="N1519"/>
        </row>
        <row r="1520">
          <cell r="M1520"/>
          <cell r="N1520"/>
        </row>
        <row r="1521">
          <cell r="M1521"/>
          <cell r="N1521"/>
        </row>
        <row r="1522">
          <cell r="M1522"/>
          <cell r="N1522"/>
        </row>
        <row r="1523">
          <cell r="M1523"/>
          <cell r="N1523"/>
        </row>
        <row r="1524">
          <cell r="M1524"/>
          <cell r="N1524"/>
        </row>
        <row r="1525">
          <cell r="M1525"/>
          <cell r="N1525"/>
        </row>
        <row r="1526">
          <cell r="M1526"/>
          <cell r="N1526"/>
        </row>
        <row r="1527">
          <cell r="M1527"/>
          <cell r="N1527"/>
        </row>
        <row r="1528">
          <cell r="M1528"/>
          <cell r="N1528"/>
        </row>
        <row r="1529">
          <cell r="M1529"/>
          <cell r="N1529"/>
        </row>
        <row r="1530">
          <cell r="M1530"/>
          <cell r="N1530"/>
        </row>
        <row r="1531">
          <cell r="M1531"/>
          <cell r="N1531"/>
        </row>
        <row r="1532">
          <cell r="M1532"/>
          <cell r="N1532"/>
        </row>
        <row r="1533">
          <cell r="M1533"/>
          <cell r="N1533"/>
        </row>
        <row r="1534">
          <cell r="M1534"/>
          <cell r="N1534"/>
        </row>
        <row r="1535">
          <cell r="M1535"/>
          <cell r="N1535"/>
        </row>
        <row r="1536">
          <cell r="M1536"/>
          <cell r="N1536"/>
        </row>
        <row r="1537">
          <cell r="M1537"/>
          <cell r="N1537"/>
        </row>
        <row r="1538">
          <cell r="M1538"/>
          <cell r="N1538"/>
        </row>
        <row r="1539">
          <cell r="M1539"/>
          <cell r="N1539"/>
        </row>
        <row r="1540">
          <cell r="M1540"/>
          <cell r="N1540"/>
        </row>
        <row r="1541">
          <cell r="M1541"/>
          <cell r="N1541"/>
        </row>
        <row r="1542">
          <cell r="M1542"/>
          <cell r="N1542"/>
        </row>
        <row r="1543">
          <cell r="M1543"/>
          <cell r="N1543"/>
        </row>
        <row r="1544">
          <cell r="M1544"/>
          <cell r="N1544"/>
        </row>
        <row r="1545">
          <cell r="M1545"/>
          <cell r="N1545"/>
        </row>
        <row r="1546">
          <cell r="M1546"/>
          <cell r="N1546"/>
        </row>
        <row r="1547">
          <cell r="M1547"/>
          <cell r="N1547"/>
        </row>
        <row r="1548">
          <cell r="M1548"/>
          <cell r="N1548"/>
        </row>
        <row r="1549">
          <cell r="M1549"/>
          <cell r="N1549"/>
        </row>
        <row r="1550">
          <cell r="M1550"/>
          <cell r="N1550"/>
        </row>
        <row r="1551">
          <cell r="M1551"/>
          <cell r="N1551"/>
        </row>
        <row r="1552">
          <cell r="M1552"/>
          <cell r="N1552"/>
        </row>
        <row r="1553">
          <cell r="M1553"/>
          <cell r="N1553"/>
        </row>
        <row r="1554">
          <cell r="M1554"/>
          <cell r="N1554"/>
        </row>
        <row r="1555">
          <cell r="M1555"/>
          <cell r="N1555"/>
        </row>
        <row r="1556">
          <cell r="M1556"/>
          <cell r="N1556"/>
        </row>
        <row r="1557">
          <cell r="M1557"/>
          <cell r="N1557"/>
        </row>
        <row r="1558">
          <cell r="M1558"/>
          <cell r="N1558"/>
        </row>
        <row r="1559">
          <cell r="M1559"/>
          <cell r="N1559"/>
        </row>
        <row r="1560">
          <cell r="M1560"/>
          <cell r="N1560"/>
        </row>
        <row r="1561">
          <cell r="M1561"/>
          <cell r="N1561"/>
        </row>
        <row r="1562">
          <cell r="M1562"/>
          <cell r="N1562"/>
        </row>
        <row r="1563">
          <cell r="M1563"/>
          <cell r="N1563"/>
        </row>
        <row r="1564">
          <cell r="M1564"/>
          <cell r="N1564"/>
        </row>
        <row r="1565">
          <cell r="M1565"/>
          <cell r="N1565"/>
        </row>
        <row r="1566">
          <cell r="M1566"/>
          <cell r="N1566"/>
        </row>
        <row r="1567">
          <cell r="M1567"/>
          <cell r="N1567"/>
        </row>
        <row r="1568">
          <cell r="M1568"/>
          <cell r="N1568"/>
        </row>
        <row r="1569">
          <cell r="M1569"/>
          <cell r="N1569"/>
        </row>
        <row r="1570">
          <cell r="M1570"/>
          <cell r="N1570"/>
        </row>
        <row r="1571">
          <cell r="M1571"/>
          <cell r="N1571"/>
        </row>
        <row r="1572">
          <cell r="M1572"/>
          <cell r="N1572"/>
        </row>
        <row r="1573">
          <cell r="M1573"/>
          <cell r="N1573"/>
        </row>
        <row r="1574">
          <cell r="M1574"/>
          <cell r="N1574"/>
        </row>
        <row r="1575">
          <cell r="M1575"/>
          <cell r="N1575"/>
        </row>
        <row r="1576">
          <cell r="M1576"/>
          <cell r="N1576"/>
        </row>
        <row r="1577">
          <cell r="M1577"/>
          <cell r="N1577"/>
        </row>
        <row r="1578">
          <cell r="M1578"/>
          <cell r="N1578"/>
        </row>
        <row r="1579">
          <cell r="M1579"/>
          <cell r="N1579"/>
        </row>
        <row r="1580">
          <cell r="M1580"/>
          <cell r="N1580"/>
        </row>
        <row r="1581">
          <cell r="M1581"/>
          <cell r="N1581"/>
        </row>
        <row r="1582">
          <cell r="M1582"/>
          <cell r="N1582"/>
        </row>
        <row r="1583">
          <cell r="M1583"/>
          <cell r="N1583"/>
        </row>
        <row r="1584">
          <cell r="M1584"/>
          <cell r="N1584"/>
        </row>
        <row r="1585">
          <cell r="M1585"/>
          <cell r="N1585"/>
        </row>
        <row r="1586">
          <cell r="M1586"/>
          <cell r="N1586"/>
        </row>
        <row r="1587">
          <cell r="M1587"/>
          <cell r="N1587"/>
        </row>
        <row r="1588">
          <cell r="M1588"/>
          <cell r="N1588"/>
        </row>
        <row r="1589">
          <cell r="M1589"/>
          <cell r="N1589"/>
        </row>
        <row r="1590">
          <cell r="M1590"/>
          <cell r="N1590"/>
        </row>
        <row r="1591">
          <cell r="M1591"/>
          <cell r="N1591"/>
        </row>
        <row r="1592">
          <cell r="M1592"/>
          <cell r="N1592"/>
        </row>
        <row r="1593">
          <cell r="M1593"/>
          <cell r="N1593"/>
        </row>
        <row r="1594">
          <cell r="M1594"/>
          <cell r="N1594"/>
        </row>
        <row r="1595">
          <cell r="M1595"/>
          <cell r="N1595"/>
        </row>
        <row r="1596">
          <cell r="M1596"/>
          <cell r="N1596"/>
        </row>
        <row r="1597">
          <cell r="M1597"/>
          <cell r="N1597"/>
        </row>
        <row r="1598">
          <cell r="M1598"/>
          <cell r="N1598"/>
        </row>
        <row r="1599">
          <cell r="M1599"/>
          <cell r="N1599"/>
        </row>
        <row r="1600">
          <cell r="M1600"/>
          <cell r="N1600"/>
        </row>
        <row r="1601">
          <cell r="M1601"/>
          <cell r="N1601"/>
        </row>
        <row r="1602">
          <cell r="M1602"/>
          <cell r="N1602"/>
        </row>
        <row r="1603">
          <cell r="M1603"/>
          <cell r="N1603"/>
        </row>
        <row r="1604">
          <cell r="M1604"/>
          <cell r="N1604"/>
        </row>
        <row r="1605">
          <cell r="M1605"/>
          <cell r="N1605"/>
        </row>
        <row r="1606">
          <cell r="M1606"/>
          <cell r="N1606"/>
        </row>
        <row r="1607">
          <cell r="M1607"/>
          <cell r="N1607"/>
        </row>
        <row r="1608">
          <cell r="M1608"/>
          <cell r="N1608"/>
        </row>
        <row r="1609">
          <cell r="M1609"/>
          <cell r="N1609"/>
        </row>
        <row r="1610">
          <cell r="M1610"/>
          <cell r="N1610"/>
        </row>
        <row r="1611">
          <cell r="M1611"/>
          <cell r="N1611"/>
        </row>
        <row r="1612">
          <cell r="M1612"/>
          <cell r="N1612"/>
        </row>
        <row r="1613">
          <cell r="M1613"/>
          <cell r="N1613"/>
        </row>
        <row r="1614">
          <cell r="M1614"/>
          <cell r="N1614"/>
        </row>
        <row r="1615">
          <cell r="M1615"/>
          <cell r="N1615"/>
        </row>
        <row r="1616">
          <cell r="M1616"/>
          <cell r="N1616"/>
        </row>
        <row r="1617">
          <cell r="M1617"/>
          <cell r="N1617"/>
        </row>
        <row r="1618">
          <cell r="M1618"/>
          <cell r="N1618"/>
        </row>
        <row r="1619">
          <cell r="M1619"/>
          <cell r="N1619"/>
        </row>
        <row r="1620">
          <cell r="M1620"/>
          <cell r="N1620"/>
        </row>
        <row r="1621">
          <cell r="M1621"/>
          <cell r="N1621"/>
        </row>
        <row r="1622">
          <cell r="M1622"/>
          <cell r="N1622"/>
        </row>
        <row r="1623">
          <cell r="M1623"/>
          <cell r="N1623"/>
        </row>
        <row r="1624">
          <cell r="M1624"/>
          <cell r="N1624"/>
        </row>
        <row r="1625">
          <cell r="M1625"/>
          <cell r="N1625"/>
        </row>
        <row r="1626">
          <cell r="M1626"/>
          <cell r="N1626"/>
        </row>
        <row r="1627">
          <cell r="M1627"/>
          <cell r="N1627"/>
        </row>
        <row r="1628">
          <cell r="M1628"/>
          <cell r="N1628"/>
        </row>
        <row r="1629">
          <cell r="M1629"/>
          <cell r="N1629"/>
        </row>
        <row r="1630">
          <cell r="M1630"/>
          <cell r="N1630"/>
        </row>
        <row r="1631">
          <cell r="M1631"/>
          <cell r="N1631"/>
        </row>
        <row r="1632">
          <cell r="M1632"/>
          <cell r="N1632"/>
        </row>
        <row r="1633">
          <cell r="M1633"/>
          <cell r="N1633"/>
        </row>
        <row r="1634">
          <cell r="M1634"/>
          <cell r="N1634"/>
        </row>
        <row r="1635">
          <cell r="M1635"/>
          <cell r="N1635"/>
        </row>
        <row r="1636">
          <cell r="M1636"/>
          <cell r="N1636"/>
        </row>
        <row r="1637">
          <cell r="M1637"/>
          <cell r="N1637"/>
        </row>
        <row r="1638">
          <cell r="M1638"/>
          <cell r="N1638"/>
        </row>
        <row r="1639">
          <cell r="M1639"/>
          <cell r="N1639"/>
        </row>
        <row r="1640">
          <cell r="M1640"/>
          <cell r="N1640"/>
        </row>
        <row r="1641">
          <cell r="M1641"/>
          <cell r="N1641"/>
        </row>
        <row r="1642">
          <cell r="M1642"/>
          <cell r="N1642"/>
        </row>
        <row r="1643">
          <cell r="M1643"/>
          <cell r="N1643"/>
        </row>
        <row r="1644">
          <cell r="M1644"/>
          <cell r="N1644"/>
        </row>
        <row r="1645">
          <cell r="M1645"/>
          <cell r="N1645"/>
        </row>
        <row r="1646">
          <cell r="M1646"/>
          <cell r="N1646"/>
        </row>
        <row r="1647">
          <cell r="M1647"/>
          <cell r="N1647"/>
        </row>
        <row r="1648">
          <cell r="M1648"/>
          <cell r="N1648"/>
        </row>
        <row r="1649">
          <cell r="M1649"/>
          <cell r="N1649"/>
        </row>
        <row r="1650">
          <cell r="M1650"/>
          <cell r="N1650"/>
        </row>
        <row r="1651">
          <cell r="M1651"/>
          <cell r="N1651"/>
        </row>
        <row r="1652">
          <cell r="M1652"/>
          <cell r="N1652"/>
        </row>
        <row r="1653">
          <cell r="M1653"/>
          <cell r="N1653"/>
        </row>
        <row r="1654">
          <cell r="M1654"/>
          <cell r="N1654"/>
        </row>
        <row r="1655">
          <cell r="M1655"/>
          <cell r="N1655"/>
        </row>
        <row r="1656">
          <cell r="M1656"/>
          <cell r="N1656"/>
        </row>
        <row r="1657">
          <cell r="M1657"/>
          <cell r="N1657"/>
        </row>
        <row r="1658">
          <cell r="M1658"/>
          <cell r="N1658"/>
        </row>
        <row r="1659">
          <cell r="M1659"/>
          <cell r="N1659"/>
        </row>
        <row r="1660">
          <cell r="M1660"/>
          <cell r="N1660"/>
        </row>
        <row r="1661">
          <cell r="M1661"/>
          <cell r="N1661"/>
        </row>
        <row r="1662">
          <cell r="M1662"/>
          <cell r="N1662"/>
        </row>
        <row r="1663">
          <cell r="M1663"/>
          <cell r="N1663"/>
        </row>
        <row r="1664">
          <cell r="M1664"/>
          <cell r="N1664"/>
        </row>
        <row r="1665">
          <cell r="M1665"/>
          <cell r="N1665"/>
        </row>
        <row r="1666">
          <cell r="M1666"/>
          <cell r="N1666"/>
        </row>
        <row r="1667">
          <cell r="M1667"/>
          <cell r="N1667"/>
        </row>
        <row r="1668">
          <cell r="M1668"/>
          <cell r="N1668"/>
        </row>
        <row r="1669">
          <cell r="M1669"/>
          <cell r="N1669"/>
        </row>
        <row r="1670">
          <cell r="M1670"/>
          <cell r="N1670"/>
        </row>
        <row r="1671">
          <cell r="M1671"/>
          <cell r="N1671"/>
        </row>
        <row r="1672">
          <cell r="M1672"/>
          <cell r="N1672"/>
        </row>
        <row r="1673">
          <cell r="M1673"/>
          <cell r="N1673"/>
        </row>
        <row r="1674">
          <cell r="M1674"/>
          <cell r="N1674"/>
        </row>
        <row r="1675">
          <cell r="M1675"/>
          <cell r="N1675"/>
        </row>
        <row r="1676">
          <cell r="M1676"/>
          <cell r="N1676"/>
        </row>
        <row r="1677">
          <cell r="M1677"/>
          <cell r="N1677"/>
        </row>
        <row r="1678">
          <cell r="M1678"/>
          <cell r="N1678"/>
        </row>
        <row r="1679">
          <cell r="M1679"/>
          <cell r="N1679"/>
        </row>
        <row r="1680">
          <cell r="M1680"/>
          <cell r="N1680"/>
        </row>
        <row r="1681">
          <cell r="M1681"/>
          <cell r="N1681"/>
        </row>
        <row r="1682">
          <cell r="M1682"/>
          <cell r="N1682"/>
        </row>
        <row r="1683">
          <cell r="M1683"/>
          <cell r="N1683"/>
        </row>
        <row r="1684">
          <cell r="M1684"/>
          <cell r="N1684"/>
        </row>
        <row r="1685">
          <cell r="M1685"/>
          <cell r="N1685"/>
        </row>
        <row r="1686">
          <cell r="M1686"/>
          <cell r="N1686"/>
        </row>
        <row r="1687">
          <cell r="M1687"/>
          <cell r="N1687"/>
        </row>
        <row r="1688">
          <cell r="M1688"/>
          <cell r="N1688"/>
        </row>
        <row r="1689">
          <cell r="M1689"/>
          <cell r="N1689"/>
        </row>
        <row r="1690">
          <cell r="M1690"/>
          <cell r="N1690"/>
        </row>
        <row r="1691">
          <cell r="M1691"/>
          <cell r="N1691"/>
        </row>
        <row r="1692">
          <cell r="M1692"/>
          <cell r="N1692"/>
        </row>
        <row r="1693">
          <cell r="M1693"/>
          <cell r="N1693"/>
        </row>
        <row r="1694">
          <cell r="M1694"/>
          <cell r="N1694"/>
        </row>
        <row r="1695">
          <cell r="M1695"/>
          <cell r="N1695"/>
        </row>
        <row r="1696">
          <cell r="M1696"/>
          <cell r="N1696"/>
        </row>
        <row r="1697">
          <cell r="M1697"/>
          <cell r="N1697"/>
        </row>
        <row r="1698">
          <cell r="M1698"/>
          <cell r="N1698"/>
        </row>
        <row r="1699">
          <cell r="M1699"/>
          <cell r="N1699"/>
        </row>
        <row r="1700">
          <cell r="M1700"/>
          <cell r="N1700"/>
        </row>
        <row r="1701">
          <cell r="M1701"/>
          <cell r="N1701"/>
        </row>
        <row r="1702">
          <cell r="M1702"/>
          <cell r="N1702"/>
        </row>
        <row r="1703">
          <cell r="M1703"/>
          <cell r="N1703"/>
        </row>
        <row r="1704">
          <cell r="M1704"/>
          <cell r="N1704"/>
        </row>
        <row r="1705">
          <cell r="M1705"/>
          <cell r="N1705"/>
        </row>
        <row r="1706">
          <cell r="M1706"/>
          <cell r="N1706"/>
        </row>
        <row r="1707">
          <cell r="M1707"/>
          <cell r="N1707"/>
        </row>
        <row r="1708">
          <cell r="M1708"/>
          <cell r="N1708"/>
        </row>
        <row r="1709">
          <cell r="M1709"/>
          <cell r="N1709"/>
        </row>
        <row r="1710">
          <cell r="M1710"/>
          <cell r="N1710"/>
        </row>
        <row r="1711">
          <cell r="M1711"/>
          <cell r="N1711"/>
        </row>
        <row r="1712">
          <cell r="M1712"/>
          <cell r="N1712"/>
        </row>
        <row r="1713">
          <cell r="M1713"/>
          <cell r="N1713"/>
        </row>
        <row r="1714">
          <cell r="M1714"/>
          <cell r="N1714"/>
        </row>
        <row r="1715">
          <cell r="M1715"/>
          <cell r="N1715"/>
        </row>
        <row r="1716">
          <cell r="M1716"/>
          <cell r="N1716"/>
        </row>
        <row r="1717">
          <cell r="M1717"/>
          <cell r="N1717"/>
        </row>
        <row r="1718">
          <cell r="M1718"/>
          <cell r="N1718"/>
        </row>
        <row r="1719">
          <cell r="M1719"/>
          <cell r="N1719"/>
        </row>
        <row r="1720">
          <cell r="M1720"/>
          <cell r="N1720"/>
        </row>
        <row r="1721">
          <cell r="M1721"/>
          <cell r="N1721"/>
        </row>
        <row r="1722">
          <cell r="M1722"/>
          <cell r="N1722"/>
        </row>
        <row r="1723">
          <cell r="M1723"/>
          <cell r="N1723"/>
        </row>
        <row r="1724">
          <cell r="M1724"/>
          <cell r="N1724"/>
        </row>
        <row r="1725">
          <cell r="M1725"/>
          <cell r="N1725"/>
        </row>
        <row r="1726">
          <cell r="M1726"/>
          <cell r="N1726"/>
        </row>
        <row r="1727">
          <cell r="M1727"/>
          <cell r="N1727"/>
        </row>
        <row r="1728">
          <cell r="M1728"/>
          <cell r="N1728"/>
        </row>
        <row r="1729">
          <cell r="M1729"/>
          <cell r="N1729"/>
        </row>
        <row r="1730">
          <cell r="M1730"/>
          <cell r="N1730"/>
        </row>
        <row r="1731">
          <cell r="M1731"/>
          <cell r="N1731"/>
        </row>
        <row r="1732">
          <cell r="M1732"/>
          <cell r="N1732"/>
        </row>
        <row r="1733">
          <cell r="M1733"/>
          <cell r="N1733"/>
        </row>
        <row r="1734">
          <cell r="M1734"/>
          <cell r="N1734"/>
        </row>
        <row r="1735">
          <cell r="M1735"/>
          <cell r="N1735"/>
        </row>
        <row r="1736">
          <cell r="M1736"/>
          <cell r="N1736"/>
        </row>
        <row r="1737">
          <cell r="M1737"/>
          <cell r="N1737"/>
        </row>
        <row r="1738">
          <cell r="M1738"/>
          <cell r="N1738"/>
        </row>
        <row r="1739">
          <cell r="M1739"/>
          <cell r="N1739"/>
        </row>
        <row r="1740">
          <cell r="M1740"/>
          <cell r="N1740"/>
        </row>
        <row r="1741">
          <cell r="M1741"/>
          <cell r="N1741"/>
        </row>
        <row r="1742">
          <cell r="M1742"/>
          <cell r="N1742"/>
        </row>
        <row r="1743">
          <cell r="M1743"/>
          <cell r="N1743"/>
        </row>
        <row r="1744">
          <cell r="M1744"/>
          <cell r="N1744"/>
        </row>
        <row r="1745">
          <cell r="M1745"/>
          <cell r="N1745"/>
        </row>
        <row r="1746">
          <cell r="M1746"/>
          <cell r="N1746"/>
        </row>
        <row r="1747">
          <cell r="M1747"/>
          <cell r="N1747"/>
        </row>
        <row r="1748">
          <cell r="M1748"/>
          <cell r="N1748"/>
        </row>
        <row r="1749">
          <cell r="M1749"/>
          <cell r="N1749"/>
        </row>
        <row r="1750">
          <cell r="M1750"/>
          <cell r="N1750"/>
        </row>
        <row r="1751">
          <cell r="M1751"/>
          <cell r="N1751"/>
        </row>
        <row r="1752">
          <cell r="M1752"/>
          <cell r="N1752"/>
        </row>
        <row r="1753">
          <cell r="M1753"/>
          <cell r="N1753"/>
        </row>
        <row r="1754">
          <cell r="M1754"/>
          <cell r="N1754"/>
        </row>
        <row r="1755">
          <cell r="M1755"/>
          <cell r="N1755"/>
        </row>
        <row r="1756">
          <cell r="M1756"/>
          <cell r="N1756"/>
        </row>
        <row r="1757">
          <cell r="M1757"/>
          <cell r="N1757"/>
        </row>
        <row r="1758">
          <cell r="M1758"/>
          <cell r="N1758"/>
        </row>
        <row r="1759">
          <cell r="M1759"/>
          <cell r="N1759"/>
        </row>
        <row r="1760">
          <cell r="M1760"/>
          <cell r="N1760"/>
        </row>
        <row r="1761">
          <cell r="M1761"/>
          <cell r="N1761"/>
        </row>
        <row r="1762">
          <cell r="M1762"/>
          <cell r="N1762"/>
        </row>
        <row r="1763">
          <cell r="M1763"/>
          <cell r="N1763"/>
        </row>
        <row r="1764">
          <cell r="M1764"/>
          <cell r="N1764"/>
        </row>
        <row r="1765">
          <cell r="M1765"/>
          <cell r="N1765"/>
        </row>
        <row r="1766">
          <cell r="M1766"/>
          <cell r="N1766"/>
        </row>
        <row r="1767">
          <cell r="M1767"/>
          <cell r="N1767"/>
        </row>
        <row r="1768">
          <cell r="M1768"/>
          <cell r="N1768"/>
        </row>
        <row r="1769">
          <cell r="M1769"/>
          <cell r="N1769"/>
        </row>
        <row r="1770">
          <cell r="M1770"/>
          <cell r="N1770"/>
        </row>
        <row r="1771">
          <cell r="M1771"/>
          <cell r="N1771"/>
        </row>
        <row r="1772">
          <cell r="M1772"/>
          <cell r="N1772"/>
        </row>
        <row r="1773">
          <cell r="M1773"/>
          <cell r="N1773"/>
        </row>
        <row r="1774">
          <cell r="M1774"/>
          <cell r="N1774"/>
        </row>
        <row r="1775">
          <cell r="M1775"/>
          <cell r="N1775"/>
        </row>
        <row r="1776">
          <cell r="M1776"/>
          <cell r="N1776"/>
        </row>
        <row r="1777">
          <cell r="M1777"/>
          <cell r="N1777"/>
        </row>
        <row r="1778">
          <cell r="M1778"/>
          <cell r="N1778"/>
        </row>
        <row r="1779">
          <cell r="M1779"/>
          <cell r="N1779"/>
        </row>
        <row r="1780">
          <cell r="M1780"/>
          <cell r="N1780"/>
        </row>
        <row r="1781">
          <cell r="M1781"/>
          <cell r="N1781"/>
        </row>
        <row r="1782">
          <cell r="M1782"/>
          <cell r="N1782"/>
        </row>
        <row r="1783">
          <cell r="M1783"/>
          <cell r="N1783"/>
        </row>
        <row r="1784">
          <cell r="M1784"/>
          <cell r="N1784"/>
        </row>
        <row r="1785">
          <cell r="M1785"/>
          <cell r="N1785"/>
        </row>
        <row r="1786">
          <cell r="M1786"/>
          <cell r="N1786"/>
        </row>
        <row r="1787">
          <cell r="M1787"/>
          <cell r="N1787"/>
        </row>
        <row r="1788">
          <cell r="M1788"/>
          <cell r="N1788"/>
        </row>
        <row r="1789">
          <cell r="M1789"/>
          <cell r="N1789"/>
        </row>
        <row r="1790">
          <cell r="M1790"/>
          <cell r="N1790"/>
        </row>
        <row r="1791">
          <cell r="M1791"/>
          <cell r="N1791"/>
        </row>
        <row r="1792">
          <cell r="M1792"/>
          <cell r="N1792"/>
        </row>
        <row r="1793">
          <cell r="M1793"/>
          <cell r="N1793"/>
        </row>
        <row r="1794">
          <cell r="M1794"/>
          <cell r="N1794"/>
        </row>
        <row r="1795">
          <cell r="M1795"/>
          <cell r="N1795"/>
        </row>
        <row r="1796">
          <cell r="M1796"/>
          <cell r="N1796"/>
        </row>
        <row r="1797">
          <cell r="M1797"/>
          <cell r="N1797"/>
        </row>
        <row r="1798">
          <cell r="M1798"/>
          <cell r="N1798"/>
        </row>
        <row r="1799">
          <cell r="M1799"/>
          <cell r="N1799"/>
        </row>
        <row r="1800">
          <cell r="M1800"/>
          <cell r="N1800"/>
        </row>
        <row r="1801">
          <cell r="M1801"/>
          <cell r="N1801"/>
        </row>
        <row r="1802">
          <cell r="M1802"/>
          <cell r="N1802"/>
        </row>
        <row r="1803">
          <cell r="M1803"/>
          <cell r="N1803"/>
        </row>
        <row r="1804">
          <cell r="M1804"/>
          <cell r="N1804"/>
        </row>
        <row r="1805">
          <cell r="M1805"/>
          <cell r="N1805"/>
        </row>
        <row r="1806">
          <cell r="M1806"/>
          <cell r="N1806"/>
        </row>
        <row r="1807">
          <cell r="M1807"/>
          <cell r="N1807"/>
        </row>
        <row r="1808">
          <cell r="M1808"/>
          <cell r="N1808"/>
        </row>
        <row r="1809">
          <cell r="M1809"/>
          <cell r="N1809"/>
        </row>
        <row r="1810">
          <cell r="M1810"/>
          <cell r="N1810"/>
        </row>
        <row r="1811">
          <cell r="M1811"/>
          <cell r="N1811"/>
        </row>
        <row r="1812">
          <cell r="M1812"/>
          <cell r="N1812"/>
        </row>
        <row r="1813">
          <cell r="M1813"/>
          <cell r="N1813"/>
        </row>
        <row r="1814">
          <cell r="M1814"/>
          <cell r="N1814"/>
        </row>
        <row r="1815">
          <cell r="M1815"/>
          <cell r="N1815"/>
        </row>
        <row r="1816">
          <cell r="M1816"/>
          <cell r="N1816"/>
        </row>
        <row r="1817">
          <cell r="M1817"/>
          <cell r="N1817"/>
        </row>
        <row r="1818">
          <cell r="M1818"/>
          <cell r="N1818"/>
        </row>
        <row r="1819">
          <cell r="M1819"/>
          <cell r="N1819"/>
        </row>
        <row r="1820">
          <cell r="M1820"/>
          <cell r="N1820"/>
        </row>
        <row r="1821">
          <cell r="M1821"/>
          <cell r="N1821"/>
        </row>
        <row r="1822">
          <cell r="M1822"/>
          <cell r="N1822"/>
        </row>
        <row r="1823">
          <cell r="M1823"/>
          <cell r="N1823"/>
        </row>
        <row r="1824">
          <cell r="M1824"/>
          <cell r="N1824"/>
        </row>
        <row r="1825">
          <cell r="M1825"/>
          <cell r="N1825"/>
        </row>
        <row r="1826">
          <cell r="M1826"/>
          <cell r="N1826"/>
        </row>
        <row r="1827">
          <cell r="M1827"/>
          <cell r="N1827"/>
        </row>
        <row r="1828">
          <cell r="M1828"/>
          <cell r="N1828"/>
        </row>
        <row r="1829">
          <cell r="M1829"/>
          <cell r="N1829"/>
        </row>
        <row r="1830">
          <cell r="M1830"/>
          <cell r="N1830"/>
        </row>
        <row r="1831">
          <cell r="M1831"/>
          <cell r="N1831"/>
        </row>
        <row r="1832">
          <cell r="M1832"/>
          <cell r="N1832"/>
        </row>
        <row r="1833">
          <cell r="M1833"/>
          <cell r="N1833"/>
        </row>
        <row r="1834">
          <cell r="M1834"/>
          <cell r="N1834"/>
        </row>
        <row r="1835">
          <cell r="M1835"/>
          <cell r="N1835"/>
        </row>
        <row r="1836">
          <cell r="M1836"/>
          <cell r="N1836"/>
        </row>
        <row r="1837">
          <cell r="M1837"/>
          <cell r="N1837"/>
        </row>
        <row r="1838">
          <cell r="M1838"/>
          <cell r="N1838"/>
        </row>
        <row r="1839">
          <cell r="M1839"/>
          <cell r="N1839"/>
        </row>
        <row r="1840">
          <cell r="M1840"/>
          <cell r="N1840"/>
        </row>
        <row r="1841">
          <cell r="M1841"/>
          <cell r="N1841"/>
        </row>
        <row r="1842">
          <cell r="M1842"/>
          <cell r="N1842"/>
        </row>
        <row r="1843">
          <cell r="M1843"/>
          <cell r="N1843"/>
        </row>
        <row r="1844">
          <cell r="M1844"/>
          <cell r="N1844"/>
        </row>
        <row r="1845">
          <cell r="M1845"/>
          <cell r="N1845"/>
        </row>
        <row r="1846">
          <cell r="M1846"/>
          <cell r="N1846"/>
        </row>
        <row r="1847">
          <cell r="M1847"/>
          <cell r="N1847"/>
        </row>
        <row r="1848">
          <cell r="M1848"/>
          <cell r="N1848"/>
        </row>
        <row r="1849">
          <cell r="M1849"/>
          <cell r="N1849"/>
        </row>
        <row r="1850">
          <cell r="M1850"/>
          <cell r="N1850"/>
        </row>
        <row r="1851">
          <cell r="M1851"/>
          <cell r="N1851"/>
        </row>
        <row r="1852">
          <cell r="M1852"/>
          <cell r="N1852"/>
        </row>
        <row r="1853">
          <cell r="M1853"/>
          <cell r="N1853"/>
        </row>
        <row r="1854">
          <cell r="M1854"/>
          <cell r="N1854"/>
        </row>
        <row r="1855">
          <cell r="M1855"/>
          <cell r="N1855"/>
        </row>
        <row r="1856">
          <cell r="M1856"/>
          <cell r="N1856"/>
        </row>
        <row r="1857">
          <cell r="M1857"/>
          <cell r="N1857"/>
        </row>
        <row r="1858">
          <cell r="M1858"/>
          <cell r="N1858"/>
        </row>
        <row r="1859">
          <cell r="M1859"/>
          <cell r="N1859"/>
        </row>
        <row r="1860">
          <cell r="M1860"/>
          <cell r="N1860"/>
        </row>
        <row r="1861">
          <cell r="M1861"/>
          <cell r="N1861"/>
        </row>
        <row r="1862">
          <cell r="M1862"/>
          <cell r="N1862"/>
        </row>
        <row r="1863">
          <cell r="M1863"/>
          <cell r="N1863"/>
        </row>
        <row r="1864">
          <cell r="M1864"/>
          <cell r="N1864"/>
        </row>
        <row r="1865">
          <cell r="M1865"/>
          <cell r="N1865"/>
        </row>
        <row r="1866">
          <cell r="M1866"/>
          <cell r="N1866"/>
        </row>
        <row r="1867">
          <cell r="M1867"/>
          <cell r="N1867"/>
        </row>
        <row r="1868">
          <cell r="M1868"/>
          <cell r="N1868"/>
        </row>
        <row r="1869">
          <cell r="M1869"/>
          <cell r="N1869"/>
        </row>
        <row r="1870">
          <cell r="M1870"/>
          <cell r="N1870"/>
        </row>
        <row r="1871">
          <cell r="M1871"/>
          <cell r="N1871"/>
        </row>
        <row r="1872">
          <cell r="M1872"/>
          <cell r="N1872"/>
        </row>
        <row r="1873">
          <cell r="M1873"/>
          <cell r="N1873"/>
        </row>
        <row r="1874">
          <cell r="M1874"/>
          <cell r="N1874"/>
        </row>
        <row r="1875">
          <cell r="M1875"/>
          <cell r="N1875"/>
        </row>
        <row r="1876">
          <cell r="M1876"/>
          <cell r="N1876"/>
        </row>
        <row r="1877">
          <cell r="M1877"/>
          <cell r="N1877"/>
        </row>
        <row r="1878">
          <cell r="M1878"/>
          <cell r="N1878"/>
        </row>
        <row r="1879">
          <cell r="M1879"/>
          <cell r="N1879"/>
        </row>
        <row r="1880">
          <cell r="M1880"/>
          <cell r="N1880"/>
        </row>
        <row r="1881">
          <cell r="M1881"/>
          <cell r="N1881"/>
        </row>
        <row r="1882">
          <cell r="M1882"/>
          <cell r="N1882"/>
        </row>
        <row r="1883">
          <cell r="M1883"/>
          <cell r="N1883"/>
        </row>
        <row r="1884">
          <cell r="M1884"/>
          <cell r="N1884"/>
        </row>
        <row r="1885">
          <cell r="M1885"/>
          <cell r="N1885"/>
        </row>
        <row r="1886">
          <cell r="M1886"/>
          <cell r="N1886"/>
        </row>
        <row r="1887">
          <cell r="M1887"/>
          <cell r="N1887"/>
        </row>
        <row r="1888">
          <cell r="M1888"/>
          <cell r="N1888"/>
        </row>
        <row r="1889">
          <cell r="M1889"/>
          <cell r="N1889"/>
        </row>
        <row r="1890">
          <cell r="M1890"/>
          <cell r="N1890"/>
        </row>
        <row r="1891">
          <cell r="M1891"/>
          <cell r="N1891"/>
        </row>
        <row r="1892">
          <cell r="M1892"/>
          <cell r="N1892"/>
        </row>
        <row r="1893">
          <cell r="M1893"/>
          <cell r="N1893"/>
        </row>
        <row r="1894">
          <cell r="M1894"/>
          <cell r="N1894"/>
        </row>
        <row r="1895">
          <cell r="M1895"/>
          <cell r="N1895"/>
        </row>
        <row r="1896">
          <cell r="M1896"/>
          <cell r="N1896"/>
        </row>
        <row r="1897">
          <cell r="M1897"/>
          <cell r="N1897"/>
        </row>
        <row r="1898">
          <cell r="M1898"/>
          <cell r="N1898"/>
        </row>
        <row r="1899">
          <cell r="M1899"/>
          <cell r="N1899"/>
        </row>
        <row r="1900">
          <cell r="M1900"/>
          <cell r="N1900"/>
        </row>
        <row r="1901">
          <cell r="M1901"/>
          <cell r="N1901"/>
        </row>
        <row r="1902">
          <cell r="M1902"/>
          <cell r="N1902"/>
        </row>
        <row r="1903">
          <cell r="M1903"/>
          <cell r="N1903"/>
        </row>
        <row r="1904">
          <cell r="M1904"/>
          <cell r="N1904"/>
        </row>
        <row r="1905">
          <cell r="M1905"/>
          <cell r="N1905"/>
        </row>
        <row r="1906">
          <cell r="M1906"/>
          <cell r="N1906"/>
        </row>
        <row r="1907">
          <cell r="M1907"/>
          <cell r="N1907"/>
        </row>
        <row r="1908">
          <cell r="M1908"/>
          <cell r="N1908"/>
        </row>
        <row r="1909">
          <cell r="M1909"/>
          <cell r="N1909"/>
        </row>
        <row r="1910">
          <cell r="M1910"/>
          <cell r="N1910"/>
        </row>
        <row r="1911">
          <cell r="M1911"/>
          <cell r="N1911"/>
        </row>
        <row r="1912">
          <cell r="M1912"/>
          <cell r="N1912"/>
        </row>
        <row r="1913">
          <cell r="M1913"/>
          <cell r="N1913"/>
        </row>
        <row r="1914">
          <cell r="M1914"/>
          <cell r="N1914"/>
        </row>
        <row r="1915">
          <cell r="M1915"/>
          <cell r="N1915"/>
        </row>
        <row r="1916">
          <cell r="M1916"/>
          <cell r="N1916"/>
        </row>
        <row r="1917">
          <cell r="M1917"/>
          <cell r="N1917"/>
        </row>
        <row r="1918">
          <cell r="M1918"/>
          <cell r="N1918"/>
        </row>
        <row r="1919">
          <cell r="M1919"/>
          <cell r="N1919"/>
        </row>
        <row r="1920">
          <cell r="M1920"/>
          <cell r="N1920"/>
        </row>
        <row r="1921">
          <cell r="M1921"/>
          <cell r="N1921"/>
        </row>
        <row r="1922">
          <cell r="M1922"/>
          <cell r="N1922"/>
        </row>
        <row r="1923">
          <cell r="M1923"/>
          <cell r="N1923"/>
        </row>
        <row r="1924">
          <cell r="M1924"/>
          <cell r="N1924"/>
        </row>
        <row r="1925">
          <cell r="M1925"/>
          <cell r="N1925"/>
        </row>
        <row r="1926">
          <cell r="M1926"/>
          <cell r="N1926"/>
        </row>
        <row r="1927">
          <cell r="M1927"/>
          <cell r="N1927"/>
        </row>
        <row r="1928">
          <cell r="M1928"/>
          <cell r="N1928"/>
        </row>
        <row r="1929">
          <cell r="M1929"/>
          <cell r="N1929"/>
        </row>
        <row r="1930">
          <cell r="M1930"/>
          <cell r="N1930"/>
        </row>
        <row r="1931">
          <cell r="M1931"/>
          <cell r="N1931"/>
        </row>
        <row r="1932">
          <cell r="M1932"/>
          <cell r="N1932"/>
        </row>
        <row r="1933">
          <cell r="M1933"/>
          <cell r="N1933"/>
        </row>
        <row r="1934">
          <cell r="M1934"/>
          <cell r="N1934"/>
        </row>
        <row r="1935">
          <cell r="M1935"/>
          <cell r="N1935"/>
        </row>
        <row r="1936">
          <cell r="M1936"/>
          <cell r="N1936"/>
        </row>
        <row r="1937">
          <cell r="M1937"/>
          <cell r="N1937"/>
        </row>
        <row r="1938">
          <cell r="M1938"/>
          <cell r="N1938"/>
        </row>
        <row r="1939">
          <cell r="M1939"/>
          <cell r="N1939"/>
        </row>
        <row r="1940">
          <cell r="M1940"/>
          <cell r="N1940"/>
        </row>
        <row r="1941">
          <cell r="M1941"/>
          <cell r="N1941"/>
        </row>
        <row r="1942">
          <cell r="M1942"/>
          <cell r="N1942"/>
        </row>
        <row r="1943">
          <cell r="M1943"/>
          <cell r="N1943"/>
        </row>
        <row r="1944">
          <cell r="M1944"/>
          <cell r="N1944"/>
        </row>
        <row r="1945">
          <cell r="M1945"/>
          <cell r="N1945"/>
        </row>
        <row r="1946">
          <cell r="M1946"/>
          <cell r="N1946"/>
        </row>
        <row r="1947">
          <cell r="M1947"/>
          <cell r="N1947"/>
        </row>
        <row r="1948">
          <cell r="M1948"/>
          <cell r="N1948"/>
        </row>
        <row r="1949">
          <cell r="M1949"/>
          <cell r="N1949"/>
        </row>
        <row r="1950">
          <cell r="M1950"/>
          <cell r="N1950"/>
        </row>
        <row r="1951">
          <cell r="M1951"/>
          <cell r="N1951"/>
        </row>
        <row r="1952">
          <cell r="M1952"/>
          <cell r="N1952"/>
        </row>
        <row r="1953">
          <cell r="M1953"/>
          <cell r="N1953"/>
        </row>
        <row r="1954">
          <cell r="M1954"/>
          <cell r="N1954"/>
        </row>
        <row r="1955">
          <cell r="M1955"/>
          <cell r="N1955"/>
        </row>
        <row r="1956">
          <cell r="M1956"/>
          <cell r="N1956"/>
        </row>
        <row r="1957">
          <cell r="M1957"/>
          <cell r="N1957"/>
        </row>
        <row r="1958">
          <cell r="M1958"/>
          <cell r="N1958"/>
        </row>
        <row r="1959">
          <cell r="M1959"/>
          <cell r="N1959"/>
        </row>
        <row r="1960">
          <cell r="M1960"/>
          <cell r="N1960"/>
        </row>
        <row r="1961">
          <cell r="M1961"/>
          <cell r="N1961"/>
        </row>
        <row r="1962">
          <cell r="M1962"/>
          <cell r="N1962"/>
        </row>
        <row r="1963">
          <cell r="M1963"/>
          <cell r="N1963"/>
        </row>
        <row r="1964">
          <cell r="M1964"/>
          <cell r="N1964"/>
        </row>
        <row r="1965">
          <cell r="M1965"/>
          <cell r="N1965"/>
        </row>
        <row r="1966">
          <cell r="M1966"/>
          <cell r="N1966"/>
        </row>
        <row r="1967">
          <cell r="M1967"/>
          <cell r="N1967"/>
        </row>
        <row r="1968">
          <cell r="M1968"/>
          <cell r="N1968"/>
        </row>
        <row r="1969">
          <cell r="M1969"/>
          <cell r="N1969"/>
        </row>
        <row r="1970">
          <cell r="M1970"/>
          <cell r="N1970"/>
        </row>
        <row r="1971">
          <cell r="M1971"/>
          <cell r="N1971"/>
        </row>
        <row r="1972">
          <cell r="M1972"/>
          <cell r="N1972"/>
        </row>
        <row r="1973">
          <cell r="M1973"/>
          <cell r="N1973"/>
        </row>
        <row r="1974">
          <cell r="M1974"/>
          <cell r="N1974"/>
        </row>
        <row r="1975">
          <cell r="M1975"/>
          <cell r="N1975"/>
        </row>
        <row r="1976">
          <cell r="M1976"/>
          <cell r="N1976"/>
        </row>
        <row r="1977">
          <cell r="M1977"/>
          <cell r="N1977"/>
        </row>
        <row r="1978">
          <cell r="M1978"/>
          <cell r="N1978"/>
        </row>
        <row r="1979">
          <cell r="M1979"/>
          <cell r="N1979"/>
        </row>
        <row r="1980">
          <cell r="M1980"/>
          <cell r="N1980"/>
        </row>
        <row r="1981">
          <cell r="M1981"/>
          <cell r="N1981"/>
        </row>
        <row r="1982">
          <cell r="M1982"/>
          <cell r="N1982"/>
        </row>
        <row r="1983">
          <cell r="M1983"/>
          <cell r="N1983"/>
        </row>
        <row r="1984">
          <cell r="M1984"/>
          <cell r="N1984"/>
        </row>
        <row r="1985">
          <cell r="M1985"/>
          <cell r="N1985"/>
        </row>
        <row r="1986">
          <cell r="M1986"/>
          <cell r="N1986"/>
        </row>
        <row r="1987">
          <cell r="M1987"/>
          <cell r="N1987"/>
        </row>
        <row r="1988">
          <cell r="M1988"/>
          <cell r="N1988"/>
        </row>
        <row r="1989">
          <cell r="M1989"/>
          <cell r="N1989"/>
        </row>
        <row r="1990">
          <cell r="M1990"/>
          <cell r="N1990"/>
        </row>
        <row r="1991">
          <cell r="M1991"/>
          <cell r="N1991"/>
        </row>
        <row r="1992">
          <cell r="M1992"/>
          <cell r="N1992"/>
        </row>
        <row r="1993">
          <cell r="M1993"/>
          <cell r="N1993"/>
        </row>
        <row r="1994">
          <cell r="M1994"/>
          <cell r="N1994"/>
        </row>
        <row r="1995">
          <cell r="M1995"/>
          <cell r="N1995"/>
        </row>
        <row r="1996">
          <cell r="M1996"/>
          <cell r="N1996"/>
        </row>
        <row r="1997">
          <cell r="M1997"/>
          <cell r="N1997"/>
        </row>
        <row r="1998">
          <cell r="M1998"/>
          <cell r="N1998"/>
        </row>
        <row r="1999">
          <cell r="M1999"/>
          <cell r="N1999"/>
        </row>
        <row r="2000">
          <cell r="M2000"/>
          <cell r="N2000"/>
        </row>
        <row r="2001">
          <cell r="M2001"/>
          <cell r="N2001"/>
        </row>
        <row r="2002">
          <cell r="M2002"/>
          <cell r="N2002"/>
        </row>
        <row r="2003">
          <cell r="M2003"/>
          <cell r="N2003"/>
        </row>
        <row r="2004">
          <cell r="M2004"/>
          <cell r="N2004"/>
        </row>
        <row r="2005">
          <cell r="M2005"/>
          <cell r="N2005"/>
        </row>
        <row r="2006">
          <cell r="M2006"/>
          <cell r="N2006"/>
        </row>
        <row r="2007">
          <cell r="M2007"/>
          <cell r="N2007"/>
        </row>
        <row r="2008">
          <cell r="M2008"/>
          <cell r="N2008"/>
        </row>
        <row r="2009">
          <cell r="M2009"/>
          <cell r="N2009"/>
        </row>
        <row r="2010">
          <cell r="M2010"/>
          <cell r="N2010"/>
        </row>
        <row r="2011">
          <cell r="M2011"/>
          <cell r="N2011"/>
        </row>
        <row r="2012">
          <cell r="M2012"/>
          <cell r="N2012"/>
        </row>
        <row r="2013">
          <cell r="M2013"/>
          <cell r="N2013"/>
        </row>
        <row r="2014">
          <cell r="M2014"/>
          <cell r="N2014"/>
        </row>
        <row r="2015">
          <cell r="M2015"/>
          <cell r="N2015"/>
        </row>
        <row r="2016">
          <cell r="M2016"/>
          <cell r="N2016"/>
        </row>
        <row r="2017">
          <cell r="M2017"/>
          <cell r="N2017"/>
        </row>
        <row r="2018">
          <cell r="M2018"/>
          <cell r="N2018"/>
        </row>
        <row r="2019">
          <cell r="M2019"/>
          <cell r="N2019"/>
        </row>
        <row r="2020">
          <cell r="M2020"/>
          <cell r="N2020"/>
        </row>
        <row r="2021">
          <cell r="M2021"/>
          <cell r="N2021"/>
        </row>
        <row r="2022">
          <cell r="M2022"/>
          <cell r="N2022"/>
        </row>
        <row r="2023">
          <cell r="M2023"/>
          <cell r="N2023"/>
        </row>
        <row r="2024">
          <cell r="M2024"/>
          <cell r="N2024"/>
        </row>
        <row r="2025">
          <cell r="M2025"/>
          <cell r="N2025"/>
        </row>
        <row r="2026">
          <cell r="M2026"/>
          <cell r="N2026"/>
        </row>
        <row r="2027">
          <cell r="M2027"/>
          <cell r="N2027"/>
        </row>
        <row r="2028">
          <cell r="M2028"/>
          <cell r="N2028"/>
        </row>
        <row r="2029">
          <cell r="M2029"/>
          <cell r="N2029"/>
        </row>
        <row r="2030">
          <cell r="M2030"/>
          <cell r="N2030"/>
        </row>
        <row r="2031">
          <cell r="M2031"/>
          <cell r="N2031"/>
        </row>
        <row r="2032">
          <cell r="M2032"/>
          <cell r="N2032"/>
        </row>
        <row r="2033">
          <cell r="M2033"/>
          <cell r="N2033"/>
        </row>
        <row r="2034">
          <cell r="M2034"/>
          <cell r="N2034"/>
        </row>
        <row r="2035">
          <cell r="M2035"/>
          <cell r="N2035"/>
        </row>
        <row r="2036">
          <cell r="M2036"/>
          <cell r="N2036"/>
        </row>
        <row r="2037">
          <cell r="M2037"/>
          <cell r="N2037"/>
        </row>
        <row r="2038">
          <cell r="M2038"/>
          <cell r="N2038"/>
        </row>
        <row r="2039">
          <cell r="M2039"/>
          <cell r="N2039"/>
        </row>
        <row r="2040">
          <cell r="M2040"/>
          <cell r="N2040"/>
        </row>
        <row r="2041">
          <cell r="M2041"/>
          <cell r="N2041"/>
        </row>
        <row r="2042">
          <cell r="M2042"/>
          <cell r="N2042"/>
        </row>
        <row r="2043">
          <cell r="M2043"/>
          <cell r="N2043"/>
        </row>
        <row r="2044">
          <cell r="M2044"/>
          <cell r="N2044"/>
        </row>
        <row r="2045">
          <cell r="M2045"/>
          <cell r="N2045"/>
        </row>
        <row r="2046">
          <cell r="M2046"/>
          <cell r="N2046"/>
        </row>
        <row r="2047">
          <cell r="M2047"/>
          <cell r="N2047"/>
        </row>
        <row r="2048">
          <cell r="M2048"/>
          <cell r="N2048"/>
        </row>
        <row r="2049">
          <cell r="M2049"/>
          <cell r="N2049"/>
        </row>
        <row r="2050">
          <cell r="M2050"/>
          <cell r="N2050"/>
        </row>
        <row r="2051">
          <cell r="M2051"/>
          <cell r="N2051"/>
        </row>
        <row r="2052">
          <cell r="M2052"/>
          <cell r="N2052"/>
        </row>
        <row r="2053">
          <cell r="M2053"/>
          <cell r="N2053"/>
        </row>
        <row r="2054">
          <cell r="M2054"/>
          <cell r="N2054"/>
        </row>
        <row r="2055">
          <cell r="M2055"/>
          <cell r="N2055"/>
        </row>
        <row r="2056">
          <cell r="M2056"/>
          <cell r="N2056"/>
        </row>
        <row r="2057">
          <cell r="M2057"/>
          <cell r="N2057"/>
        </row>
        <row r="2058">
          <cell r="M2058"/>
          <cell r="N2058"/>
        </row>
        <row r="2059">
          <cell r="M2059"/>
          <cell r="N2059"/>
        </row>
        <row r="2060">
          <cell r="M2060"/>
          <cell r="N2060"/>
        </row>
        <row r="2061">
          <cell r="M2061"/>
          <cell r="N2061"/>
        </row>
        <row r="2062">
          <cell r="M2062"/>
          <cell r="N2062"/>
        </row>
        <row r="2063">
          <cell r="M2063"/>
          <cell r="N2063"/>
        </row>
        <row r="2064">
          <cell r="M2064"/>
          <cell r="N2064"/>
        </row>
        <row r="2065">
          <cell r="M2065"/>
          <cell r="N2065"/>
        </row>
        <row r="2066">
          <cell r="M2066"/>
          <cell r="N2066"/>
        </row>
        <row r="2067">
          <cell r="M2067"/>
          <cell r="N2067"/>
        </row>
        <row r="2068">
          <cell r="M2068"/>
          <cell r="N2068"/>
        </row>
        <row r="2069">
          <cell r="M2069"/>
          <cell r="N2069"/>
        </row>
        <row r="2070">
          <cell r="M2070"/>
          <cell r="N2070"/>
        </row>
        <row r="2071">
          <cell r="M2071"/>
          <cell r="N2071"/>
        </row>
        <row r="2072">
          <cell r="M2072"/>
          <cell r="N2072"/>
        </row>
        <row r="2073">
          <cell r="M2073"/>
          <cell r="N2073"/>
        </row>
        <row r="2074">
          <cell r="M2074"/>
          <cell r="N2074"/>
        </row>
        <row r="2075">
          <cell r="M2075"/>
          <cell r="N2075"/>
        </row>
        <row r="2076">
          <cell r="M2076"/>
          <cell r="N2076"/>
        </row>
        <row r="2077">
          <cell r="M2077"/>
          <cell r="N2077"/>
        </row>
        <row r="2078">
          <cell r="M2078"/>
          <cell r="N2078"/>
        </row>
        <row r="2079">
          <cell r="M2079"/>
          <cell r="N2079"/>
        </row>
        <row r="2080">
          <cell r="M2080"/>
          <cell r="N2080"/>
        </row>
        <row r="2081">
          <cell r="M2081"/>
          <cell r="N2081"/>
        </row>
        <row r="2082">
          <cell r="M2082"/>
          <cell r="N2082"/>
        </row>
        <row r="2083">
          <cell r="M2083"/>
          <cell r="N2083"/>
        </row>
        <row r="2084">
          <cell r="M2084"/>
          <cell r="N2084"/>
        </row>
        <row r="2085">
          <cell r="M2085"/>
          <cell r="N2085"/>
        </row>
        <row r="2086">
          <cell r="M2086"/>
          <cell r="N2086"/>
        </row>
        <row r="2087">
          <cell r="M2087"/>
          <cell r="N2087"/>
        </row>
        <row r="2088">
          <cell r="M2088"/>
          <cell r="N2088"/>
        </row>
        <row r="2089">
          <cell r="M2089"/>
          <cell r="N2089"/>
        </row>
        <row r="2090">
          <cell r="M2090"/>
          <cell r="N2090"/>
        </row>
        <row r="2091">
          <cell r="M2091"/>
          <cell r="N2091"/>
        </row>
        <row r="2092">
          <cell r="M2092"/>
          <cell r="N2092"/>
        </row>
        <row r="2093">
          <cell r="M2093"/>
          <cell r="N2093"/>
        </row>
        <row r="2094">
          <cell r="M2094"/>
          <cell r="N2094"/>
        </row>
        <row r="2095">
          <cell r="M2095"/>
          <cell r="N2095"/>
        </row>
        <row r="2096">
          <cell r="M2096"/>
          <cell r="N2096"/>
        </row>
        <row r="2097">
          <cell r="M2097"/>
          <cell r="N2097"/>
        </row>
        <row r="2098">
          <cell r="M2098"/>
          <cell r="N2098"/>
        </row>
        <row r="2099">
          <cell r="M2099"/>
          <cell r="N2099"/>
        </row>
        <row r="2100">
          <cell r="M2100"/>
          <cell r="N2100"/>
        </row>
        <row r="2101">
          <cell r="M2101"/>
          <cell r="N2101"/>
        </row>
        <row r="2102">
          <cell r="M2102"/>
          <cell r="N2102"/>
        </row>
        <row r="2103">
          <cell r="M2103"/>
          <cell r="N2103"/>
        </row>
        <row r="2104">
          <cell r="M2104"/>
          <cell r="N2104"/>
        </row>
        <row r="2105">
          <cell r="M2105"/>
          <cell r="N2105"/>
        </row>
        <row r="2106">
          <cell r="M2106"/>
          <cell r="N2106"/>
        </row>
        <row r="2107">
          <cell r="M2107"/>
          <cell r="N2107"/>
        </row>
        <row r="2108">
          <cell r="M2108"/>
          <cell r="N2108"/>
        </row>
        <row r="2109">
          <cell r="M2109"/>
          <cell r="N2109"/>
        </row>
        <row r="2110">
          <cell r="M2110"/>
          <cell r="N2110"/>
        </row>
        <row r="2111">
          <cell r="M2111"/>
          <cell r="N2111"/>
        </row>
        <row r="2112">
          <cell r="M2112"/>
          <cell r="N2112"/>
        </row>
        <row r="2113">
          <cell r="M2113"/>
          <cell r="N2113"/>
        </row>
        <row r="2114">
          <cell r="M2114"/>
          <cell r="N2114"/>
        </row>
        <row r="2115">
          <cell r="M2115"/>
          <cell r="N2115"/>
        </row>
        <row r="2116">
          <cell r="M2116"/>
          <cell r="N2116"/>
        </row>
        <row r="2117">
          <cell r="M2117"/>
          <cell r="N2117"/>
        </row>
        <row r="2118">
          <cell r="M2118"/>
          <cell r="N2118"/>
        </row>
        <row r="2119">
          <cell r="M2119"/>
          <cell r="N2119"/>
        </row>
        <row r="2120">
          <cell r="M2120"/>
          <cell r="N2120"/>
        </row>
        <row r="2121">
          <cell r="M2121"/>
          <cell r="N2121"/>
        </row>
        <row r="2122">
          <cell r="M2122"/>
          <cell r="N2122"/>
        </row>
        <row r="2123">
          <cell r="M2123"/>
          <cell r="N2123"/>
        </row>
        <row r="2124">
          <cell r="M2124"/>
          <cell r="N2124"/>
        </row>
        <row r="2125">
          <cell r="M2125"/>
          <cell r="N2125"/>
        </row>
        <row r="2126">
          <cell r="M2126"/>
          <cell r="N2126"/>
        </row>
        <row r="2127">
          <cell r="M2127"/>
          <cell r="N2127"/>
        </row>
        <row r="2128">
          <cell r="M2128"/>
          <cell r="N2128"/>
        </row>
        <row r="2129">
          <cell r="M2129"/>
          <cell r="N2129"/>
        </row>
        <row r="2130">
          <cell r="M2130"/>
          <cell r="N2130"/>
        </row>
        <row r="2131">
          <cell r="M2131"/>
          <cell r="N2131"/>
        </row>
        <row r="2132">
          <cell r="M2132"/>
          <cell r="N2132"/>
        </row>
        <row r="2133">
          <cell r="M2133"/>
          <cell r="N2133"/>
        </row>
        <row r="2134">
          <cell r="M2134"/>
          <cell r="N2134"/>
        </row>
        <row r="2135">
          <cell r="M2135"/>
          <cell r="N2135"/>
        </row>
        <row r="2136">
          <cell r="M2136"/>
          <cell r="N2136"/>
        </row>
        <row r="2137">
          <cell r="M2137"/>
          <cell r="N2137"/>
        </row>
        <row r="2138">
          <cell r="M2138"/>
          <cell r="N2138"/>
        </row>
        <row r="2139">
          <cell r="M2139"/>
          <cell r="N2139"/>
        </row>
        <row r="2140">
          <cell r="M2140"/>
          <cell r="N2140"/>
        </row>
        <row r="2141">
          <cell r="M2141"/>
          <cell r="N2141"/>
        </row>
        <row r="2142">
          <cell r="M2142"/>
          <cell r="N2142"/>
        </row>
        <row r="2143">
          <cell r="M2143"/>
          <cell r="N2143"/>
        </row>
        <row r="2144">
          <cell r="M2144"/>
          <cell r="N2144"/>
        </row>
        <row r="2145">
          <cell r="M2145"/>
          <cell r="N2145"/>
        </row>
        <row r="2146">
          <cell r="M2146"/>
          <cell r="N2146"/>
        </row>
        <row r="2147">
          <cell r="M2147"/>
          <cell r="N2147"/>
        </row>
        <row r="2148">
          <cell r="M2148"/>
          <cell r="N2148"/>
        </row>
        <row r="2149">
          <cell r="M2149"/>
          <cell r="N2149"/>
        </row>
        <row r="2150">
          <cell r="M2150"/>
          <cell r="N2150"/>
        </row>
        <row r="2151">
          <cell r="M2151"/>
          <cell r="N2151"/>
        </row>
        <row r="2152">
          <cell r="M2152"/>
          <cell r="N2152"/>
        </row>
        <row r="2153">
          <cell r="M2153"/>
          <cell r="N2153"/>
        </row>
        <row r="2154">
          <cell r="M2154"/>
          <cell r="N2154"/>
        </row>
        <row r="2155">
          <cell r="M2155"/>
          <cell r="N2155"/>
        </row>
        <row r="2156">
          <cell r="M2156"/>
          <cell r="N2156"/>
        </row>
        <row r="2157">
          <cell r="M2157"/>
          <cell r="N2157"/>
        </row>
        <row r="2158">
          <cell r="M2158"/>
          <cell r="N2158"/>
        </row>
        <row r="2159">
          <cell r="M2159"/>
          <cell r="N2159"/>
        </row>
        <row r="2160">
          <cell r="M2160"/>
          <cell r="N2160"/>
        </row>
        <row r="2161">
          <cell r="M2161"/>
          <cell r="N2161"/>
        </row>
        <row r="2162">
          <cell r="M2162"/>
          <cell r="N2162"/>
        </row>
        <row r="2163">
          <cell r="M2163"/>
          <cell r="N2163"/>
        </row>
        <row r="2164">
          <cell r="M2164"/>
          <cell r="N2164"/>
        </row>
        <row r="2165">
          <cell r="M2165"/>
          <cell r="N2165"/>
        </row>
        <row r="2166">
          <cell r="M2166"/>
          <cell r="N2166"/>
        </row>
        <row r="2167">
          <cell r="M2167"/>
          <cell r="N2167"/>
        </row>
        <row r="2168">
          <cell r="M2168"/>
          <cell r="N2168"/>
        </row>
        <row r="2169">
          <cell r="M2169"/>
          <cell r="N2169"/>
        </row>
        <row r="2170">
          <cell r="M2170"/>
          <cell r="N2170"/>
        </row>
        <row r="2171">
          <cell r="M2171"/>
          <cell r="N2171"/>
        </row>
        <row r="2172">
          <cell r="M2172"/>
          <cell r="N2172"/>
        </row>
        <row r="2173">
          <cell r="M2173"/>
          <cell r="N2173"/>
        </row>
        <row r="2174">
          <cell r="M2174"/>
          <cell r="N2174"/>
        </row>
        <row r="2175">
          <cell r="M2175"/>
          <cell r="N2175"/>
        </row>
        <row r="2176">
          <cell r="M2176"/>
          <cell r="N2176"/>
        </row>
        <row r="2177">
          <cell r="M2177"/>
          <cell r="N2177"/>
        </row>
        <row r="2178">
          <cell r="M2178"/>
          <cell r="N2178"/>
        </row>
        <row r="2179">
          <cell r="M2179"/>
          <cell r="N2179"/>
        </row>
        <row r="2180">
          <cell r="M2180"/>
          <cell r="N2180"/>
        </row>
        <row r="2181">
          <cell r="M2181"/>
          <cell r="N2181"/>
        </row>
        <row r="2182">
          <cell r="M2182"/>
          <cell r="N2182"/>
        </row>
        <row r="2183">
          <cell r="M2183"/>
          <cell r="N2183"/>
        </row>
        <row r="2184">
          <cell r="M2184"/>
          <cell r="N2184"/>
        </row>
        <row r="2185">
          <cell r="M2185"/>
          <cell r="N2185"/>
        </row>
        <row r="2186">
          <cell r="M2186"/>
          <cell r="N2186"/>
        </row>
        <row r="2187">
          <cell r="M2187"/>
          <cell r="N2187"/>
        </row>
        <row r="2188">
          <cell r="M2188"/>
          <cell r="N2188"/>
        </row>
        <row r="2189">
          <cell r="M2189"/>
          <cell r="N2189"/>
        </row>
        <row r="2190">
          <cell r="M2190"/>
          <cell r="N2190"/>
        </row>
        <row r="2191">
          <cell r="M2191"/>
          <cell r="N2191"/>
        </row>
        <row r="2192">
          <cell r="M2192"/>
          <cell r="N2192"/>
        </row>
        <row r="2193">
          <cell r="M2193"/>
          <cell r="N2193"/>
        </row>
        <row r="2194">
          <cell r="M2194"/>
          <cell r="N2194"/>
        </row>
        <row r="2195">
          <cell r="M2195"/>
          <cell r="N2195"/>
        </row>
        <row r="2196">
          <cell r="M2196"/>
          <cell r="N2196"/>
        </row>
        <row r="2197">
          <cell r="M2197"/>
          <cell r="N2197"/>
        </row>
        <row r="2198">
          <cell r="M2198"/>
          <cell r="N2198"/>
        </row>
        <row r="2199">
          <cell r="M2199"/>
          <cell r="N2199"/>
        </row>
        <row r="2200">
          <cell r="M2200"/>
          <cell r="N2200"/>
        </row>
        <row r="2201">
          <cell r="M2201"/>
          <cell r="N2201"/>
        </row>
        <row r="2202">
          <cell r="M2202"/>
          <cell r="N2202"/>
        </row>
        <row r="2203">
          <cell r="M2203"/>
          <cell r="N2203"/>
        </row>
        <row r="2204">
          <cell r="M2204"/>
          <cell r="N2204"/>
        </row>
        <row r="2205">
          <cell r="M2205"/>
          <cell r="N2205"/>
        </row>
        <row r="2206">
          <cell r="M2206"/>
          <cell r="N2206"/>
        </row>
        <row r="2207">
          <cell r="M2207"/>
          <cell r="N2207"/>
        </row>
        <row r="2208">
          <cell r="M2208"/>
          <cell r="N2208"/>
        </row>
        <row r="2209">
          <cell r="M2209"/>
          <cell r="N2209"/>
        </row>
        <row r="2210">
          <cell r="M2210"/>
          <cell r="N2210"/>
        </row>
        <row r="2211">
          <cell r="M2211"/>
          <cell r="N2211"/>
        </row>
        <row r="2212">
          <cell r="M2212"/>
          <cell r="N2212"/>
        </row>
        <row r="2213">
          <cell r="M2213"/>
          <cell r="N2213"/>
        </row>
        <row r="2214">
          <cell r="M2214"/>
          <cell r="N2214"/>
        </row>
        <row r="2215">
          <cell r="M2215"/>
          <cell r="N2215"/>
        </row>
        <row r="2216">
          <cell r="M2216"/>
          <cell r="N2216"/>
        </row>
        <row r="2217">
          <cell r="M2217"/>
          <cell r="N2217"/>
        </row>
        <row r="2218">
          <cell r="M2218"/>
          <cell r="N2218"/>
        </row>
        <row r="2219">
          <cell r="M2219"/>
          <cell r="N2219"/>
        </row>
        <row r="2220">
          <cell r="M2220"/>
          <cell r="N2220"/>
        </row>
        <row r="2221">
          <cell r="M2221"/>
          <cell r="N2221"/>
        </row>
        <row r="2222">
          <cell r="M2222"/>
          <cell r="N2222"/>
        </row>
        <row r="2223">
          <cell r="M2223"/>
          <cell r="N2223"/>
        </row>
        <row r="2224">
          <cell r="M2224"/>
          <cell r="N2224"/>
        </row>
        <row r="2225">
          <cell r="M2225"/>
          <cell r="N2225"/>
        </row>
        <row r="2226">
          <cell r="M2226"/>
          <cell r="N2226"/>
        </row>
        <row r="2227">
          <cell r="M2227"/>
          <cell r="N2227"/>
        </row>
        <row r="2228">
          <cell r="M2228"/>
          <cell r="N2228"/>
        </row>
        <row r="2229">
          <cell r="M2229"/>
          <cell r="N2229"/>
        </row>
        <row r="2230">
          <cell r="M2230"/>
          <cell r="N2230"/>
        </row>
        <row r="2231">
          <cell r="M2231"/>
          <cell r="N2231"/>
        </row>
        <row r="2232">
          <cell r="M2232"/>
          <cell r="N2232"/>
        </row>
        <row r="2233">
          <cell r="M2233"/>
          <cell r="N2233"/>
        </row>
        <row r="2234">
          <cell r="M2234"/>
          <cell r="N2234"/>
        </row>
        <row r="2235">
          <cell r="M2235"/>
          <cell r="N2235"/>
        </row>
        <row r="2236">
          <cell r="M2236"/>
          <cell r="N2236"/>
        </row>
        <row r="2237">
          <cell r="M2237"/>
          <cell r="N2237"/>
        </row>
        <row r="2238">
          <cell r="M2238"/>
          <cell r="N2238"/>
        </row>
        <row r="2239">
          <cell r="M2239"/>
          <cell r="N2239"/>
        </row>
        <row r="2240">
          <cell r="M2240"/>
          <cell r="N2240"/>
        </row>
        <row r="2241">
          <cell r="M2241"/>
          <cell r="N2241"/>
        </row>
        <row r="2242">
          <cell r="M2242"/>
          <cell r="N2242"/>
        </row>
        <row r="2243">
          <cell r="M2243"/>
          <cell r="N2243"/>
        </row>
        <row r="2244">
          <cell r="M2244"/>
          <cell r="N2244"/>
        </row>
        <row r="2245">
          <cell r="M2245"/>
          <cell r="N2245"/>
        </row>
        <row r="2246">
          <cell r="M2246"/>
          <cell r="N2246"/>
        </row>
        <row r="2247">
          <cell r="M2247"/>
          <cell r="N2247"/>
        </row>
        <row r="2248">
          <cell r="M2248"/>
          <cell r="N2248"/>
        </row>
        <row r="2249">
          <cell r="M2249"/>
          <cell r="N2249"/>
        </row>
        <row r="2250">
          <cell r="M2250"/>
          <cell r="N2250"/>
        </row>
        <row r="2251">
          <cell r="M2251"/>
          <cell r="N2251"/>
        </row>
        <row r="2252">
          <cell r="M2252"/>
          <cell r="N2252"/>
        </row>
        <row r="2253">
          <cell r="M2253"/>
          <cell r="N2253"/>
        </row>
        <row r="2254">
          <cell r="M2254"/>
          <cell r="N2254"/>
        </row>
        <row r="2255">
          <cell r="M2255"/>
          <cell r="N2255"/>
        </row>
        <row r="2256">
          <cell r="M2256"/>
          <cell r="N2256"/>
        </row>
        <row r="2257">
          <cell r="M2257"/>
          <cell r="N2257"/>
        </row>
        <row r="2258">
          <cell r="M2258"/>
          <cell r="N2258"/>
        </row>
        <row r="2259">
          <cell r="M2259"/>
          <cell r="N2259"/>
        </row>
        <row r="2260">
          <cell r="M2260"/>
          <cell r="N2260"/>
        </row>
        <row r="2261">
          <cell r="M2261"/>
          <cell r="N2261"/>
        </row>
        <row r="2262">
          <cell r="M2262"/>
          <cell r="N2262"/>
        </row>
        <row r="2263">
          <cell r="M2263"/>
          <cell r="N2263"/>
        </row>
        <row r="2264">
          <cell r="M2264"/>
          <cell r="N2264"/>
        </row>
        <row r="2265">
          <cell r="M2265"/>
          <cell r="N2265"/>
        </row>
        <row r="2266">
          <cell r="M2266"/>
          <cell r="N2266"/>
        </row>
        <row r="2267">
          <cell r="M2267"/>
          <cell r="N2267"/>
        </row>
        <row r="2268">
          <cell r="M2268"/>
          <cell r="N2268"/>
        </row>
        <row r="2269">
          <cell r="M2269"/>
          <cell r="N2269"/>
        </row>
        <row r="2270">
          <cell r="M2270"/>
          <cell r="N2270"/>
        </row>
        <row r="2271">
          <cell r="M2271"/>
          <cell r="N2271"/>
        </row>
        <row r="2272">
          <cell r="M2272"/>
          <cell r="N2272"/>
        </row>
        <row r="2273">
          <cell r="M2273"/>
          <cell r="N2273"/>
        </row>
        <row r="2274">
          <cell r="M2274"/>
          <cell r="N2274"/>
        </row>
        <row r="2275">
          <cell r="M2275"/>
          <cell r="N2275"/>
        </row>
        <row r="2276">
          <cell r="M2276"/>
          <cell r="N2276"/>
        </row>
        <row r="2277">
          <cell r="M2277"/>
          <cell r="N2277"/>
        </row>
        <row r="2278">
          <cell r="M2278"/>
          <cell r="N2278"/>
        </row>
        <row r="2279">
          <cell r="M2279"/>
          <cell r="N2279"/>
        </row>
        <row r="2280">
          <cell r="M2280"/>
          <cell r="N2280"/>
        </row>
        <row r="2281">
          <cell r="M2281"/>
          <cell r="N2281"/>
        </row>
        <row r="2282">
          <cell r="M2282"/>
          <cell r="N2282"/>
        </row>
        <row r="2283">
          <cell r="M2283"/>
          <cell r="N2283"/>
        </row>
        <row r="2284">
          <cell r="M2284"/>
          <cell r="N2284"/>
        </row>
        <row r="2285">
          <cell r="M2285"/>
          <cell r="N2285"/>
        </row>
        <row r="2286">
          <cell r="M2286"/>
          <cell r="N2286"/>
        </row>
        <row r="2287">
          <cell r="M2287"/>
          <cell r="N2287"/>
        </row>
        <row r="2288">
          <cell r="M2288"/>
          <cell r="N2288"/>
        </row>
        <row r="2289">
          <cell r="M2289"/>
          <cell r="N2289"/>
        </row>
        <row r="2290">
          <cell r="M2290"/>
          <cell r="N2290"/>
        </row>
        <row r="2291">
          <cell r="M2291"/>
          <cell r="N2291"/>
        </row>
        <row r="2292">
          <cell r="M2292"/>
          <cell r="N2292"/>
        </row>
        <row r="2293">
          <cell r="M2293"/>
          <cell r="N2293"/>
        </row>
        <row r="2294">
          <cell r="M2294"/>
          <cell r="N2294"/>
        </row>
        <row r="2295">
          <cell r="M2295"/>
          <cell r="N2295"/>
        </row>
        <row r="2296">
          <cell r="M2296"/>
          <cell r="N2296"/>
        </row>
        <row r="2297">
          <cell r="M2297"/>
          <cell r="N2297"/>
        </row>
        <row r="2298">
          <cell r="M2298"/>
          <cell r="N2298"/>
        </row>
        <row r="2299">
          <cell r="M2299"/>
          <cell r="N2299"/>
        </row>
        <row r="2300">
          <cell r="M2300"/>
          <cell r="N2300"/>
        </row>
        <row r="2301">
          <cell r="M2301"/>
          <cell r="N2301"/>
        </row>
        <row r="2302">
          <cell r="M2302"/>
          <cell r="N2302"/>
        </row>
        <row r="2303">
          <cell r="M2303"/>
          <cell r="N2303"/>
        </row>
        <row r="2304">
          <cell r="M2304"/>
          <cell r="N2304"/>
        </row>
        <row r="2305">
          <cell r="M2305"/>
          <cell r="N2305"/>
        </row>
        <row r="2306">
          <cell r="M2306"/>
          <cell r="N2306"/>
        </row>
        <row r="2307">
          <cell r="M2307"/>
          <cell r="N2307"/>
        </row>
        <row r="2308">
          <cell r="M2308"/>
          <cell r="N2308"/>
        </row>
        <row r="2309">
          <cell r="M2309"/>
          <cell r="N2309"/>
        </row>
        <row r="2310">
          <cell r="M2310"/>
          <cell r="N2310"/>
        </row>
        <row r="2311">
          <cell r="M2311"/>
          <cell r="N2311"/>
        </row>
        <row r="2312">
          <cell r="M2312"/>
          <cell r="N2312"/>
        </row>
        <row r="2313">
          <cell r="M2313"/>
          <cell r="N2313"/>
        </row>
        <row r="2314">
          <cell r="M2314"/>
          <cell r="N2314"/>
        </row>
        <row r="2315">
          <cell r="M2315"/>
          <cell r="N2315"/>
        </row>
        <row r="2316">
          <cell r="M2316"/>
          <cell r="N2316"/>
        </row>
        <row r="2317">
          <cell r="M2317"/>
          <cell r="N2317"/>
        </row>
        <row r="2318">
          <cell r="M2318"/>
          <cell r="N2318"/>
        </row>
        <row r="2319">
          <cell r="M2319"/>
          <cell r="N2319"/>
        </row>
        <row r="2320">
          <cell r="M2320"/>
          <cell r="N2320"/>
        </row>
        <row r="2321">
          <cell r="M2321"/>
          <cell r="N2321"/>
        </row>
        <row r="2322">
          <cell r="M2322"/>
          <cell r="N2322"/>
        </row>
        <row r="2323">
          <cell r="M2323"/>
          <cell r="N2323"/>
        </row>
        <row r="2324">
          <cell r="M2324"/>
          <cell r="N2324"/>
        </row>
        <row r="2325">
          <cell r="M2325"/>
          <cell r="N2325"/>
        </row>
        <row r="2326">
          <cell r="M2326"/>
          <cell r="N2326"/>
        </row>
        <row r="2327">
          <cell r="M2327"/>
          <cell r="N2327"/>
        </row>
        <row r="2328">
          <cell r="M2328"/>
          <cell r="N2328"/>
        </row>
        <row r="2329">
          <cell r="M2329"/>
          <cell r="N2329"/>
        </row>
        <row r="2330">
          <cell r="M2330"/>
          <cell r="N2330"/>
        </row>
        <row r="2331">
          <cell r="M2331"/>
          <cell r="N2331"/>
        </row>
        <row r="2332">
          <cell r="M2332"/>
          <cell r="N2332"/>
        </row>
        <row r="2333">
          <cell r="M2333"/>
          <cell r="N2333"/>
        </row>
        <row r="2334">
          <cell r="M2334"/>
          <cell r="N2334"/>
        </row>
        <row r="2335">
          <cell r="M2335"/>
          <cell r="N2335"/>
        </row>
        <row r="2336">
          <cell r="M2336"/>
          <cell r="N2336"/>
        </row>
        <row r="2337">
          <cell r="M2337"/>
          <cell r="N2337"/>
        </row>
        <row r="2338">
          <cell r="M2338"/>
          <cell r="N2338"/>
        </row>
        <row r="2339">
          <cell r="M2339"/>
          <cell r="N2339"/>
        </row>
        <row r="2340">
          <cell r="M2340"/>
          <cell r="N2340"/>
        </row>
        <row r="2341">
          <cell r="M2341"/>
          <cell r="N2341"/>
        </row>
        <row r="2342">
          <cell r="M2342"/>
          <cell r="N2342"/>
        </row>
        <row r="2343">
          <cell r="M2343"/>
          <cell r="N2343"/>
        </row>
        <row r="2344">
          <cell r="M2344"/>
          <cell r="N2344"/>
        </row>
        <row r="2345">
          <cell r="M2345"/>
          <cell r="N2345"/>
        </row>
        <row r="2346">
          <cell r="M2346"/>
          <cell r="N2346"/>
        </row>
        <row r="2347">
          <cell r="M2347"/>
          <cell r="N2347"/>
        </row>
        <row r="2348">
          <cell r="M2348"/>
          <cell r="N2348"/>
        </row>
        <row r="2349">
          <cell r="M2349"/>
          <cell r="N2349"/>
        </row>
        <row r="2350">
          <cell r="M2350"/>
          <cell r="N2350"/>
        </row>
        <row r="2351">
          <cell r="M2351"/>
          <cell r="N2351"/>
        </row>
        <row r="2352">
          <cell r="M2352"/>
          <cell r="N2352"/>
        </row>
        <row r="2353">
          <cell r="M2353"/>
          <cell r="N2353"/>
        </row>
        <row r="2354">
          <cell r="M2354"/>
          <cell r="N2354"/>
        </row>
        <row r="2355">
          <cell r="M2355"/>
          <cell r="N2355"/>
        </row>
        <row r="2356">
          <cell r="M2356"/>
          <cell r="N2356"/>
        </row>
        <row r="2357">
          <cell r="M2357"/>
          <cell r="N2357"/>
        </row>
        <row r="2358">
          <cell r="M2358"/>
          <cell r="N2358"/>
        </row>
        <row r="2359">
          <cell r="M2359"/>
          <cell r="N2359"/>
        </row>
        <row r="2360">
          <cell r="M2360"/>
          <cell r="N2360"/>
        </row>
        <row r="2361">
          <cell r="M2361"/>
          <cell r="N2361"/>
        </row>
        <row r="2362">
          <cell r="M2362"/>
          <cell r="N2362"/>
        </row>
        <row r="2363">
          <cell r="M2363"/>
          <cell r="N2363"/>
        </row>
        <row r="2364">
          <cell r="M2364"/>
          <cell r="N2364"/>
        </row>
        <row r="2365">
          <cell r="M2365"/>
          <cell r="N2365"/>
        </row>
        <row r="2366">
          <cell r="M2366"/>
          <cell r="N2366"/>
        </row>
        <row r="2367">
          <cell r="M2367"/>
          <cell r="N2367"/>
        </row>
        <row r="2368">
          <cell r="M2368"/>
          <cell r="N2368"/>
        </row>
        <row r="2369">
          <cell r="M2369"/>
          <cell r="N2369"/>
        </row>
        <row r="2370">
          <cell r="M2370"/>
          <cell r="N2370"/>
        </row>
        <row r="2371">
          <cell r="M2371"/>
          <cell r="N2371"/>
        </row>
        <row r="2372">
          <cell r="M2372"/>
          <cell r="N2372"/>
        </row>
        <row r="2373">
          <cell r="M2373"/>
          <cell r="N2373"/>
        </row>
        <row r="2374">
          <cell r="M2374"/>
          <cell r="N2374"/>
        </row>
        <row r="2375">
          <cell r="M2375"/>
          <cell r="N2375"/>
        </row>
        <row r="2376">
          <cell r="M2376"/>
          <cell r="N2376"/>
        </row>
        <row r="2377">
          <cell r="M2377"/>
          <cell r="N2377"/>
        </row>
        <row r="2378">
          <cell r="M2378"/>
          <cell r="N2378"/>
        </row>
        <row r="2379">
          <cell r="M2379"/>
          <cell r="N2379"/>
        </row>
        <row r="2380">
          <cell r="M2380"/>
          <cell r="N2380"/>
        </row>
        <row r="2381">
          <cell r="M2381"/>
          <cell r="N2381"/>
        </row>
        <row r="2382">
          <cell r="M2382"/>
          <cell r="N2382"/>
        </row>
        <row r="2383">
          <cell r="M2383"/>
          <cell r="N2383"/>
        </row>
        <row r="2384">
          <cell r="M2384"/>
          <cell r="N2384"/>
        </row>
        <row r="2385">
          <cell r="M2385"/>
          <cell r="N2385"/>
        </row>
        <row r="2386">
          <cell r="M2386"/>
          <cell r="N2386"/>
        </row>
        <row r="2387">
          <cell r="M2387"/>
          <cell r="N2387"/>
        </row>
        <row r="2388">
          <cell r="M2388"/>
          <cell r="N2388"/>
        </row>
        <row r="2389">
          <cell r="M2389"/>
          <cell r="N2389"/>
        </row>
        <row r="2390">
          <cell r="M2390"/>
          <cell r="N2390"/>
        </row>
        <row r="2391">
          <cell r="M2391"/>
          <cell r="N2391"/>
        </row>
        <row r="2392">
          <cell r="M2392"/>
          <cell r="N2392"/>
        </row>
        <row r="2393">
          <cell r="M2393"/>
          <cell r="N2393"/>
        </row>
        <row r="2394">
          <cell r="M2394"/>
          <cell r="N2394"/>
        </row>
        <row r="2395">
          <cell r="M2395"/>
          <cell r="N2395"/>
        </row>
        <row r="2396">
          <cell r="M2396"/>
          <cell r="N2396"/>
        </row>
        <row r="2397">
          <cell r="M2397"/>
          <cell r="N2397"/>
        </row>
        <row r="2398">
          <cell r="M2398"/>
          <cell r="N2398"/>
        </row>
        <row r="2399">
          <cell r="M2399"/>
          <cell r="N2399"/>
        </row>
        <row r="2400">
          <cell r="M2400"/>
          <cell r="N2400"/>
        </row>
        <row r="2401">
          <cell r="M2401"/>
          <cell r="N2401"/>
        </row>
        <row r="2402">
          <cell r="M2402"/>
          <cell r="N2402"/>
        </row>
        <row r="2403">
          <cell r="M2403"/>
          <cell r="N2403"/>
        </row>
        <row r="2404">
          <cell r="M2404"/>
          <cell r="N2404"/>
        </row>
        <row r="2405">
          <cell r="M2405"/>
          <cell r="N2405"/>
        </row>
        <row r="2406">
          <cell r="M2406"/>
          <cell r="N2406"/>
        </row>
        <row r="2407">
          <cell r="M2407"/>
          <cell r="N2407"/>
        </row>
        <row r="2408">
          <cell r="M2408"/>
          <cell r="N2408"/>
        </row>
        <row r="2409">
          <cell r="M2409"/>
          <cell r="N2409"/>
        </row>
        <row r="2410">
          <cell r="M2410"/>
          <cell r="N2410"/>
        </row>
        <row r="2411">
          <cell r="M2411"/>
          <cell r="N2411"/>
        </row>
        <row r="2412">
          <cell r="M2412"/>
          <cell r="N2412"/>
        </row>
        <row r="2413">
          <cell r="M2413"/>
          <cell r="N2413"/>
        </row>
        <row r="2414">
          <cell r="M2414"/>
          <cell r="N2414"/>
        </row>
        <row r="2415">
          <cell r="M2415"/>
          <cell r="N2415"/>
        </row>
        <row r="2416">
          <cell r="M2416"/>
          <cell r="N2416"/>
        </row>
        <row r="2417">
          <cell r="M2417"/>
          <cell r="N2417"/>
        </row>
        <row r="2418">
          <cell r="M2418"/>
          <cell r="N2418"/>
        </row>
        <row r="2419">
          <cell r="M2419"/>
          <cell r="N2419"/>
        </row>
        <row r="2420">
          <cell r="M2420"/>
          <cell r="N2420"/>
        </row>
        <row r="2421">
          <cell r="M2421"/>
          <cell r="N2421"/>
        </row>
        <row r="2422">
          <cell r="M2422"/>
          <cell r="N2422"/>
        </row>
        <row r="2423">
          <cell r="M2423"/>
          <cell r="N2423"/>
        </row>
        <row r="2424">
          <cell r="M2424"/>
          <cell r="N2424"/>
        </row>
        <row r="2425">
          <cell r="M2425"/>
          <cell r="N2425"/>
        </row>
        <row r="2426">
          <cell r="M2426"/>
          <cell r="N2426"/>
        </row>
        <row r="2427">
          <cell r="M2427"/>
          <cell r="N2427"/>
        </row>
        <row r="2428">
          <cell r="M2428"/>
          <cell r="N2428"/>
        </row>
        <row r="2429">
          <cell r="M2429"/>
          <cell r="N2429"/>
        </row>
        <row r="2430">
          <cell r="M2430"/>
          <cell r="N2430"/>
        </row>
        <row r="2431">
          <cell r="M2431"/>
          <cell r="N2431"/>
        </row>
        <row r="2432">
          <cell r="M2432"/>
          <cell r="N2432"/>
        </row>
        <row r="2433">
          <cell r="M2433"/>
          <cell r="N2433"/>
        </row>
        <row r="2434">
          <cell r="M2434"/>
          <cell r="N2434"/>
        </row>
        <row r="2435">
          <cell r="M2435"/>
          <cell r="N2435"/>
        </row>
        <row r="2436">
          <cell r="M2436"/>
          <cell r="N2436"/>
        </row>
        <row r="2437">
          <cell r="M2437"/>
          <cell r="N2437"/>
        </row>
        <row r="2438">
          <cell r="M2438"/>
          <cell r="N2438"/>
        </row>
        <row r="2439">
          <cell r="M2439"/>
          <cell r="N2439"/>
        </row>
        <row r="2440">
          <cell r="M2440"/>
          <cell r="N2440"/>
        </row>
        <row r="2441">
          <cell r="M2441"/>
          <cell r="N2441"/>
        </row>
        <row r="2442">
          <cell r="M2442"/>
          <cell r="N2442"/>
        </row>
        <row r="2443">
          <cell r="M2443"/>
          <cell r="N2443"/>
        </row>
        <row r="2444">
          <cell r="M2444"/>
          <cell r="N2444"/>
        </row>
        <row r="2445">
          <cell r="M2445"/>
          <cell r="N2445"/>
        </row>
        <row r="2446">
          <cell r="M2446"/>
          <cell r="N2446"/>
        </row>
        <row r="2447">
          <cell r="M2447"/>
          <cell r="N2447"/>
        </row>
        <row r="2448">
          <cell r="M2448"/>
          <cell r="N2448"/>
        </row>
        <row r="2449">
          <cell r="M2449"/>
          <cell r="N2449"/>
        </row>
        <row r="2450">
          <cell r="M2450"/>
          <cell r="N2450"/>
        </row>
        <row r="2451">
          <cell r="M2451"/>
          <cell r="N2451"/>
        </row>
        <row r="2452">
          <cell r="M2452"/>
          <cell r="N2452"/>
        </row>
        <row r="2453">
          <cell r="M2453"/>
          <cell r="N2453"/>
        </row>
        <row r="2454">
          <cell r="M2454"/>
          <cell r="N2454"/>
        </row>
        <row r="2455">
          <cell r="M2455"/>
          <cell r="N2455"/>
        </row>
        <row r="2456">
          <cell r="M2456"/>
          <cell r="N2456"/>
        </row>
        <row r="2457">
          <cell r="M2457"/>
          <cell r="N2457"/>
        </row>
        <row r="2458">
          <cell r="M2458"/>
          <cell r="N2458"/>
        </row>
        <row r="2459">
          <cell r="M2459"/>
          <cell r="N2459"/>
        </row>
        <row r="2460">
          <cell r="M2460"/>
          <cell r="N2460"/>
        </row>
        <row r="2461">
          <cell r="M2461"/>
          <cell r="N2461"/>
        </row>
        <row r="2462">
          <cell r="M2462"/>
          <cell r="N2462"/>
        </row>
        <row r="2463">
          <cell r="M2463"/>
          <cell r="N2463"/>
        </row>
        <row r="2464">
          <cell r="M2464"/>
          <cell r="N2464"/>
        </row>
        <row r="2465">
          <cell r="M2465"/>
          <cell r="N2465"/>
        </row>
        <row r="2466">
          <cell r="M2466"/>
          <cell r="N2466"/>
        </row>
        <row r="2467">
          <cell r="M2467"/>
          <cell r="N2467"/>
        </row>
        <row r="2468">
          <cell r="M2468"/>
          <cell r="N2468"/>
        </row>
        <row r="2469">
          <cell r="M2469"/>
          <cell r="N2469"/>
        </row>
        <row r="2470">
          <cell r="M2470"/>
          <cell r="N2470"/>
        </row>
        <row r="2471">
          <cell r="M2471"/>
          <cell r="N2471"/>
        </row>
        <row r="2472">
          <cell r="M2472"/>
          <cell r="N2472"/>
        </row>
        <row r="2473">
          <cell r="M2473"/>
          <cell r="N2473"/>
        </row>
        <row r="2474">
          <cell r="M2474"/>
          <cell r="N2474"/>
        </row>
        <row r="2475">
          <cell r="M2475"/>
          <cell r="N2475"/>
        </row>
        <row r="2476">
          <cell r="M2476"/>
          <cell r="N2476"/>
        </row>
        <row r="2477">
          <cell r="M2477"/>
          <cell r="N2477"/>
        </row>
        <row r="2478">
          <cell r="M2478"/>
          <cell r="N2478"/>
        </row>
        <row r="2479">
          <cell r="M2479"/>
          <cell r="N2479"/>
        </row>
        <row r="2480">
          <cell r="M2480"/>
          <cell r="N2480"/>
        </row>
        <row r="2481">
          <cell r="M2481"/>
          <cell r="N2481"/>
        </row>
        <row r="2482">
          <cell r="M2482"/>
          <cell r="N2482"/>
        </row>
        <row r="2483">
          <cell r="M2483"/>
          <cell r="N2483"/>
        </row>
        <row r="2484">
          <cell r="M2484"/>
          <cell r="N2484"/>
        </row>
        <row r="2485">
          <cell r="M2485"/>
          <cell r="N2485"/>
        </row>
        <row r="2486">
          <cell r="M2486"/>
          <cell r="N2486"/>
        </row>
        <row r="2487">
          <cell r="M2487"/>
          <cell r="N2487"/>
        </row>
        <row r="2488">
          <cell r="M2488"/>
          <cell r="N2488"/>
        </row>
        <row r="2489">
          <cell r="M2489"/>
          <cell r="N2489"/>
        </row>
        <row r="2490">
          <cell r="M2490"/>
          <cell r="N2490"/>
        </row>
        <row r="2491">
          <cell r="M2491"/>
          <cell r="N2491"/>
        </row>
        <row r="2492">
          <cell r="M2492"/>
          <cell r="N2492"/>
        </row>
        <row r="2493">
          <cell r="M2493"/>
          <cell r="N2493"/>
        </row>
        <row r="2494">
          <cell r="M2494"/>
          <cell r="N2494"/>
        </row>
        <row r="2495">
          <cell r="M2495"/>
          <cell r="N2495"/>
        </row>
        <row r="2496">
          <cell r="M2496"/>
          <cell r="N2496"/>
        </row>
        <row r="2497">
          <cell r="M2497"/>
          <cell r="N2497"/>
        </row>
        <row r="2498">
          <cell r="M2498"/>
          <cell r="N2498"/>
        </row>
        <row r="2499">
          <cell r="M2499"/>
          <cell r="N2499"/>
        </row>
        <row r="2500">
          <cell r="M2500"/>
          <cell r="N2500"/>
        </row>
        <row r="2501">
          <cell r="M2501"/>
          <cell r="N2501"/>
        </row>
        <row r="2502">
          <cell r="M2502"/>
          <cell r="N2502"/>
        </row>
        <row r="2503">
          <cell r="M2503"/>
          <cell r="N2503"/>
        </row>
        <row r="2504">
          <cell r="M2504"/>
          <cell r="N2504"/>
        </row>
        <row r="2505">
          <cell r="M2505"/>
          <cell r="N2505"/>
        </row>
        <row r="2506">
          <cell r="M2506"/>
          <cell r="N2506"/>
        </row>
        <row r="2507">
          <cell r="M2507"/>
          <cell r="N2507"/>
        </row>
        <row r="2508">
          <cell r="M2508"/>
          <cell r="N2508"/>
        </row>
        <row r="2509">
          <cell r="M2509"/>
          <cell r="N2509"/>
        </row>
        <row r="2510">
          <cell r="M2510"/>
          <cell r="N2510"/>
        </row>
        <row r="2511">
          <cell r="M2511"/>
          <cell r="N2511"/>
        </row>
        <row r="2512">
          <cell r="M2512"/>
          <cell r="N2512"/>
        </row>
        <row r="2513">
          <cell r="M2513"/>
          <cell r="N2513"/>
        </row>
        <row r="2514">
          <cell r="M2514"/>
          <cell r="N2514"/>
        </row>
        <row r="2515">
          <cell r="M2515"/>
          <cell r="N2515"/>
        </row>
        <row r="2516">
          <cell r="M2516"/>
          <cell r="N2516"/>
        </row>
        <row r="2517">
          <cell r="M2517"/>
          <cell r="N2517"/>
        </row>
        <row r="2518">
          <cell r="M2518"/>
          <cell r="N2518"/>
        </row>
        <row r="2519">
          <cell r="M2519"/>
          <cell r="N2519"/>
        </row>
        <row r="2520">
          <cell r="M2520"/>
          <cell r="N2520"/>
        </row>
        <row r="2521">
          <cell r="M2521"/>
          <cell r="N2521"/>
        </row>
        <row r="2522">
          <cell r="M2522"/>
          <cell r="N2522"/>
        </row>
        <row r="2523">
          <cell r="M2523"/>
          <cell r="N2523"/>
        </row>
        <row r="2524">
          <cell r="M2524"/>
          <cell r="N2524"/>
        </row>
        <row r="2525">
          <cell r="M2525"/>
          <cell r="N2525"/>
        </row>
        <row r="2526">
          <cell r="M2526"/>
          <cell r="N2526"/>
        </row>
        <row r="2527">
          <cell r="M2527"/>
          <cell r="N2527"/>
        </row>
        <row r="2528">
          <cell r="M2528"/>
          <cell r="N2528"/>
        </row>
        <row r="2529">
          <cell r="M2529"/>
          <cell r="N2529"/>
        </row>
        <row r="2530">
          <cell r="M2530"/>
          <cell r="N2530"/>
        </row>
        <row r="2531">
          <cell r="M2531"/>
          <cell r="N2531"/>
        </row>
        <row r="2532">
          <cell r="M2532"/>
          <cell r="N2532"/>
        </row>
        <row r="2533">
          <cell r="M2533"/>
          <cell r="N2533"/>
        </row>
        <row r="2534">
          <cell r="M2534"/>
          <cell r="N2534"/>
        </row>
        <row r="2535">
          <cell r="M2535"/>
          <cell r="N2535"/>
        </row>
        <row r="2536">
          <cell r="M2536"/>
          <cell r="N2536"/>
        </row>
        <row r="2537">
          <cell r="M2537"/>
          <cell r="N2537"/>
        </row>
        <row r="2538">
          <cell r="M2538"/>
          <cell r="N2538"/>
        </row>
        <row r="2539">
          <cell r="M2539"/>
          <cell r="N2539"/>
        </row>
        <row r="2540">
          <cell r="M2540"/>
          <cell r="N2540"/>
        </row>
        <row r="2541">
          <cell r="M2541"/>
          <cell r="N2541"/>
        </row>
        <row r="2542">
          <cell r="M2542"/>
          <cell r="N2542"/>
        </row>
        <row r="2543">
          <cell r="M2543"/>
          <cell r="N2543"/>
        </row>
        <row r="2544">
          <cell r="M2544"/>
          <cell r="N2544"/>
        </row>
        <row r="2545">
          <cell r="M2545"/>
          <cell r="N2545"/>
        </row>
        <row r="2546">
          <cell r="M2546"/>
          <cell r="N2546"/>
        </row>
        <row r="2547">
          <cell r="M2547"/>
          <cell r="N2547"/>
        </row>
        <row r="2548">
          <cell r="M2548"/>
          <cell r="N2548"/>
        </row>
        <row r="2549">
          <cell r="M2549"/>
          <cell r="N2549"/>
        </row>
        <row r="2550">
          <cell r="M2550"/>
          <cell r="N2550"/>
        </row>
        <row r="2551">
          <cell r="M2551"/>
          <cell r="N2551"/>
        </row>
        <row r="2552">
          <cell r="M2552"/>
          <cell r="N2552"/>
        </row>
        <row r="2553">
          <cell r="M2553"/>
          <cell r="N2553"/>
        </row>
        <row r="2554">
          <cell r="M2554"/>
          <cell r="N2554"/>
        </row>
        <row r="2555">
          <cell r="M2555"/>
          <cell r="N2555"/>
        </row>
        <row r="2556">
          <cell r="M2556"/>
          <cell r="N2556"/>
        </row>
        <row r="2557">
          <cell r="M2557"/>
          <cell r="N2557"/>
        </row>
        <row r="2558">
          <cell r="M2558"/>
          <cell r="N2558"/>
        </row>
        <row r="2559">
          <cell r="M2559"/>
          <cell r="N2559"/>
        </row>
        <row r="2560">
          <cell r="M2560"/>
          <cell r="N2560"/>
        </row>
        <row r="2561">
          <cell r="M2561"/>
          <cell r="N2561"/>
        </row>
        <row r="2562">
          <cell r="M2562"/>
          <cell r="N2562"/>
        </row>
        <row r="2563">
          <cell r="M2563"/>
          <cell r="N2563"/>
        </row>
        <row r="2564">
          <cell r="M2564"/>
          <cell r="N2564"/>
        </row>
        <row r="2565">
          <cell r="M2565"/>
          <cell r="N2565"/>
        </row>
        <row r="2566">
          <cell r="M2566"/>
          <cell r="N2566"/>
        </row>
        <row r="2567">
          <cell r="M2567"/>
          <cell r="N2567"/>
        </row>
        <row r="2568">
          <cell r="M2568"/>
          <cell r="N2568"/>
        </row>
        <row r="2569">
          <cell r="M2569"/>
          <cell r="N2569"/>
        </row>
        <row r="2570">
          <cell r="M2570"/>
          <cell r="N2570"/>
        </row>
        <row r="2571">
          <cell r="M2571"/>
          <cell r="N2571"/>
        </row>
        <row r="2572">
          <cell r="M2572"/>
          <cell r="N2572"/>
        </row>
        <row r="2573">
          <cell r="M2573"/>
          <cell r="N2573"/>
        </row>
        <row r="2574">
          <cell r="M2574"/>
          <cell r="N2574"/>
        </row>
        <row r="2575">
          <cell r="M2575"/>
          <cell r="N2575"/>
        </row>
        <row r="2576">
          <cell r="M2576"/>
          <cell r="N2576"/>
        </row>
        <row r="2577">
          <cell r="M2577"/>
          <cell r="N2577"/>
        </row>
        <row r="2578">
          <cell r="M2578"/>
          <cell r="N2578"/>
        </row>
        <row r="2579">
          <cell r="M2579"/>
          <cell r="N2579"/>
        </row>
        <row r="2580">
          <cell r="M2580"/>
          <cell r="N2580"/>
        </row>
        <row r="2581">
          <cell r="M2581"/>
          <cell r="N2581"/>
        </row>
        <row r="2582">
          <cell r="M2582"/>
          <cell r="N2582"/>
        </row>
        <row r="2583">
          <cell r="M2583"/>
          <cell r="N2583"/>
        </row>
        <row r="2584">
          <cell r="M2584"/>
          <cell r="N2584"/>
        </row>
        <row r="2585">
          <cell r="M2585"/>
          <cell r="N2585"/>
        </row>
        <row r="2586">
          <cell r="M2586"/>
          <cell r="N2586"/>
        </row>
        <row r="2587">
          <cell r="M2587"/>
          <cell r="N2587"/>
        </row>
        <row r="2588">
          <cell r="M2588"/>
          <cell r="N2588"/>
        </row>
        <row r="2589">
          <cell r="M2589"/>
          <cell r="N2589"/>
        </row>
        <row r="2590">
          <cell r="M2590"/>
          <cell r="N2590"/>
        </row>
        <row r="2591">
          <cell r="M2591"/>
          <cell r="N2591"/>
        </row>
        <row r="2592">
          <cell r="M2592"/>
          <cell r="N2592"/>
        </row>
        <row r="2593">
          <cell r="M2593"/>
          <cell r="N2593"/>
        </row>
        <row r="2594">
          <cell r="M2594"/>
          <cell r="N2594"/>
        </row>
        <row r="2595">
          <cell r="M2595"/>
          <cell r="N2595"/>
        </row>
        <row r="2596">
          <cell r="M2596"/>
          <cell r="N2596"/>
        </row>
        <row r="2597">
          <cell r="M2597"/>
          <cell r="N2597"/>
        </row>
        <row r="2598">
          <cell r="M2598"/>
          <cell r="N2598"/>
        </row>
        <row r="2599">
          <cell r="M2599"/>
          <cell r="N2599"/>
        </row>
        <row r="2600">
          <cell r="M2600"/>
          <cell r="N2600"/>
        </row>
        <row r="2601">
          <cell r="M2601"/>
          <cell r="N2601"/>
        </row>
        <row r="2602">
          <cell r="M2602"/>
          <cell r="N2602"/>
        </row>
        <row r="2603">
          <cell r="M2603"/>
          <cell r="N2603"/>
        </row>
        <row r="2604">
          <cell r="M2604"/>
          <cell r="N2604"/>
        </row>
        <row r="2605">
          <cell r="M2605"/>
          <cell r="N2605"/>
        </row>
        <row r="2606">
          <cell r="M2606"/>
          <cell r="N2606"/>
        </row>
        <row r="2607">
          <cell r="M2607"/>
          <cell r="N2607"/>
        </row>
        <row r="2608">
          <cell r="M2608"/>
          <cell r="N2608"/>
        </row>
        <row r="2609">
          <cell r="M2609"/>
          <cell r="N2609"/>
        </row>
        <row r="2610">
          <cell r="M2610"/>
          <cell r="N2610"/>
        </row>
        <row r="2611">
          <cell r="M2611"/>
          <cell r="N2611"/>
        </row>
        <row r="2612">
          <cell r="M2612"/>
          <cell r="N2612"/>
        </row>
        <row r="2613">
          <cell r="M2613"/>
          <cell r="N2613"/>
        </row>
        <row r="2614">
          <cell r="M2614"/>
          <cell r="N2614"/>
        </row>
        <row r="2615">
          <cell r="M2615"/>
          <cell r="N2615"/>
        </row>
        <row r="2616">
          <cell r="M2616"/>
          <cell r="N2616"/>
        </row>
        <row r="2617">
          <cell r="M2617"/>
          <cell r="N2617"/>
        </row>
        <row r="2618">
          <cell r="M2618"/>
          <cell r="N2618"/>
        </row>
        <row r="2619">
          <cell r="M2619"/>
          <cell r="N2619"/>
        </row>
        <row r="2620">
          <cell r="M2620"/>
          <cell r="N2620"/>
        </row>
        <row r="2621">
          <cell r="M2621"/>
          <cell r="N2621"/>
        </row>
        <row r="2622">
          <cell r="M2622"/>
          <cell r="N2622"/>
        </row>
        <row r="2623">
          <cell r="M2623"/>
          <cell r="N2623"/>
        </row>
        <row r="2624">
          <cell r="M2624"/>
          <cell r="N2624"/>
        </row>
        <row r="2625">
          <cell r="M2625"/>
          <cell r="N2625"/>
        </row>
        <row r="2626">
          <cell r="M2626"/>
          <cell r="N2626"/>
        </row>
        <row r="2627">
          <cell r="M2627"/>
          <cell r="N2627"/>
        </row>
        <row r="2628">
          <cell r="M2628"/>
          <cell r="N2628"/>
        </row>
        <row r="2629">
          <cell r="M2629"/>
          <cell r="N2629"/>
        </row>
        <row r="2630">
          <cell r="M2630"/>
          <cell r="N2630"/>
        </row>
        <row r="2631">
          <cell r="M2631"/>
          <cell r="N2631"/>
        </row>
        <row r="2632">
          <cell r="M2632"/>
          <cell r="N2632"/>
        </row>
        <row r="2633">
          <cell r="M2633"/>
          <cell r="N2633"/>
        </row>
        <row r="2634">
          <cell r="M2634"/>
          <cell r="N2634"/>
        </row>
        <row r="2635">
          <cell r="M2635"/>
          <cell r="N2635"/>
        </row>
        <row r="2636">
          <cell r="M2636"/>
          <cell r="N2636"/>
        </row>
        <row r="2637">
          <cell r="M2637"/>
          <cell r="N2637"/>
        </row>
        <row r="2638">
          <cell r="M2638"/>
          <cell r="N2638"/>
        </row>
        <row r="2639">
          <cell r="M2639"/>
          <cell r="N2639"/>
        </row>
        <row r="2640">
          <cell r="M2640"/>
          <cell r="N2640"/>
        </row>
        <row r="2641">
          <cell r="M2641"/>
          <cell r="N2641"/>
        </row>
        <row r="2642">
          <cell r="M2642"/>
          <cell r="N2642"/>
        </row>
        <row r="2643">
          <cell r="M2643"/>
          <cell r="N2643"/>
        </row>
        <row r="2644">
          <cell r="M2644"/>
          <cell r="N2644"/>
        </row>
        <row r="2645">
          <cell r="M2645"/>
          <cell r="N2645"/>
        </row>
        <row r="2646">
          <cell r="M2646"/>
          <cell r="N2646"/>
        </row>
        <row r="2647">
          <cell r="M2647"/>
          <cell r="N2647"/>
        </row>
        <row r="2648">
          <cell r="M2648"/>
          <cell r="N2648"/>
        </row>
        <row r="2649">
          <cell r="M2649"/>
          <cell r="N2649"/>
        </row>
        <row r="2650">
          <cell r="M2650"/>
          <cell r="N2650"/>
        </row>
        <row r="2651">
          <cell r="M2651"/>
          <cell r="N2651"/>
        </row>
        <row r="2652">
          <cell r="M2652"/>
          <cell r="N2652"/>
        </row>
        <row r="2653">
          <cell r="M2653"/>
          <cell r="N2653"/>
        </row>
        <row r="2654">
          <cell r="M2654"/>
          <cell r="N2654"/>
        </row>
        <row r="2655">
          <cell r="M2655"/>
          <cell r="N2655"/>
        </row>
        <row r="2656">
          <cell r="M2656"/>
          <cell r="N2656"/>
        </row>
        <row r="2657">
          <cell r="M2657"/>
          <cell r="N2657"/>
        </row>
        <row r="2658">
          <cell r="M2658"/>
          <cell r="N2658"/>
        </row>
        <row r="2659">
          <cell r="M2659"/>
          <cell r="N2659"/>
        </row>
        <row r="2660">
          <cell r="M2660"/>
          <cell r="N2660"/>
        </row>
        <row r="2661">
          <cell r="M2661"/>
          <cell r="N2661"/>
        </row>
        <row r="2662">
          <cell r="M2662"/>
          <cell r="N2662"/>
        </row>
        <row r="2663">
          <cell r="M2663"/>
          <cell r="N2663"/>
        </row>
        <row r="2664">
          <cell r="M2664"/>
          <cell r="N2664"/>
        </row>
        <row r="2665">
          <cell r="M2665"/>
          <cell r="N2665"/>
        </row>
        <row r="2666">
          <cell r="M2666"/>
          <cell r="N2666"/>
        </row>
        <row r="2667">
          <cell r="M2667"/>
          <cell r="N2667"/>
        </row>
        <row r="2668">
          <cell r="M2668"/>
          <cell r="N2668"/>
        </row>
        <row r="2669">
          <cell r="M2669"/>
          <cell r="N2669"/>
        </row>
        <row r="2670">
          <cell r="M2670"/>
          <cell r="N2670"/>
        </row>
        <row r="2671">
          <cell r="M2671"/>
          <cell r="N2671"/>
        </row>
        <row r="2672">
          <cell r="M2672"/>
          <cell r="N2672"/>
        </row>
        <row r="2673">
          <cell r="M2673"/>
          <cell r="N2673"/>
        </row>
        <row r="2674">
          <cell r="M2674"/>
          <cell r="N2674"/>
        </row>
        <row r="2675">
          <cell r="M2675"/>
          <cell r="N2675"/>
        </row>
        <row r="2676">
          <cell r="M2676"/>
          <cell r="N2676"/>
        </row>
        <row r="2677">
          <cell r="M2677"/>
          <cell r="N2677"/>
        </row>
        <row r="2678">
          <cell r="M2678"/>
          <cell r="N2678"/>
        </row>
        <row r="2679">
          <cell r="M2679"/>
          <cell r="N2679"/>
        </row>
        <row r="2680">
          <cell r="M2680"/>
          <cell r="N2680"/>
        </row>
        <row r="2681">
          <cell r="M2681"/>
          <cell r="N2681"/>
        </row>
        <row r="2682">
          <cell r="M2682"/>
          <cell r="N2682"/>
        </row>
        <row r="2683">
          <cell r="M2683"/>
          <cell r="N2683"/>
        </row>
        <row r="2684">
          <cell r="M2684"/>
          <cell r="N2684"/>
        </row>
        <row r="2685">
          <cell r="M2685"/>
          <cell r="N2685"/>
        </row>
        <row r="2686">
          <cell r="M2686"/>
          <cell r="N2686"/>
        </row>
        <row r="2687">
          <cell r="M2687"/>
          <cell r="N2687"/>
        </row>
        <row r="2688">
          <cell r="M2688"/>
          <cell r="N2688"/>
        </row>
        <row r="2689">
          <cell r="M2689"/>
          <cell r="N2689"/>
        </row>
        <row r="2690">
          <cell r="M2690"/>
          <cell r="N2690"/>
        </row>
        <row r="2691">
          <cell r="M2691"/>
          <cell r="N2691"/>
        </row>
        <row r="2692">
          <cell r="M2692"/>
          <cell r="N2692"/>
        </row>
        <row r="2693">
          <cell r="M2693"/>
          <cell r="N2693"/>
        </row>
        <row r="2694">
          <cell r="M2694"/>
          <cell r="N2694"/>
        </row>
        <row r="2695">
          <cell r="M2695"/>
          <cell r="N2695"/>
        </row>
        <row r="2696">
          <cell r="M2696"/>
          <cell r="N2696"/>
        </row>
        <row r="2697">
          <cell r="M2697"/>
          <cell r="N2697"/>
        </row>
        <row r="2698">
          <cell r="M2698"/>
          <cell r="N2698"/>
        </row>
        <row r="2699">
          <cell r="M2699"/>
          <cell r="N2699"/>
        </row>
        <row r="2700">
          <cell r="M2700"/>
          <cell r="N2700"/>
        </row>
        <row r="2701">
          <cell r="M2701"/>
          <cell r="N2701"/>
        </row>
        <row r="2702">
          <cell r="M2702"/>
          <cell r="N2702"/>
        </row>
        <row r="2703">
          <cell r="M2703"/>
          <cell r="N2703"/>
        </row>
        <row r="2704">
          <cell r="M2704"/>
          <cell r="N2704"/>
        </row>
        <row r="2705">
          <cell r="M2705"/>
          <cell r="N2705"/>
        </row>
        <row r="2706">
          <cell r="M2706"/>
          <cell r="N2706"/>
        </row>
        <row r="2707">
          <cell r="M2707"/>
          <cell r="N2707"/>
        </row>
        <row r="2708">
          <cell r="M2708"/>
          <cell r="N2708"/>
        </row>
        <row r="2709">
          <cell r="M2709"/>
          <cell r="N2709"/>
        </row>
        <row r="2710">
          <cell r="M2710"/>
          <cell r="N2710"/>
        </row>
        <row r="2711">
          <cell r="M2711"/>
          <cell r="N2711"/>
        </row>
        <row r="2712">
          <cell r="M2712"/>
          <cell r="N2712"/>
        </row>
        <row r="2713">
          <cell r="M2713"/>
          <cell r="N2713"/>
        </row>
        <row r="2714">
          <cell r="M2714"/>
          <cell r="N2714"/>
        </row>
        <row r="2715">
          <cell r="M2715"/>
          <cell r="N2715"/>
        </row>
        <row r="2716">
          <cell r="M2716"/>
          <cell r="N2716"/>
        </row>
        <row r="2717">
          <cell r="M2717"/>
          <cell r="N2717"/>
        </row>
        <row r="2718">
          <cell r="M2718"/>
          <cell r="N2718"/>
        </row>
        <row r="2719">
          <cell r="M2719"/>
          <cell r="N2719"/>
        </row>
        <row r="2720">
          <cell r="M2720"/>
          <cell r="N2720"/>
        </row>
        <row r="2721">
          <cell r="M2721"/>
          <cell r="N2721"/>
        </row>
        <row r="2722">
          <cell r="M2722"/>
          <cell r="N2722"/>
        </row>
        <row r="2723">
          <cell r="M2723"/>
          <cell r="N2723"/>
        </row>
        <row r="2724">
          <cell r="M2724"/>
          <cell r="N2724"/>
        </row>
        <row r="2725">
          <cell r="M2725"/>
          <cell r="N2725"/>
        </row>
        <row r="2726">
          <cell r="M2726"/>
          <cell r="N2726"/>
        </row>
        <row r="2727">
          <cell r="M2727"/>
          <cell r="N2727"/>
        </row>
        <row r="2728">
          <cell r="M2728"/>
          <cell r="N2728"/>
        </row>
        <row r="2729">
          <cell r="M2729"/>
          <cell r="N2729"/>
        </row>
        <row r="2730">
          <cell r="M2730"/>
          <cell r="N2730"/>
        </row>
        <row r="2731">
          <cell r="M2731"/>
          <cell r="N2731"/>
        </row>
        <row r="2732">
          <cell r="M2732"/>
          <cell r="N2732"/>
        </row>
        <row r="2733">
          <cell r="M2733"/>
          <cell r="N2733"/>
        </row>
        <row r="2734">
          <cell r="M2734"/>
          <cell r="N2734"/>
        </row>
        <row r="2735">
          <cell r="M2735"/>
          <cell r="N2735"/>
        </row>
        <row r="2736">
          <cell r="M2736"/>
          <cell r="N2736"/>
        </row>
        <row r="2737">
          <cell r="M2737"/>
          <cell r="N2737"/>
        </row>
        <row r="2738">
          <cell r="M2738"/>
          <cell r="N2738"/>
        </row>
        <row r="2739">
          <cell r="M2739"/>
          <cell r="N2739"/>
        </row>
        <row r="2740">
          <cell r="M2740"/>
          <cell r="N2740"/>
        </row>
        <row r="2741">
          <cell r="M2741"/>
          <cell r="N2741"/>
        </row>
        <row r="2742">
          <cell r="M2742"/>
          <cell r="N2742"/>
        </row>
        <row r="2743">
          <cell r="M2743"/>
          <cell r="N2743"/>
        </row>
        <row r="2744">
          <cell r="M2744"/>
          <cell r="N2744"/>
        </row>
        <row r="2745">
          <cell r="M2745"/>
          <cell r="N2745"/>
        </row>
        <row r="2746">
          <cell r="M2746"/>
          <cell r="N2746"/>
        </row>
        <row r="2747">
          <cell r="M2747"/>
          <cell r="N2747"/>
        </row>
        <row r="2748">
          <cell r="M2748"/>
          <cell r="N2748"/>
        </row>
        <row r="2749">
          <cell r="M2749"/>
          <cell r="N2749"/>
        </row>
        <row r="2750">
          <cell r="M2750"/>
          <cell r="N2750"/>
        </row>
        <row r="2751">
          <cell r="M2751"/>
          <cell r="N2751"/>
        </row>
        <row r="2752">
          <cell r="M2752"/>
          <cell r="N2752"/>
        </row>
        <row r="2753">
          <cell r="M2753"/>
          <cell r="N2753"/>
        </row>
        <row r="2754">
          <cell r="M2754"/>
          <cell r="N2754"/>
        </row>
        <row r="2755">
          <cell r="M2755"/>
          <cell r="N2755"/>
        </row>
        <row r="2756">
          <cell r="M2756"/>
          <cell r="N2756"/>
        </row>
        <row r="2757">
          <cell r="M2757"/>
          <cell r="N2757"/>
        </row>
        <row r="2758">
          <cell r="M2758"/>
          <cell r="N2758"/>
        </row>
        <row r="2759">
          <cell r="M2759"/>
          <cell r="N2759"/>
        </row>
        <row r="2760">
          <cell r="M2760"/>
          <cell r="N2760"/>
        </row>
        <row r="2761">
          <cell r="M2761"/>
          <cell r="N2761"/>
        </row>
        <row r="2762">
          <cell r="M2762"/>
          <cell r="N2762"/>
        </row>
        <row r="2763">
          <cell r="M2763"/>
          <cell r="N2763"/>
        </row>
        <row r="2764">
          <cell r="M2764"/>
          <cell r="N2764"/>
        </row>
        <row r="2765">
          <cell r="M2765"/>
          <cell r="N2765"/>
        </row>
        <row r="2766">
          <cell r="M2766"/>
          <cell r="N2766"/>
        </row>
        <row r="2767">
          <cell r="M2767"/>
          <cell r="N2767"/>
        </row>
        <row r="2768">
          <cell r="M2768"/>
          <cell r="N2768"/>
        </row>
        <row r="2769">
          <cell r="M2769"/>
          <cell r="N2769"/>
        </row>
        <row r="2770">
          <cell r="M2770"/>
          <cell r="N2770"/>
        </row>
        <row r="2771">
          <cell r="M2771"/>
          <cell r="N2771"/>
        </row>
        <row r="2772">
          <cell r="M2772"/>
          <cell r="N2772"/>
        </row>
        <row r="2773">
          <cell r="M2773"/>
          <cell r="N2773"/>
        </row>
        <row r="2774">
          <cell r="M2774"/>
          <cell r="N2774"/>
        </row>
        <row r="2775">
          <cell r="M2775"/>
          <cell r="N2775"/>
        </row>
        <row r="2776">
          <cell r="M2776"/>
          <cell r="N2776"/>
        </row>
        <row r="2777">
          <cell r="M2777"/>
          <cell r="N2777"/>
        </row>
        <row r="2778">
          <cell r="M2778"/>
          <cell r="N2778"/>
        </row>
        <row r="2779">
          <cell r="M2779"/>
          <cell r="N2779"/>
        </row>
        <row r="2780">
          <cell r="M2780"/>
          <cell r="N2780"/>
        </row>
        <row r="2781">
          <cell r="M2781"/>
          <cell r="N2781"/>
        </row>
        <row r="2782">
          <cell r="M2782"/>
          <cell r="N2782"/>
        </row>
        <row r="2783">
          <cell r="M2783"/>
          <cell r="N2783"/>
        </row>
        <row r="2784">
          <cell r="M2784"/>
          <cell r="N2784"/>
        </row>
        <row r="2785">
          <cell r="M2785"/>
          <cell r="N2785"/>
        </row>
        <row r="2786">
          <cell r="M2786"/>
          <cell r="N2786"/>
        </row>
        <row r="2787">
          <cell r="M2787"/>
          <cell r="N2787"/>
        </row>
        <row r="2788">
          <cell r="M2788"/>
          <cell r="N2788"/>
        </row>
        <row r="2789">
          <cell r="M2789"/>
          <cell r="N2789"/>
        </row>
        <row r="2790">
          <cell r="M2790"/>
          <cell r="N2790"/>
        </row>
        <row r="2791">
          <cell r="M2791"/>
          <cell r="N2791"/>
        </row>
        <row r="2792">
          <cell r="M2792"/>
          <cell r="N2792"/>
        </row>
        <row r="2793">
          <cell r="M2793"/>
          <cell r="N2793"/>
        </row>
        <row r="2794">
          <cell r="M2794"/>
          <cell r="N2794"/>
        </row>
        <row r="2795">
          <cell r="M2795"/>
          <cell r="N2795"/>
        </row>
        <row r="2796">
          <cell r="M2796"/>
          <cell r="N2796"/>
        </row>
        <row r="2797">
          <cell r="M2797"/>
          <cell r="N2797"/>
        </row>
        <row r="2798">
          <cell r="M2798"/>
          <cell r="N2798"/>
        </row>
        <row r="2799">
          <cell r="M2799"/>
          <cell r="N2799"/>
        </row>
        <row r="2800">
          <cell r="M2800"/>
          <cell r="N2800"/>
        </row>
        <row r="2801">
          <cell r="M2801"/>
          <cell r="N2801"/>
        </row>
        <row r="2802">
          <cell r="M2802"/>
          <cell r="N2802"/>
        </row>
        <row r="2803">
          <cell r="M2803"/>
          <cell r="N2803"/>
        </row>
        <row r="2804">
          <cell r="M2804"/>
          <cell r="N2804"/>
        </row>
        <row r="2805">
          <cell r="M2805"/>
          <cell r="N2805"/>
        </row>
        <row r="2806">
          <cell r="M2806"/>
          <cell r="N2806"/>
        </row>
        <row r="2807">
          <cell r="M2807"/>
          <cell r="N2807"/>
        </row>
        <row r="2808">
          <cell r="M2808"/>
          <cell r="N2808"/>
        </row>
        <row r="2809">
          <cell r="M2809"/>
          <cell r="N2809"/>
        </row>
        <row r="2810">
          <cell r="M2810"/>
          <cell r="N2810"/>
        </row>
        <row r="2811">
          <cell r="M2811"/>
          <cell r="N2811"/>
        </row>
        <row r="2812">
          <cell r="M2812"/>
          <cell r="N2812"/>
        </row>
        <row r="2813">
          <cell r="M2813"/>
          <cell r="N2813"/>
        </row>
        <row r="2814">
          <cell r="M2814"/>
          <cell r="N2814"/>
        </row>
        <row r="2815">
          <cell r="M2815"/>
          <cell r="N2815"/>
        </row>
        <row r="2816">
          <cell r="M2816"/>
          <cell r="N2816"/>
        </row>
        <row r="2817">
          <cell r="M2817"/>
          <cell r="N2817"/>
        </row>
        <row r="2818">
          <cell r="M2818"/>
          <cell r="N2818"/>
        </row>
        <row r="2819">
          <cell r="M2819"/>
          <cell r="N2819"/>
        </row>
        <row r="2820">
          <cell r="M2820"/>
          <cell r="N2820"/>
        </row>
        <row r="2821">
          <cell r="M2821"/>
          <cell r="N2821"/>
        </row>
        <row r="2822">
          <cell r="M2822"/>
          <cell r="N2822"/>
        </row>
        <row r="2823">
          <cell r="M2823"/>
          <cell r="N2823"/>
        </row>
        <row r="2824">
          <cell r="M2824"/>
          <cell r="N2824"/>
        </row>
        <row r="2825">
          <cell r="M2825"/>
          <cell r="N2825"/>
        </row>
        <row r="2826">
          <cell r="M2826"/>
          <cell r="N2826"/>
        </row>
        <row r="2827">
          <cell r="M2827"/>
          <cell r="N2827"/>
        </row>
        <row r="2828">
          <cell r="M2828"/>
          <cell r="N2828"/>
        </row>
        <row r="2829">
          <cell r="M2829"/>
          <cell r="N2829"/>
        </row>
        <row r="2830">
          <cell r="M2830"/>
          <cell r="N2830"/>
        </row>
        <row r="2831">
          <cell r="M2831"/>
          <cell r="N2831"/>
        </row>
        <row r="2832">
          <cell r="M2832"/>
          <cell r="N2832"/>
        </row>
        <row r="2833">
          <cell r="M2833"/>
          <cell r="N2833"/>
        </row>
        <row r="2834">
          <cell r="M2834"/>
          <cell r="N2834"/>
        </row>
        <row r="2835">
          <cell r="M2835"/>
          <cell r="N2835"/>
        </row>
        <row r="2836">
          <cell r="M2836"/>
          <cell r="N2836"/>
        </row>
        <row r="2837">
          <cell r="M2837"/>
          <cell r="N2837"/>
        </row>
        <row r="2838">
          <cell r="M2838"/>
          <cell r="N2838"/>
        </row>
        <row r="2839">
          <cell r="M2839"/>
          <cell r="N2839"/>
        </row>
        <row r="2840">
          <cell r="M2840"/>
          <cell r="N2840"/>
        </row>
        <row r="2841">
          <cell r="M2841"/>
          <cell r="N2841"/>
        </row>
        <row r="2842">
          <cell r="M2842"/>
          <cell r="N2842"/>
        </row>
        <row r="2843">
          <cell r="M2843"/>
          <cell r="N2843"/>
        </row>
        <row r="2844">
          <cell r="M2844"/>
          <cell r="N2844"/>
        </row>
        <row r="2845">
          <cell r="M2845"/>
          <cell r="N2845"/>
        </row>
        <row r="2846">
          <cell r="M2846"/>
          <cell r="N2846"/>
        </row>
        <row r="2847">
          <cell r="M2847"/>
          <cell r="N2847"/>
        </row>
        <row r="2848">
          <cell r="M2848"/>
          <cell r="N2848"/>
        </row>
        <row r="2849">
          <cell r="M2849"/>
          <cell r="N2849"/>
        </row>
        <row r="2850">
          <cell r="M2850"/>
          <cell r="N2850"/>
        </row>
        <row r="2851">
          <cell r="M2851"/>
          <cell r="N2851"/>
        </row>
        <row r="2852">
          <cell r="M2852"/>
          <cell r="N2852"/>
        </row>
        <row r="2853">
          <cell r="M2853"/>
          <cell r="N2853"/>
        </row>
        <row r="2854">
          <cell r="M2854"/>
          <cell r="N2854"/>
        </row>
        <row r="2855">
          <cell r="M2855"/>
          <cell r="N2855"/>
        </row>
        <row r="2856">
          <cell r="M2856"/>
          <cell r="N2856"/>
        </row>
        <row r="2857">
          <cell r="M2857"/>
          <cell r="N2857"/>
        </row>
        <row r="2858">
          <cell r="M2858"/>
          <cell r="N2858"/>
        </row>
        <row r="2859">
          <cell r="M2859"/>
          <cell r="N2859"/>
        </row>
        <row r="2860">
          <cell r="M2860"/>
          <cell r="N2860"/>
        </row>
        <row r="2861">
          <cell r="M2861"/>
          <cell r="N2861"/>
        </row>
        <row r="2862">
          <cell r="M2862"/>
          <cell r="N2862"/>
        </row>
        <row r="2863">
          <cell r="M2863"/>
          <cell r="N2863"/>
        </row>
        <row r="2864">
          <cell r="M2864"/>
          <cell r="N2864"/>
        </row>
        <row r="2865">
          <cell r="M2865"/>
          <cell r="N2865"/>
        </row>
        <row r="2866">
          <cell r="M2866"/>
          <cell r="N2866"/>
        </row>
        <row r="2867">
          <cell r="M2867"/>
          <cell r="N2867"/>
        </row>
        <row r="2868">
          <cell r="M2868"/>
          <cell r="N2868"/>
        </row>
        <row r="2869">
          <cell r="M2869"/>
          <cell r="N2869"/>
        </row>
        <row r="2870">
          <cell r="M2870"/>
          <cell r="N2870"/>
        </row>
        <row r="2871">
          <cell r="M2871"/>
          <cell r="N2871"/>
        </row>
        <row r="2872">
          <cell r="M2872"/>
          <cell r="N2872"/>
        </row>
        <row r="2873">
          <cell r="M2873"/>
          <cell r="N2873"/>
        </row>
        <row r="2874">
          <cell r="M2874"/>
          <cell r="N2874"/>
        </row>
        <row r="2875">
          <cell r="M2875"/>
          <cell r="N2875"/>
        </row>
        <row r="2876">
          <cell r="M2876"/>
          <cell r="N2876"/>
        </row>
        <row r="2877">
          <cell r="M2877"/>
          <cell r="N2877"/>
        </row>
        <row r="2878">
          <cell r="M2878"/>
          <cell r="N2878"/>
        </row>
        <row r="2879">
          <cell r="M2879"/>
          <cell r="N2879"/>
        </row>
        <row r="2880">
          <cell r="M2880"/>
          <cell r="N2880"/>
        </row>
        <row r="2881">
          <cell r="M2881"/>
          <cell r="N2881"/>
        </row>
        <row r="2882">
          <cell r="M2882"/>
          <cell r="N2882"/>
        </row>
        <row r="2883">
          <cell r="M2883"/>
          <cell r="N2883"/>
        </row>
        <row r="2884">
          <cell r="M2884"/>
          <cell r="N2884"/>
        </row>
        <row r="2885">
          <cell r="M2885"/>
          <cell r="N2885"/>
        </row>
        <row r="2886">
          <cell r="M2886"/>
          <cell r="N2886"/>
        </row>
        <row r="2887">
          <cell r="M2887"/>
          <cell r="N2887"/>
        </row>
        <row r="2888">
          <cell r="M2888"/>
          <cell r="N2888"/>
        </row>
        <row r="2889">
          <cell r="M2889"/>
          <cell r="N2889"/>
        </row>
        <row r="2890">
          <cell r="M2890"/>
          <cell r="N2890"/>
        </row>
        <row r="2891">
          <cell r="M2891"/>
          <cell r="N2891"/>
        </row>
        <row r="2892">
          <cell r="M2892"/>
          <cell r="N2892"/>
        </row>
        <row r="2893">
          <cell r="M2893"/>
          <cell r="N2893"/>
        </row>
        <row r="2894">
          <cell r="M2894"/>
          <cell r="N2894"/>
        </row>
        <row r="2895">
          <cell r="M2895"/>
          <cell r="N2895"/>
        </row>
        <row r="2896">
          <cell r="M2896"/>
          <cell r="N2896"/>
        </row>
        <row r="2897">
          <cell r="M2897"/>
          <cell r="N2897"/>
        </row>
        <row r="2898">
          <cell r="M2898"/>
          <cell r="N2898"/>
        </row>
        <row r="2899">
          <cell r="M2899"/>
          <cell r="N2899"/>
        </row>
        <row r="2900">
          <cell r="M2900"/>
          <cell r="N2900"/>
        </row>
        <row r="2901">
          <cell r="M2901"/>
          <cell r="N2901"/>
        </row>
        <row r="2902">
          <cell r="M2902"/>
          <cell r="N2902"/>
        </row>
        <row r="2903">
          <cell r="M2903"/>
          <cell r="N2903"/>
        </row>
        <row r="2904">
          <cell r="M2904"/>
          <cell r="N2904"/>
        </row>
        <row r="2905">
          <cell r="M2905"/>
          <cell r="N2905"/>
        </row>
        <row r="2906">
          <cell r="M2906"/>
          <cell r="N2906"/>
        </row>
        <row r="2907">
          <cell r="M2907"/>
          <cell r="N2907"/>
        </row>
        <row r="2908">
          <cell r="M2908"/>
          <cell r="N2908"/>
        </row>
        <row r="2909">
          <cell r="M2909"/>
          <cell r="N2909"/>
        </row>
        <row r="2910">
          <cell r="M2910"/>
          <cell r="N2910"/>
        </row>
        <row r="2911">
          <cell r="M2911"/>
          <cell r="N2911"/>
        </row>
        <row r="2912">
          <cell r="M2912"/>
          <cell r="N2912"/>
        </row>
        <row r="2913">
          <cell r="M2913"/>
          <cell r="N2913"/>
        </row>
        <row r="2914">
          <cell r="M2914"/>
          <cell r="N2914"/>
        </row>
        <row r="2915">
          <cell r="M2915"/>
          <cell r="N2915"/>
        </row>
        <row r="2916">
          <cell r="M2916"/>
          <cell r="N2916"/>
        </row>
        <row r="2917">
          <cell r="M2917"/>
          <cell r="N2917"/>
        </row>
        <row r="2918">
          <cell r="M2918"/>
          <cell r="N2918"/>
        </row>
        <row r="2919">
          <cell r="M2919"/>
          <cell r="N2919"/>
        </row>
        <row r="2920">
          <cell r="M2920"/>
          <cell r="N2920"/>
        </row>
        <row r="2921">
          <cell r="M2921"/>
          <cell r="N2921"/>
        </row>
        <row r="2922">
          <cell r="M2922"/>
          <cell r="N2922"/>
        </row>
        <row r="2923">
          <cell r="M2923"/>
          <cell r="N2923"/>
        </row>
        <row r="2924">
          <cell r="M2924"/>
          <cell r="N2924"/>
        </row>
        <row r="2925">
          <cell r="M2925"/>
          <cell r="N2925"/>
        </row>
        <row r="2926">
          <cell r="M2926"/>
          <cell r="N2926"/>
        </row>
        <row r="2927">
          <cell r="M2927"/>
          <cell r="N2927"/>
        </row>
        <row r="2928">
          <cell r="M2928"/>
          <cell r="N2928"/>
        </row>
        <row r="2929">
          <cell r="M2929"/>
          <cell r="N2929"/>
        </row>
        <row r="2930">
          <cell r="M2930"/>
          <cell r="N2930"/>
        </row>
        <row r="2931">
          <cell r="M2931"/>
          <cell r="N2931"/>
        </row>
        <row r="2932">
          <cell r="M2932"/>
          <cell r="N2932"/>
        </row>
        <row r="2933">
          <cell r="M2933"/>
          <cell r="N2933"/>
        </row>
        <row r="2934">
          <cell r="M2934"/>
          <cell r="N2934"/>
        </row>
        <row r="2935">
          <cell r="M2935"/>
          <cell r="N2935"/>
        </row>
        <row r="2936">
          <cell r="M2936"/>
          <cell r="N2936"/>
        </row>
        <row r="2937">
          <cell r="M2937"/>
          <cell r="N2937"/>
        </row>
        <row r="2938">
          <cell r="M2938"/>
          <cell r="N2938"/>
        </row>
        <row r="2939">
          <cell r="M2939"/>
          <cell r="N2939"/>
        </row>
        <row r="2940">
          <cell r="M2940"/>
          <cell r="N2940"/>
        </row>
        <row r="2941">
          <cell r="M2941"/>
          <cell r="N2941"/>
        </row>
        <row r="2942">
          <cell r="M2942"/>
          <cell r="N2942"/>
        </row>
        <row r="2943">
          <cell r="M2943"/>
          <cell r="N2943"/>
        </row>
        <row r="2944">
          <cell r="M2944"/>
          <cell r="N2944"/>
        </row>
        <row r="2945">
          <cell r="M2945"/>
          <cell r="N2945"/>
        </row>
        <row r="2946">
          <cell r="M2946"/>
          <cell r="N2946"/>
        </row>
        <row r="2947">
          <cell r="M2947"/>
          <cell r="N2947"/>
        </row>
        <row r="2948">
          <cell r="M2948"/>
          <cell r="N2948"/>
        </row>
        <row r="2949">
          <cell r="M2949"/>
          <cell r="N2949"/>
        </row>
        <row r="2950">
          <cell r="M2950"/>
          <cell r="N2950"/>
        </row>
        <row r="2951">
          <cell r="M2951"/>
          <cell r="N2951"/>
        </row>
        <row r="2952">
          <cell r="M2952"/>
          <cell r="N2952"/>
        </row>
        <row r="2953">
          <cell r="M2953"/>
          <cell r="N2953"/>
        </row>
        <row r="2954">
          <cell r="M2954"/>
          <cell r="N2954"/>
        </row>
        <row r="2955">
          <cell r="M2955"/>
          <cell r="N2955"/>
        </row>
        <row r="2956">
          <cell r="M2956"/>
          <cell r="N2956"/>
        </row>
        <row r="2957">
          <cell r="M2957"/>
          <cell r="N2957"/>
        </row>
        <row r="2958">
          <cell r="M2958"/>
          <cell r="N2958"/>
        </row>
        <row r="2959">
          <cell r="M2959"/>
          <cell r="N2959"/>
        </row>
        <row r="2960">
          <cell r="M2960"/>
          <cell r="N2960"/>
        </row>
        <row r="2961">
          <cell r="M2961"/>
          <cell r="N2961"/>
        </row>
        <row r="2962">
          <cell r="M2962"/>
          <cell r="N2962"/>
        </row>
        <row r="2963">
          <cell r="M2963"/>
          <cell r="N2963"/>
        </row>
        <row r="2964">
          <cell r="M2964"/>
          <cell r="N2964"/>
        </row>
        <row r="2965">
          <cell r="M2965"/>
          <cell r="N2965"/>
        </row>
        <row r="2966">
          <cell r="M2966"/>
          <cell r="N2966"/>
        </row>
        <row r="2967">
          <cell r="M2967"/>
          <cell r="N2967"/>
        </row>
        <row r="2968">
          <cell r="M2968"/>
          <cell r="N2968"/>
        </row>
        <row r="2969">
          <cell r="M2969"/>
          <cell r="N2969"/>
        </row>
        <row r="2970">
          <cell r="M2970"/>
          <cell r="N2970"/>
        </row>
        <row r="2971">
          <cell r="M2971"/>
          <cell r="N2971"/>
        </row>
        <row r="2972">
          <cell r="M2972"/>
          <cell r="N2972"/>
        </row>
        <row r="2973">
          <cell r="M2973"/>
          <cell r="N2973"/>
        </row>
        <row r="2974">
          <cell r="M2974"/>
          <cell r="N2974"/>
        </row>
        <row r="2975">
          <cell r="M2975"/>
          <cell r="N2975"/>
        </row>
        <row r="2976">
          <cell r="M2976"/>
          <cell r="N2976"/>
        </row>
        <row r="2977">
          <cell r="M2977"/>
          <cell r="N2977"/>
        </row>
        <row r="2978">
          <cell r="M2978"/>
          <cell r="N2978"/>
        </row>
        <row r="2979">
          <cell r="M2979"/>
          <cell r="N2979"/>
        </row>
        <row r="2980">
          <cell r="M2980"/>
          <cell r="N2980"/>
        </row>
        <row r="2981">
          <cell r="M2981"/>
          <cell r="N2981"/>
        </row>
        <row r="2982">
          <cell r="M2982"/>
          <cell r="N2982"/>
        </row>
        <row r="2983">
          <cell r="M2983"/>
          <cell r="N2983"/>
        </row>
        <row r="2984">
          <cell r="M2984"/>
          <cell r="N2984"/>
        </row>
        <row r="2985">
          <cell r="M2985"/>
          <cell r="N2985"/>
        </row>
        <row r="2986">
          <cell r="M2986"/>
          <cell r="N2986"/>
        </row>
        <row r="2987">
          <cell r="M2987"/>
          <cell r="N2987"/>
        </row>
        <row r="2988">
          <cell r="M2988"/>
          <cell r="N2988"/>
        </row>
        <row r="2989">
          <cell r="M2989"/>
          <cell r="N2989"/>
        </row>
        <row r="2990">
          <cell r="M2990"/>
          <cell r="N2990"/>
        </row>
        <row r="2991">
          <cell r="M2991"/>
          <cell r="N2991"/>
        </row>
        <row r="2992">
          <cell r="M2992"/>
          <cell r="N2992"/>
        </row>
        <row r="2993">
          <cell r="M2993"/>
          <cell r="N2993"/>
        </row>
        <row r="2994">
          <cell r="M2994"/>
          <cell r="N2994"/>
        </row>
        <row r="2995">
          <cell r="M2995"/>
          <cell r="N2995"/>
        </row>
        <row r="2996">
          <cell r="M2996"/>
          <cell r="N2996"/>
        </row>
        <row r="2997">
          <cell r="M2997"/>
          <cell r="N2997"/>
        </row>
        <row r="2998">
          <cell r="M2998"/>
          <cell r="N2998"/>
        </row>
        <row r="2999">
          <cell r="M2999"/>
          <cell r="N2999"/>
        </row>
        <row r="3000">
          <cell r="M3000"/>
          <cell r="N3000"/>
        </row>
        <row r="3001">
          <cell r="M3001"/>
          <cell r="N3001"/>
        </row>
        <row r="3002">
          <cell r="M3002"/>
          <cell r="N3002"/>
        </row>
        <row r="3003">
          <cell r="M3003"/>
          <cell r="N3003"/>
        </row>
        <row r="3004">
          <cell r="M3004"/>
          <cell r="N3004"/>
        </row>
        <row r="3005">
          <cell r="M3005"/>
          <cell r="N3005"/>
        </row>
        <row r="3006">
          <cell r="M3006"/>
          <cell r="N3006"/>
        </row>
        <row r="3007">
          <cell r="M3007"/>
          <cell r="N3007"/>
        </row>
        <row r="3008">
          <cell r="M3008"/>
          <cell r="N3008"/>
        </row>
        <row r="3009">
          <cell r="M3009"/>
          <cell r="N3009"/>
        </row>
        <row r="3010">
          <cell r="M3010"/>
          <cell r="N3010"/>
        </row>
        <row r="3011">
          <cell r="M3011"/>
          <cell r="N3011"/>
        </row>
        <row r="3012">
          <cell r="M3012"/>
          <cell r="N3012"/>
        </row>
        <row r="3013">
          <cell r="M3013"/>
          <cell r="N3013"/>
        </row>
        <row r="3014">
          <cell r="M3014"/>
          <cell r="N3014"/>
        </row>
        <row r="3015">
          <cell r="M3015"/>
          <cell r="N3015"/>
        </row>
        <row r="3016">
          <cell r="M3016"/>
          <cell r="N3016"/>
        </row>
        <row r="3017">
          <cell r="M3017"/>
          <cell r="N3017"/>
        </row>
        <row r="3018">
          <cell r="M3018"/>
          <cell r="N3018"/>
        </row>
        <row r="3019">
          <cell r="M3019"/>
          <cell r="N3019"/>
        </row>
        <row r="3020">
          <cell r="M3020"/>
          <cell r="N3020"/>
        </row>
        <row r="3021">
          <cell r="M3021"/>
          <cell r="N3021"/>
        </row>
        <row r="3022">
          <cell r="M3022"/>
          <cell r="N3022"/>
        </row>
        <row r="3023">
          <cell r="M3023"/>
          <cell r="N3023"/>
        </row>
        <row r="3024">
          <cell r="M3024"/>
          <cell r="N3024"/>
        </row>
        <row r="3025">
          <cell r="M3025"/>
          <cell r="N3025"/>
        </row>
        <row r="3026">
          <cell r="M3026"/>
          <cell r="N3026"/>
        </row>
        <row r="3027">
          <cell r="M3027"/>
          <cell r="N3027"/>
        </row>
        <row r="3028">
          <cell r="M3028"/>
          <cell r="N3028"/>
        </row>
        <row r="3029">
          <cell r="M3029"/>
          <cell r="N3029"/>
        </row>
        <row r="3030">
          <cell r="M3030"/>
          <cell r="N3030"/>
        </row>
        <row r="3031">
          <cell r="M3031"/>
          <cell r="N3031"/>
        </row>
        <row r="3032">
          <cell r="M3032"/>
          <cell r="N3032"/>
        </row>
        <row r="3033">
          <cell r="M3033"/>
          <cell r="N3033"/>
        </row>
        <row r="3034">
          <cell r="M3034"/>
          <cell r="N3034"/>
        </row>
        <row r="3035">
          <cell r="M3035"/>
          <cell r="N3035"/>
        </row>
        <row r="3036">
          <cell r="M3036"/>
          <cell r="N3036"/>
        </row>
        <row r="3037">
          <cell r="M3037"/>
          <cell r="N3037"/>
        </row>
        <row r="3038">
          <cell r="M3038"/>
          <cell r="N3038"/>
        </row>
        <row r="3039">
          <cell r="M3039"/>
          <cell r="N3039"/>
        </row>
        <row r="3040">
          <cell r="M3040"/>
          <cell r="N3040"/>
        </row>
        <row r="3041">
          <cell r="M3041"/>
          <cell r="N3041"/>
        </row>
        <row r="3042">
          <cell r="M3042"/>
          <cell r="N3042"/>
        </row>
        <row r="3043">
          <cell r="M3043"/>
          <cell r="N3043"/>
        </row>
        <row r="3044">
          <cell r="M3044"/>
          <cell r="N3044"/>
        </row>
        <row r="3045">
          <cell r="M3045"/>
          <cell r="N3045"/>
        </row>
        <row r="3046">
          <cell r="M3046"/>
          <cell r="N3046"/>
        </row>
        <row r="3047">
          <cell r="M3047"/>
          <cell r="N3047"/>
        </row>
        <row r="3048">
          <cell r="M3048"/>
          <cell r="N3048"/>
        </row>
        <row r="3049">
          <cell r="M3049"/>
          <cell r="N3049"/>
        </row>
        <row r="3050">
          <cell r="M3050"/>
          <cell r="N3050"/>
        </row>
        <row r="3051">
          <cell r="M3051"/>
          <cell r="N3051"/>
        </row>
        <row r="3052">
          <cell r="M3052"/>
          <cell r="N3052"/>
        </row>
        <row r="3053">
          <cell r="M3053"/>
          <cell r="N3053"/>
        </row>
        <row r="3054">
          <cell r="M3054"/>
          <cell r="N3054"/>
        </row>
        <row r="3055">
          <cell r="M3055"/>
          <cell r="N3055"/>
        </row>
        <row r="3056">
          <cell r="M3056"/>
          <cell r="N3056"/>
        </row>
        <row r="3057">
          <cell r="M3057"/>
          <cell r="N3057"/>
        </row>
        <row r="3058">
          <cell r="M3058"/>
          <cell r="N3058"/>
        </row>
        <row r="3059">
          <cell r="M3059"/>
          <cell r="N3059"/>
        </row>
        <row r="3060">
          <cell r="M3060"/>
          <cell r="N3060"/>
        </row>
        <row r="3061">
          <cell r="M3061"/>
          <cell r="N3061"/>
        </row>
        <row r="3062">
          <cell r="M3062"/>
          <cell r="N3062"/>
        </row>
        <row r="3063">
          <cell r="M3063"/>
          <cell r="N3063"/>
        </row>
        <row r="3064">
          <cell r="M3064"/>
          <cell r="N3064"/>
        </row>
        <row r="3065">
          <cell r="M3065"/>
          <cell r="N3065"/>
        </row>
        <row r="3066">
          <cell r="M3066"/>
          <cell r="N3066"/>
        </row>
        <row r="3067">
          <cell r="M3067"/>
          <cell r="N3067"/>
        </row>
        <row r="3068">
          <cell r="M3068"/>
          <cell r="N3068"/>
        </row>
        <row r="3069">
          <cell r="M3069"/>
          <cell r="N3069"/>
        </row>
        <row r="3070">
          <cell r="M3070"/>
          <cell r="N3070"/>
        </row>
        <row r="3071">
          <cell r="M3071"/>
          <cell r="N3071"/>
        </row>
        <row r="3072">
          <cell r="M3072"/>
          <cell r="N3072"/>
        </row>
        <row r="3073">
          <cell r="M3073"/>
          <cell r="N3073"/>
        </row>
        <row r="3074">
          <cell r="M3074"/>
          <cell r="N3074"/>
        </row>
        <row r="3075">
          <cell r="M3075"/>
          <cell r="N3075"/>
        </row>
        <row r="3076">
          <cell r="M3076"/>
          <cell r="N3076"/>
        </row>
        <row r="3077">
          <cell r="M3077"/>
          <cell r="N3077"/>
        </row>
        <row r="3078">
          <cell r="M3078"/>
          <cell r="N3078"/>
        </row>
        <row r="3079">
          <cell r="M3079"/>
          <cell r="N3079"/>
        </row>
        <row r="3080">
          <cell r="M3080"/>
          <cell r="N3080"/>
        </row>
        <row r="3081">
          <cell r="M3081"/>
          <cell r="N3081"/>
        </row>
        <row r="3082">
          <cell r="M3082"/>
          <cell r="N3082"/>
        </row>
        <row r="3083">
          <cell r="M3083"/>
          <cell r="N3083"/>
        </row>
        <row r="3084">
          <cell r="M3084"/>
          <cell r="N3084"/>
        </row>
        <row r="3085">
          <cell r="M3085"/>
          <cell r="N3085"/>
        </row>
        <row r="3086">
          <cell r="M3086"/>
          <cell r="N3086"/>
        </row>
        <row r="3087">
          <cell r="M3087"/>
          <cell r="N3087"/>
        </row>
        <row r="3088">
          <cell r="M3088"/>
          <cell r="N3088"/>
        </row>
        <row r="3089">
          <cell r="M3089"/>
          <cell r="N3089"/>
        </row>
        <row r="3090">
          <cell r="M3090"/>
          <cell r="N3090"/>
        </row>
        <row r="3091">
          <cell r="M3091"/>
          <cell r="N3091"/>
        </row>
        <row r="3092">
          <cell r="M3092"/>
          <cell r="N3092"/>
        </row>
        <row r="3093">
          <cell r="M3093"/>
          <cell r="N3093"/>
        </row>
        <row r="3094">
          <cell r="M3094"/>
          <cell r="N3094"/>
        </row>
        <row r="3095">
          <cell r="M3095"/>
          <cell r="N3095"/>
        </row>
        <row r="3096">
          <cell r="M3096"/>
          <cell r="N3096"/>
        </row>
        <row r="3097">
          <cell r="M3097"/>
          <cell r="N3097"/>
        </row>
        <row r="3098">
          <cell r="M3098"/>
          <cell r="N3098"/>
        </row>
        <row r="3099">
          <cell r="M3099"/>
          <cell r="N3099"/>
        </row>
        <row r="3100">
          <cell r="M3100"/>
          <cell r="N3100"/>
        </row>
        <row r="3101">
          <cell r="M3101"/>
          <cell r="N3101"/>
        </row>
        <row r="3102">
          <cell r="M3102"/>
          <cell r="N3102"/>
        </row>
        <row r="3103">
          <cell r="M3103"/>
          <cell r="N3103"/>
        </row>
        <row r="3104">
          <cell r="M3104"/>
          <cell r="N3104"/>
        </row>
        <row r="3105">
          <cell r="M3105"/>
          <cell r="N3105"/>
        </row>
        <row r="3106">
          <cell r="M3106"/>
          <cell r="N3106"/>
        </row>
        <row r="3107">
          <cell r="M3107"/>
          <cell r="N3107"/>
        </row>
        <row r="3108">
          <cell r="M3108"/>
          <cell r="N3108"/>
        </row>
        <row r="3109">
          <cell r="M3109"/>
          <cell r="N3109"/>
        </row>
        <row r="3110">
          <cell r="M3110"/>
          <cell r="N3110"/>
        </row>
        <row r="3111">
          <cell r="M3111"/>
          <cell r="N3111"/>
        </row>
        <row r="3112">
          <cell r="M3112"/>
          <cell r="N3112"/>
        </row>
        <row r="3113">
          <cell r="M3113"/>
          <cell r="N3113"/>
        </row>
        <row r="3114">
          <cell r="M3114"/>
          <cell r="N3114"/>
        </row>
        <row r="3115">
          <cell r="M3115"/>
          <cell r="N3115"/>
        </row>
        <row r="3116">
          <cell r="M3116"/>
          <cell r="N3116"/>
        </row>
        <row r="3117">
          <cell r="M3117"/>
          <cell r="N3117"/>
        </row>
        <row r="3118">
          <cell r="M3118"/>
          <cell r="N3118"/>
        </row>
        <row r="3119">
          <cell r="M3119"/>
          <cell r="N3119"/>
        </row>
        <row r="3120">
          <cell r="M3120"/>
          <cell r="N3120"/>
        </row>
        <row r="3121">
          <cell r="M3121"/>
          <cell r="N3121"/>
        </row>
        <row r="3122">
          <cell r="M3122"/>
          <cell r="N3122"/>
        </row>
        <row r="3123">
          <cell r="M3123"/>
          <cell r="N3123"/>
        </row>
        <row r="3124">
          <cell r="M3124"/>
          <cell r="N3124"/>
        </row>
        <row r="3125">
          <cell r="M3125"/>
          <cell r="N3125"/>
        </row>
        <row r="3126">
          <cell r="M3126"/>
          <cell r="N3126"/>
        </row>
        <row r="3127">
          <cell r="M3127"/>
          <cell r="N3127"/>
        </row>
        <row r="3128">
          <cell r="M3128"/>
          <cell r="N3128"/>
        </row>
        <row r="3129">
          <cell r="M3129"/>
          <cell r="N3129"/>
        </row>
        <row r="3130">
          <cell r="M3130"/>
          <cell r="N3130"/>
        </row>
        <row r="3131">
          <cell r="M3131"/>
          <cell r="N3131"/>
        </row>
        <row r="3132">
          <cell r="M3132"/>
          <cell r="N3132"/>
        </row>
        <row r="3133">
          <cell r="M3133"/>
          <cell r="N3133"/>
        </row>
        <row r="3134">
          <cell r="M3134"/>
          <cell r="N3134"/>
        </row>
        <row r="3135">
          <cell r="M3135"/>
          <cell r="N3135"/>
        </row>
        <row r="3136">
          <cell r="M3136"/>
          <cell r="N3136"/>
        </row>
        <row r="3137">
          <cell r="M3137"/>
          <cell r="N3137"/>
        </row>
        <row r="3138">
          <cell r="M3138"/>
          <cell r="N3138"/>
        </row>
        <row r="3139">
          <cell r="M3139"/>
          <cell r="N3139"/>
        </row>
        <row r="3140">
          <cell r="M3140"/>
          <cell r="N3140"/>
        </row>
        <row r="3141">
          <cell r="M3141"/>
          <cell r="N3141"/>
        </row>
        <row r="3142">
          <cell r="M3142"/>
          <cell r="N3142"/>
        </row>
        <row r="3143">
          <cell r="M3143"/>
          <cell r="N3143"/>
        </row>
        <row r="3144">
          <cell r="M3144"/>
          <cell r="N3144"/>
        </row>
        <row r="3145">
          <cell r="M3145"/>
          <cell r="N3145"/>
        </row>
        <row r="3146">
          <cell r="M3146"/>
          <cell r="N3146"/>
        </row>
        <row r="3147">
          <cell r="M3147"/>
          <cell r="N3147"/>
        </row>
        <row r="3148">
          <cell r="M3148"/>
          <cell r="N3148"/>
        </row>
        <row r="3149">
          <cell r="M3149"/>
          <cell r="N3149"/>
        </row>
        <row r="3150">
          <cell r="M3150"/>
          <cell r="N3150"/>
        </row>
        <row r="3151">
          <cell r="M3151"/>
          <cell r="N3151"/>
        </row>
        <row r="3152">
          <cell r="M3152"/>
          <cell r="N3152"/>
        </row>
        <row r="3153">
          <cell r="M3153"/>
          <cell r="N3153"/>
        </row>
        <row r="3154">
          <cell r="M3154"/>
          <cell r="N3154"/>
        </row>
        <row r="3155">
          <cell r="M3155"/>
          <cell r="N3155"/>
        </row>
        <row r="3156">
          <cell r="M3156"/>
          <cell r="N3156"/>
        </row>
        <row r="3157">
          <cell r="M3157"/>
          <cell r="N3157"/>
        </row>
        <row r="3158">
          <cell r="M3158"/>
          <cell r="N3158"/>
        </row>
        <row r="3159">
          <cell r="M3159"/>
          <cell r="N3159"/>
        </row>
        <row r="3160">
          <cell r="M3160"/>
          <cell r="N3160"/>
        </row>
        <row r="3161">
          <cell r="M3161"/>
          <cell r="N3161"/>
        </row>
        <row r="3162">
          <cell r="M3162"/>
          <cell r="N3162"/>
        </row>
        <row r="3163">
          <cell r="M3163"/>
          <cell r="N3163"/>
        </row>
        <row r="3164">
          <cell r="M3164"/>
          <cell r="N3164"/>
        </row>
        <row r="3165">
          <cell r="M3165"/>
          <cell r="N3165"/>
        </row>
        <row r="3166">
          <cell r="M3166"/>
          <cell r="N3166"/>
        </row>
        <row r="3167">
          <cell r="M3167"/>
          <cell r="N3167"/>
        </row>
        <row r="3168">
          <cell r="M3168"/>
          <cell r="N3168"/>
        </row>
        <row r="3169">
          <cell r="M3169"/>
          <cell r="N3169"/>
        </row>
        <row r="3170">
          <cell r="M3170"/>
          <cell r="N3170"/>
        </row>
        <row r="3171">
          <cell r="M3171"/>
          <cell r="N3171"/>
        </row>
        <row r="3172">
          <cell r="M3172"/>
          <cell r="N3172"/>
        </row>
        <row r="3173">
          <cell r="M3173"/>
          <cell r="N3173"/>
        </row>
        <row r="3174">
          <cell r="M3174"/>
          <cell r="N3174"/>
        </row>
        <row r="3175">
          <cell r="M3175"/>
          <cell r="N3175"/>
        </row>
        <row r="3176">
          <cell r="M3176"/>
          <cell r="N3176"/>
        </row>
        <row r="3177">
          <cell r="M3177"/>
          <cell r="N3177"/>
        </row>
        <row r="3178">
          <cell r="M3178"/>
          <cell r="N3178"/>
        </row>
        <row r="3179">
          <cell r="M3179"/>
          <cell r="N3179"/>
        </row>
        <row r="3180">
          <cell r="M3180"/>
          <cell r="N3180"/>
        </row>
        <row r="3181">
          <cell r="M3181"/>
          <cell r="N3181"/>
        </row>
        <row r="3182">
          <cell r="M3182"/>
          <cell r="N3182"/>
        </row>
        <row r="3183">
          <cell r="M3183"/>
          <cell r="N3183"/>
        </row>
        <row r="3184">
          <cell r="M3184"/>
          <cell r="N3184"/>
        </row>
        <row r="3185">
          <cell r="M3185"/>
          <cell r="N3185"/>
        </row>
        <row r="3186">
          <cell r="M3186"/>
          <cell r="N3186"/>
        </row>
        <row r="3187">
          <cell r="M3187"/>
          <cell r="N3187"/>
        </row>
        <row r="3188">
          <cell r="M3188"/>
          <cell r="N3188"/>
        </row>
        <row r="3189">
          <cell r="M3189"/>
          <cell r="N3189"/>
        </row>
        <row r="3190">
          <cell r="M3190"/>
          <cell r="N3190"/>
        </row>
        <row r="3191">
          <cell r="M3191"/>
          <cell r="N3191"/>
        </row>
        <row r="3192">
          <cell r="M3192"/>
          <cell r="N3192"/>
        </row>
        <row r="3193">
          <cell r="M3193"/>
          <cell r="N3193"/>
        </row>
        <row r="3194">
          <cell r="M3194"/>
          <cell r="N3194"/>
        </row>
        <row r="3195">
          <cell r="M3195"/>
          <cell r="N3195"/>
        </row>
        <row r="3196">
          <cell r="M3196"/>
          <cell r="N3196"/>
        </row>
        <row r="3197">
          <cell r="M3197"/>
          <cell r="N3197"/>
        </row>
        <row r="3198">
          <cell r="M3198"/>
          <cell r="N3198"/>
        </row>
        <row r="3199">
          <cell r="M3199"/>
          <cell r="N3199"/>
        </row>
        <row r="3200">
          <cell r="M3200"/>
          <cell r="N3200"/>
        </row>
        <row r="3201">
          <cell r="M3201"/>
          <cell r="N3201"/>
        </row>
        <row r="3202">
          <cell r="M3202"/>
          <cell r="N3202"/>
        </row>
        <row r="3203">
          <cell r="M3203"/>
          <cell r="N3203"/>
        </row>
        <row r="3204">
          <cell r="M3204"/>
          <cell r="N3204"/>
        </row>
        <row r="3205">
          <cell r="M3205"/>
          <cell r="N3205"/>
        </row>
        <row r="3206">
          <cell r="M3206"/>
          <cell r="N3206"/>
        </row>
        <row r="3207">
          <cell r="M3207"/>
          <cell r="N3207"/>
        </row>
        <row r="3208">
          <cell r="M3208"/>
          <cell r="N3208"/>
        </row>
        <row r="3209">
          <cell r="M3209"/>
          <cell r="N3209"/>
        </row>
        <row r="3210">
          <cell r="M3210"/>
          <cell r="N3210"/>
        </row>
        <row r="3211">
          <cell r="M3211"/>
          <cell r="N3211"/>
        </row>
        <row r="3212">
          <cell r="M3212"/>
          <cell r="N3212"/>
        </row>
        <row r="3213">
          <cell r="M3213"/>
          <cell r="N3213"/>
        </row>
        <row r="3214">
          <cell r="M3214"/>
          <cell r="N3214"/>
        </row>
        <row r="3215">
          <cell r="M3215"/>
          <cell r="N3215"/>
        </row>
        <row r="3216">
          <cell r="M3216"/>
          <cell r="N3216"/>
        </row>
        <row r="3217">
          <cell r="M3217"/>
          <cell r="N3217"/>
        </row>
        <row r="3218">
          <cell r="M3218"/>
          <cell r="N3218"/>
        </row>
        <row r="3219">
          <cell r="M3219"/>
          <cell r="N3219"/>
        </row>
        <row r="3220">
          <cell r="M3220"/>
          <cell r="N3220"/>
        </row>
        <row r="3221">
          <cell r="M3221"/>
          <cell r="N3221"/>
        </row>
        <row r="3222">
          <cell r="M3222"/>
          <cell r="N3222"/>
        </row>
        <row r="3223">
          <cell r="M3223"/>
          <cell r="N3223"/>
        </row>
        <row r="3224">
          <cell r="M3224"/>
          <cell r="N3224"/>
        </row>
        <row r="3225">
          <cell r="M3225"/>
          <cell r="N3225"/>
        </row>
        <row r="3226">
          <cell r="M3226"/>
          <cell r="N3226"/>
        </row>
        <row r="3227">
          <cell r="M3227"/>
          <cell r="N3227"/>
        </row>
        <row r="3228">
          <cell r="M3228"/>
          <cell r="N3228"/>
        </row>
        <row r="3229">
          <cell r="M3229"/>
          <cell r="N3229"/>
        </row>
        <row r="3230">
          <cell r="M3230"/>
          <cell r="N3230"/>
        </row>
        <row r="3231">
          <cell r="M3231"/>
          <cell r="N3231"/>
        </row>
        <row r="3232">
          <cell r="M3232"/>
          <cell r="N3232"/>
        </row>
        <row r="3233">
          <cell r="M3233"/>
          <cell r="N3233"/>
        </row>
        <row r="3234">
          <cell r="M3234"/>
          <cell r="N3234"/>
        </row>
        <row r="3235">
          <cell r="M3235"/>
          <cell r="N3235"/>
        </row>
        <row r="3236">
          <cell r="M3236"/>
          <cell r="N3236"/>
        </row>
        <row r="3237">
          <cell r="M3237"/>
          <cell r="N3237"/>
        </row>
        <row r="3238">
          <cell r="M3238"/>
          <cell r="N3238"/>
        </row>
        <row r="3239">
          <cell r="M3239"/>
          <cell r="N3239"/>
        </row>
        <row r="3240">
          <cell r="M3240"/>
          <cell r="N3240"/>
        </row>
        <row r="3241">
          <cell r="M3241"/>
          <cell r="N3241"/>
        </row>
        <row r="3242">
          <cell r="M3242"/>
          <cell r="N3242"/>
        </row>
        <row r="3243">
          <cell r="M3243"/>
          <cell r="N3243"/>
        </row>
        <row r="3244">
          <cell r="M3244"/>
          <cell r="N3244"/>
        </row>
        <row r="3245">
          <cell r="M3245"/>
          <cell r="N3245"/>
        </row>
        <row r="3246">
          <cell r="M3246"/>
          <cell r="N3246"/>
        </row>
        <row r="3247">
          <cell r="M3247"/>
          <cell r="N3247"/>
        </row>
        <row r="3248">
          <cell r="M3248"/>
          <cell r="N3248"/>
        </row>
        <row r="3249">
          <cell r="M3249"/>
          <cell r="N3249"/>
        </row>
        <row r="3250">
          <cell r="M3250"/>
          <cell r="N3250"/>
        </row>
        <row r="3251">
          <cell r="M3251"/>
          <cell r="N3251"/>
        </row>
        <row r="3252">
          <cell r="M3252"/>
          <cell r="N3252"/>
        </row>
        <row r="3253">
          <cell r="M3253"/>
          <cell r="N3253"/>
        </row>
        <row r="3254">
          <cell r="M3254"/>
          <cell r="N3254"/>
        </row>
        <row r="3255">
          <cell r="M3255"/>
          <cell r="N3255"/>
        </row>
        <row r="3256">
          <cell r="M3256"/>
          <cell r="N3256"/>
        </row>
        <row r="3257">
          <cell r="M3257"/>
          <cell r="N3257"/>
        </row>
        <row r="3258">
          <cell r="M3258"/>
          <cell r="N3258"/>
        </row>
        <row r="3259">
          <cell r="M3259"/>
          <cell r="N3259"/>
        </row>
        <row r="3260">
          <cell r="M3260"/>
          <cell r="N3260"/>
        </row>
        <row r="3261">
          <cell r="M3261"/>
          <cell r="N3261"/>
        </row>
        <row r="3262">
          <cell r="M3262"/>
          <cell r="N3262"/>
        </row>
        <row r="3263">
          <cell r="M3263"/>
          <cell r="N3263"/>
        </row>
        <row r="3264">
          <cell r="M3264"/>
          <cell r="N3264"/>
        </row>
        <row r="3265">
          <cell r="M3265"/>
          <cell r="N3265"/>
        </row>
        <row r="3266">
          <cell r="M3266"/>
          <cell r="N3266"/>
        </row>
        <row r="3267">
          <cell r="M3267"/>
          <cell r="N3267"/>
        </row>
        <row r="3268">
          <cell r="M3268"/>
          <cell r="N3268"/>
        </row>
        <row r="3269">
          <cell r="M3269"/>
          <cell r="N3269"/>
        </row>
        <row r="3270">
          <cell r="M3270"/>
          <cell r="N3270"/>
        </row>
        <row r="3271">
          <cell r="M3271"/>
          <cell r="N3271"/>
        </row>
        <row r="3272">
          <cell r="M3272"/>
          <cell r="N3272"/>
        </row>
        <row r="3273">
          <cell r="M3273"/>
          <cell r="N3273"/>
        </row>
        <row r="3274">
          <cell r="M3274"/>
          <cell r="N3274"/>
        </row>
        <row r="3275">
          <cell r="M3275"/>
          <cell r="N3275"/>
        </row>
        <row r="3276">
          <cell r="M3276"/>
          <cell r="N3276"/>
        </row>
        <row r="3277">
          <cell r="M3277"/>
          <cell r="N3277"/>
        </row>
        <row r="3278">
          <cell r="M3278"/>
          <cell r="N3278"/>
        </row>
        <row r="3279">
          <cell r="M3279"/>
          <cell r="N3279"/>
        </row>
        <row r="3280">
          <cell r="M3280"/>
          <cell r="N3280"/>
        </row>
        <row r="3281">
          <cell r="M3281"/>
          <cell r="N3281"/>
        </row>
        <row r="3282">
          <cell r="M3282"/>
          <cell r="N3282"/>
        </row>
        <row r="3283">
          <cell r="M3283"/>
          <cell r="N3283"/>
        </row>
        <row r="3284">
          <cell r="M3284"/>
          <cell r="N3284"/>
        </row>
        <row r="3285">
          <cell r="M3285"/>
          <cell r="N3285"/>
        </row>
        <row r="3286">
          <cell r="M3286"/>
          <cell r="N3286"/>
        </row>
        <row r="3287">
          <cell r="M3287"/>
          <cell r="N3287"/>
        </row>
        <row r="3288">
          <cell r="M3288"/>
          <cell r="N3288"/>
        </row>
        <row r="3289">
          <cell r="M3289"/>
          <cell r="N3289"/>
        </row>
        <row r="3290">
          <cell r="M3290"/>
          <cell r="N3290"/>
        </row>
        <row r="3291">
          <cell r="M3291"/>
          <cell r="N3291"/>
        </row>
        <row r="3292">
          <cell r="M3292"/>
          <cell r="N3292"/>
        </row>
        <row r="3293">
          <cell r="M3293"/>
          <cell r="N3293"/>
        </row>
        <row r="3294">
          <cell r="M3294"/>
          <cell r="N3294"/>
        </row>
        <row r="3295">
          <cell r="M3295"/>
          <cell r="N3295"/>
        </row>
        <row r="3296">
          <cell r="M3296"/>
          <cell r="N3296"/>
        </row>
        <row r="3297">
          <cell r="M3297"/>
          <cell r="N3297"/>
        </row>
        <row r="3298">
          <cell r="M3298"/>
          <cell r="N3298"/>
        </row>
        <row r="3299">
          <cell r="M3299"/>
          <cell r="N3299"/>
        </row>
        <row r="3300">
          <cell r="M3300"/>
          <cell r="N3300"/>
        </row>
        <row r="3301">
          <cell r="M3301"/>
          <cell r="N3301"/>
        </row>
        <row r="3302">
          <cell r="M3302"/>
          <cell r="N3302"/>
        </row>
        <row r="3303">
          <cell r="M3303"/>
          <cell r="N3303"/>
        </row>
        <row r="3304">
          <cell r="M3304"/>
          <cell r="N3304"/>
        </row>
        <row r="3305">
          <cell r="M3305"/>
          <cell r="N3305"/>
        </row>
        <row r="3306">
          <cell r="M3306"/>
          <cell r="N3306"/>
        </row>
        <row r="3307">
          <cell r="M3307"/>
          <cell r="N3307"/>
        </row>
        <row r="3308">
          <cell r="M3308"/>
          <cell r="N3308"/>
        </row>
        <row r="3309">
          <cell r="M3309"/>
          <cell r="N3309"/>
        </row>
        <row r="3310">
          <cell r="M3310"/>
          <cell r="N3310"/>
        </row>
        <row r="3311">
          <cell r="M3311"/>
          <cell r="N3311"/>
        </row>
        <row r="3312">
          <cell r="M3312"/>
          <cell r="N3312"/>
        </row>
        <row r="3313">
          <cell r="M3313"/>
          <cell r="N3313"/>
        </row>
        <row r="3314">
          <cell r="M3314"/>
          <cell r="N3314"/>
        </row>
        <row r="3315">
          <cell r="M3315"/>
          <cell r="N3315"/>
        </row>
        <row r="3316">
          <cell r="M3316"/>
          <cell r="N3316"/>
        </row>
        <row r="3317">
          <cell r="M3317"/>
          <cell r="N3317"/>
        </row>
        <row r="3318">
          <cell r="M3318"/>
          <cell r="N3318"/>
        </row>
        <row r="3319">
          <cell r="M3319"/>
          <cell r="N3319"/>
        </row>
        <row r="3320">
          <cell r="M3320"/>
          <cell r="N3320"/>
        </row>
        <row r="3321">
          <cell r="M3321"/>
          <cell r="N3321"/>
        </row>
        <row r="3322">
          <cell r="M3322"/>
          <cell r="N3322"/>
        </row>
        <row r="3323">
          <cell r="M3323"/>
          <cell r="N3323"/>
        </row>
        <row r="3324">
          <cell r="M3324"/>
          <cell r="N3324"/>
        </row>
        <row r="3325">
          <cell r="M3325"/>
          <cell r="N3325"/>
        </row>
        <row r="3326">
          <cell r="M3326"/>
          <cell r="N3326"/>
        </row>
        <row r="3327">
          <cell r="M3327"/>
          <cell r="N3327"/>
        </row>
        <row r="3328">
          <cell r="M3328"/>
          <cell r="N3328"/>
        </row>
        <row r="3329">
          <cell r="M3329"/>
          <cell r="N3329"/>
        </row>
        <row r="3330">
          <cell r="M3330"/>
          <cell r="N3330"/>
        </row>
        <row r="3331">
          <cell r="M3331"/>
          <cell r="N3331"/>
        </row>
        <row r="3332">
          <cell r="M3332"/>
          <cell r="N3332"/>
        </row>
        <row r="3333">
          <cell r="M3333"/>
          <cell r="N3333"/>
        </row>
        <row r="3334">
          <cell r="M3334"/>
          <cell r="N3334"/>
        </row>
        <row r="3335">
          <cell r="M3335"/>
          <cell r="N3335"/>
        </row>
        <row r="3336">
          <cell r="M3336"/>
          <cell r="N3336"/>
        </row>
        <row r="3337">
          <cell r="M3337"/>
          <cell r="N3337"/>
        </row>
        <row r="3338">
          <cell r="M3338"/>
          <cell r="N3338"/>
        </row>
        <row r="3339">
          <cell r="M3339"/>
          <cell r="N3339"/>
        </row>
        <row r="3340">
          <cell r="M3340"/>
          <cell r="N3340"/>
        </row>
        <row r="3341">
          <cell r="M3341"/>
          <cell r="N3341"/>
        </row>
        <row r="3342">
          <cell r="M3342"/>
          <cell r="N3342"/>
        </row>
        <row r="3343">
          <cell r="M3343"/>
          <cell r="N3343"/>
        </row>
        <row r="3344">
          <cell r="M3344"/>
          <cell r="N3344"/>
        </row>
        <row r="3345">
          <cell r="M3345"/>
          <cell r="N3345"/>
        </row>
        <row r="3346">
          <cell r="M3346"/>
          <cell r="N3346"/>
        </row>
        <row r="3347">
          <cell r="M3347"/>
          <cell r="N3347"/>
        </row>
        <row r="3348">
          <cell r="M3348"/>
          <cell r="N3348"/>
        </row>
        <row r="3349">
          <cell r="M3349"/>
          <cell r="N3349"/>
        </row>
        <row r="3350">
          <cell r="M3350"/>
          <cell r="N3350"/>
        </row>
        <row r="3351">
          <cell r="M3351"/>
          <cell r="N3351"/>
        </row>
        <row r="3352">
          <cell r="M3352"/>
          <cell r="N3352"/>
        </row>
        <row r="3353">
          <cell r="M3353"/>
          <cell r="N3353"/>
        </row>
        <row r="3354">
          <cell r="M3354"/>
          <cell r="N3354"/>
        </row>
        <row r="3355">
          <cell r="M3355"/>
          <cell r="N3355"/>
        </row>
        <row r="3356">
          <cell r="M3356"/>
          <cell r="N3356"/>
        </row>
        <row r="3357">
          <cell r="M3357"/>
          <cell r="N3357"/>
        </row>
        <row r="3358">
          <cell r="M3358"/>
          <cell r="N3358"/>
        </row>
        <row r="3359">
          <cell r="M3359"/>
          <cell r="N3359"/>
        </row>
        <row r="3360">
          <cell r="M3360"/>
          <cell r="N3360"/>
        </row>
        <row r="3361">
          <cell r="M3361"/>
          <cell r="N3361"/>
        </row>
        <row r="3362">
          <cell r="M3362"/>
          <cell r="N3362"/>
        </row>
        <row r="3363">
          <cell r="M3363"/>
          <cell r="N3363"/>
        </row>
        <row r="3364">
          <cell r="M3364"/>
          <cell r="N3364"/>
        </row>
        <row r="3365">
          <cell r="M3365"/>
          <cell r="N3365"/>
        </row>
        <row r="3366">
          <cell r="M3366"/>
          <cell r="N3366"/>
        </row>
        <row r="3367">
          <cell r="M3367"/>
          <cell r="N3367"/>
        </row>
        <row r="3368">
          <cell r="M3368"/>
          <cell r="N3368"/>
        </row>
        <row r="3369">
          <cell r="M3369"/>
          <cell r="N3369"/>
        </row>
        <row r="3370">
          <cell r="M3370"/>
          <cell r="N3370"/>
        </row>
        <row r="3371">
          <cell r="M3371"/>
          <cell r="N3371"/>
        </row>
        <row r="3372">
          <cell r="M3372"/>
          <cell r="N3372"/>
        </row>
        <row r="3373">
          <cell r="M3373"/>
          <cell r="N3373"/>
        </row>
        <row r="3374">
          <cell r="M3374"/>
          <cell r="N3374"/>
        </row>
        <row r="3375">
          <cell r="M3375"/>
          <cell r="N3375"/>
        </row>
        <row r="3376">
          <cell r="M3376"/>
          <cell r="N3376"/>
        </row>
        <row r="3377">
          <cell r="M3377"/>
          <cell r="N3377"/>
        </row>
        <row r="3378">
          <cell r="M3378"/>
          <cell r="N3378"/>
        </row>
        <row r="3379">
          <cell r="M3379"/>
          <cell r="N3379"/>
        </row>
        <row r="3380">
          <cell r="M3380"/>
          <cell r="N3380"/>
        </row>
        <row r="3381">
          <cell r="M3381"/>
          <cell r="N3381"/>
        </row>
        <row r="3382">
          <cell r="M3382"/>
          <cell r="N3382"/>
        </row>
        <row r="3383">
          <cell r="M3383"/>
          <cell r="N3383"/>
        </row>
        <row r="3384">
          <cell r="M3384"/>
          <cell r="N3384"/>
        </row>
        <row r="3385">
          <cell r="M3385"/>
          <cell r="N3385"/>
        </row>
        <row r="3386">
          <cell r="M3386"/>
          <cell r="N3386"/>
        </row>
        <row r="3387">
          <cell r="M3387"/>
          <cell r="N3387"/>
        </row>
        <row r="3388">
          <cell r="M3388"/>
          <cell r="N3388"/>
        </row>
        <row r="3389">
          <cell r="M3389"/>
          <cell r="N3389"/>
        </row>
        <row r="3390">
          <cell r="M3390"/>
          <cell r="N3390"/>
        </row>
        <row r="3391">
          <cell r="M3391"/>
          <cell r="N3391"/>
        </row>
        <row r="3392">
          <cell r="M3392"/>
          <cell r="N3392"/>
        </row>
        <row r="3393">
          <cell r="M3393"/>
          <cell r="N3393"/>
        </row>
        <row r="3394">
          <cell r="M3394"/>
          <cell r="N3394"/>
        </row>
        <row r="3395">
          <cell r="M3395"/>
          <cell r="N3395"/>
        </row>
        <row r="3396">
          <cell r="M3396"/>
          <cell r="N3396"/>
        </row>
        <row r="3397">
          <cell r="M3397"/>
          <cell r="N3397"/>
        </row>
        <row r="3398">
          <cell r="M3398"/>
          <cell r="N3398"/>
        </row>
        <row r="3399">
          <cell r="M3399"/>
          <cell r="N3399"/>
        </row>
        <row r="3400">
          <cell r="M3400"/>
          <cell r="N3400"/>
        </row>
        <row r="3401">
          <cell r="M3401"/>
          <cell r="N3401"/>
        </row>
        <row r="3402">
          <cell r="M3402"/>
          <cell r="N3402"/>
        </row>
        <row r="3403">
          <cell r="M3403"/>
          <cell r="N3403"/>
        </row>
        <row r="3404">
          <cell r="M3404"/>
          <cell r="N3404"/>
        </row>
        <row r="3405">
          <cell r="M3405"/>
          <cell r="N3405"/>
        </row>
        <row r="3406">
          <cell r="M3406"/>
          <cell r="N3406"/>
        </row>
        <row r="3407">
          <cell r="M3407"/>
          <cell r="N3407"/>
        </row>
        <row r="3408">
          <cell r="M3408"/>
          <cell r="N3408"/>
        </row>
        <row r="3409">
          <cell r="M3409"/>
          <cell r="N3409"/>
        </row>
        <row r="3410">
          <cell r="M3410"/>
          <cell r="N3410"/>
        </row>
        <row r="3411">
          <cell r="M3411"/>
          <cell r="N3411"/>
        </row>
        <row r="3412">
          <cell r="M3412"/>
          <cell r="N3412"/>
        </row>
        <row r="3413">
          <cell r="M3413"/>
          <cell r="N3413"/>
        </row>
        <row r="3414">
          <cell r="M3414"/>
          <cell r="N3414"/>
        </row>
        <row r="3415">
          <cell r="M3415"/>
          <cell r="N3415"/>
        </row>
        <row r="3416">
          <cell r="M3416"/>
          <cell r="N3416"/>
        </row>
        <row r="3417">
          <cell r="M3417"/>
          <cell r="N3417"/>
        </row>
        <row r="3418">
          <cell r="M3418"/>
          <cell r="N3418"/>
        </row>
        <row r="3419">
          <cell r="M3419"/>
          <cell r="N3419"/>
        </row>
        <row r="3420">
          <cell r="M3420"/>
          <cell r="N3420"/>
        </row>
        <row r="3421">
          <cell r="M3421"/>
          <cell r="N3421"/>
        </row>
        <row r="3422">
          <cell r="M3422"/>
          <cell r="N3422"/>
        </row>
        <row r="3423">
          <cell r="M3423"/>
          <cell r="N3423"/>
        </row>
        <row r="3424">
          <cell r="M3424"/>
          <cell r="N3424"/>
        </row>
        <row r="3425">
          <cell r="M3425"/>
          <cell r="N3425"/>
        </row>
        <row r="3426">
          <cell r="M3426"/>
          <cell r="N3426"/>
        </row>
        <row r="3427">
          <cell r="M3427"/>
          <cell r="N3427"/>
        </row>
        <row r="3428">
          <cell r="M3428"/>
          <cell r="N3428"/>
        </row>
        <row r="3429">
          <cell r="M3429"/>
          <cell r="N3429"/>
        </row>
        <row r="3430">
          <cell r="M3430"/>
          <cell r="N3430"/>
        </row>
        <row r="3431">
          <cell r="M3431"/>
          <cell r="N3431"/>
        </row>
        <row r="3432">
          <cell r="M3432"/>
          <cell r="N3432"/>
        </row>
        <row r="3433">
          <cell r="M3433"/>
          <cell r="N3433"/>
        </row>
        <row r="3434">
          <cell r="M3434"/>
          <cell r="N3434"/>
        </row>
        <row r="3435">
          <cell r="M3435"/>
          <cell r="N3435"/>
        </row>
        <row r="3436">
          <cell r="M3436"/>
          <cell r="N3436"/>
        </row>
        <row r="3437">
          <cell r="M3437"/>
          <cell r="N3437"/>
        </row>
        <row r="3438">
          <cell r="M3438"/>
          <cell r="N3438"/>
        </row>
        <row r="3439">
          <cell r="M3439"/>
          <cell r="N3439"/>
        </row>
        <row r="3440">
          <cell r="M3440"/>
          <cell r="N3440"/>
        </row>
        <row r="3441">
          <cell r="M3441"/>
          <cell r="N3441"/>
        </row>
        <row r="3442">
          <cell r="M3442"/>
          <cell r="N3442"/>
        </row>
        <row r="3443">
          <cell r="M3443"/>
          <cell r="N3443"/>
        </row>
        <row r="3444">
          <cell r="M3444"/>
          <cell r="N3444"/>
        </row>
        <row r="3445">
          <cell r="M3445"/>
          <cell r="N3445"/>
        </row>
        <row r="3446">
          <cell r="M3446"/>
          <cell r="N3446"/>
        </row>
        <row r="3447">
          <cell r="M3447"/>
          <cell r="N3447"/>
        </row>
        <row r="3448">
          <cell r="M3448"/>
          <cell r="N3448"/>
        </row>
        <row r="3449">
          <cell r="M3449"/>
          <cell r="N3449"/>
        </row>
        <row r="3450">
          <cell r="M3450"/>
          <cell r="N3450"/>
        </row>
        <row r="3451">
          <cell r="M3451"/>
          <cell r="N3451"/>
        </row>
        <row r="3452">
          <cell r="M3452"/>
          <cell r="N3452"/>
        </row>
        <row r="3453">
          <cell r="M3453"/>
          <cell r="N3453"/>
        </row>
        <row r="3454">
          <cell r="M3454"/>
          <cell r="N3454"/>
        </row>
        <row r="3455">
          <cell r="M3455"/>
          <cell r="N3455"/>
        </row>
        <row r="3456">
          <cell r="M3456"/>
          <cell r="N3456"/>
        </row>
        <row r="3457">
          <cell r="M3457"/>
          <cell r="N3457"/>
        </row>
        <row r="3458">
          <cell r="M3458"/>
          <cell r="N3458"/>
        </row>
        <row r="3459">
          <cell r="M3459"/>
          <cell r="N3459"/>
        </row>
        <row r="3460">
          <cell r="M3460"/>
          <cell r="N3460"/>
        </row>
        <row r="3461">
          <cell r="M3461"/>
          <cell r="N3461"/>
        </row>
        <row r="3462">
          <cell r="M3462"/>
          <cell r="N3462"/>
        </row>
        <row r="3463">
          <cell r="M3463"/>
          <cell r="N3463"/>
        </row>
        <row r="3464">
          <cell r="M3464"/>
          <cell r="N3464"/>
        </row>
        <row r="3465">
          <cell r="M3465"/>
          <cell r="N3465"/>
        </row>
        <row r="3466">
          <cell r="M3466"/>
          <cell r="N3466"/>
        </row>
        <row r="3467">
          <cell r="M3467"/>
          <cell r="N3467"/>
        </row>
        <row r="3468">
          <cell r="M3468"/>
          <cell r="N3468"/>
        </row>
        <row r="3469">
          <cell r="M3469"/>
          <cell r="N3469"/>
        </row>
        <row r="3470">
          <cell r="M3470"/>
          <cell r="N3470"/>
        </row>
        <row r="3471">
          <cell r="M3471"/>
          <cell r="N3471"/>
        </row>
        <row r="3472">
          <cell r="M3472"/>
          <cell r="N3472"/>
        </row>
        <row r="3473">
          <cell r="M3473"/>
          <cell r="N3473"/>
        </row>
        <row r="3474">
          <cell r="M3474"/>
          <cell r="N3474"/>
        </row>
        <row r="3475">
          <cell r="M3475"/>
          <cell r="N3475"/>
        </row>
        <row r="3476">
          <cell r="M3476"/>
          <cell r="N3476"/>
        </row>
        <row r="3477">
          <cell r="M3477"/>
          <cell r="N3477"/>
        </row>
        <row r="3478">
          <cell r="M3478"/>
          <cell r="N3478"/>
        </row>
        <row r="3479">
          <cell r="M3479"/>
          <cell r="N3479"/>
        </row>
        <row r="3480">
          <cell r="M3480"/>
          <cell r="N3480"/>
        </row>
        <row r="3481">
          <cell r="M3481"/>
          <cell r="N3481"/>
        </row>
        <row r="3482">
          <cell r="M3482"/>
          <cell r="N3482"/>
        </row>
        <row r="3483">
          <cell r="M3483"/>
          <cell r="N3483"/>
        </row>
        <row r="3484">
          <cell r="M3484"/>
          <cell r="N3484"/>
        </row>
        <row r="3485">
          <cell r="M3485"/>
          <cell r="N3485"/>
        </row>
        <row r="3486">
          <cell r="M3486"/>
          <cell r="N3486"/>
        </row>
        <row r="3487">
          <cell r="M3487"/>
          <cell r="N3487"/>
        </row>
        <row r="3488">
          <cell r="M3488"/>
          <cell r="N3488"/>
        </row>
        <row r="3489">
          <cell r="M3489"/>
          <cell r="N3489"/>
        </row>
        <row r="3490">
          <cell r="M3490"/>
          <cell r="N3490"/>
        </row>
        <row r="3491">
          <cell r="M3491"/>
          <cell r="N3491"/>
        </row>
        <row r="3492">
          <cell r="M3492"/>
          <cell r="N3492"/>
        </row>
        <row r="3493">
          <cell r="M3493"/>
          <cell r="N3493"/>
        </row>
        <row r="3494">
          <cell r="M3494"/>
          <cell r="N3494"/>
        </row>
        <row r="3495">
          <cell r="M3495"/>
          <cell r="N3495"/>
        </row>
        <row r="3496">
          <cell r="M3496"/>
          <cell r="N3496"/>
        </row>
        <row r="3497">
          <cell r="M3497"/>
          <cell r="N3497"/>
        </row>
        <row r="3498">
          <cell r="M3498"/>
          <cell r="N3498"/>
        </row>
        <row r="3499">
          <cell r="M3499"/>
          <cell r="N3499"/>
        </row>
        <row r="3500">
          <cell r="M3500"/>
          <cell r="N3500"/>
        </row>
        <row r="3501">
          <cell r="M3501"/>
          <cell r="N3501"/>
        </row>
        <row r="3502">
          <cell r="M3502"/>
          <cell r="N3502"/>
        </row>
        <row r="3503">
          <cell r="M3503"/>
          <cell r="N3503"/>
        </row>
        <row r="3504">
          <cell r="M3504"/>
          <cell r="N3504"/>
        </row>
        <row r="3505">
          <cell r="M3505"/>
          <cell r="N3505"/>
        </row>
        <row r="3506">
          <cell r="M3506"/>
          <cell r="N3506"/>
        </row>
        <row r="3507">
          <cell r="M3507"/>
          <cell r="N3507"/>
        </row>
        <row r="3508">
          <cell r="M3508"/>
          <cell r="N3508"/>
        </row>
        <row r="3509">
          <cell r="M3509"/>
          <cell r="N3509"/>
        </row>
        <row r="3510">
          <cell r="M3510"/>
          <cell r="N3510"/>
        </row>
        <row r="3511">
          <cell r="M3511"/>
          <cell r="N3511"/>
        </row>
        <row r="3512">
          <cell r="M3512"/>
          <cell r="N3512"/>
        </row>
        <row r="3513">
          <cell r="M3513"/>
          <cell r="N3513"/>
        </row>
        <row r="3514">
          <cell r="M3514"/>
          <cell r="N3514"/>
        </row>
        <row r="3515">
          <cell r="M3515"/>
          <cell r="N3515"/>
        </row>
        <row r="3516">
          <cell r="M3516"/>
          <cell r="N3516"/>
        </row>
        <row r="3517">
          <cell r="M3517"/>
          <cell r="N3517"/>
        </row>
        <row r="3518">
          <cell r="M3518"/>
          <cell r="N3518"/>
        </row>
        <row r="3519">
          <cell r="M3519"/>
          <cell r="N3519"/>
        </row>
        <row r="3520">
          <cell r="M3520"/>
          <cell r="N3520"/>
        </row>
        <row r="3521">
          <cell r="M3521"/>
          <cell r="N3521"/>
        </row>
        <row r="3522">
          <cell r="M3522"/>
          <cell r="N3522"/>
        </row>
        <row r="3523">
          <cell r="M3523"/>
          <cell r="N3523"/>
        </row>
        <row r="3524">
          <cell r="M3524"/>
          <cell r="N3524"/>
        </row>
        <row r="3525">
          <cell r="M3525"/>
          <cell r="N3525"/>
        </row>
        <row r="3526">
          <cell r="M3526"/>
          <cell r="N3526"/>
        </row>
        <row r="3527">
          <cell r="M3527"/>
          <cell r="N3527"/>
        </row>
        <row r="3528">
          <cell r="M3528"/>
          <cell r="N3528"/>
        </row>
        <row r="3529">
          <cell r="M3529"/>
          <cell r="N3529"/>
        </row>
        <row r="3530">
          <cell r="M3530"/>
          <cell r="N3530"/>
        </row>
        <row r="3531">
          <cell r="M3531"/>
          <cell r="N3531"/>
        </row>
        <row r="3532">
          <cell r="M3532"/>
          <cell r="N3532"/>
        </row>
        <row r="3533">
          <cell r="M3533"/>
          <cell r="N3533"/>
        </row>
        <row r="3534">
          <cell r="M3534"/>
          <cell r="N3534"/>
        </row>
        <row r="3535">
          <cell r="M3535"/>
          <cell r="N3535"/>
        </row>
        <row r="3536">
          <cell r="M3536"/>
          <cell r="N3536"/>
        </row>
        <row r="3537">
          <cell r="M3537"/>
          <cell r="N3537"/>
        </row>
        <row r="3538">
          <cell r="M3538"/>
          <cell r="N3538"/>
        </row>
        <row r="3539">
          <cell r="M3539"/>
          <cell r="N3539"/>
        </row>
        <row r="3540">
          <cell r="M3540"/>
          <cell r="N3540"/>
        </row>
        <row r="3541">
          <cell r="M3541"/>
          <cell r="N3541"/>
        </row>
        <row r="3542">
          <cell r="M3542"/>
          <cell r="N3542"/>
        </row>
        <row r="3543">
          <cell r="M3543"/>
          <cell r="N3543"/>
        </row>
        <row r="3544">
          <cell r="M3544"/>
          <cell r="N3544"/>
        </row>
        <row r="3545">
          <cell r="M3545"/>
          <cell r="N3545"/>
        </row>
        <row r="3546">
          <cell r="M3546"/>
          <cell r="N3546"/>
        </row>
        <row r="3547">
          <cell r="M3547"/>
          <cell r="N3547"/>
        </row>
        <row r="3548">
          <cell r="M3548"/>
          <cell r="N3548"/>
        </row>
        <row r="3549">
          <cell r="M3549"/>
          <cell r="N3549"/>
        </row>
        <row r="3550">
          <cell r="M3550"/>
          <cell r="N3550"/>
        </row>
        <row r="3551">
          <cell r="M3551"/>
          <cell r="N3551"/>
        </row>
        <row r="3552">
          <cell r="M3552"/>
          <cell r="N3552"/>
        </row>
        <row r="3553">
          <cell r="M3553"/>
          <cell r="N3553"/>
        </row>
        <row r="3554">
          <cell r="M3554"/>
          <cell r="N3554"/>
        </row>
        <row r="3555">
          <cell r="M3555"/>
          <cell r="N3555"/>
        </row>
        <row r="3556">
          <cell r="M3556"/>
          <cell r="N3556"/>
        </row>
        <row r="3557">
          <cell r="M3557"/>
          <cell r="N3557"/>
        </row>
        <row r="3558">
          <cell r="M3558"/>
          <cell r="N3558"/>
        </row>
        <row r="3559">
          <cell r="M3559"/>
          <cell r="N3559"/>
        </row>
        <row r="3560">
          <cell r="M3560"/>
          <cell r="N3560"/>
        </row>
        <row r="3561">
          <cell r="M3561"/>
          <cell r="N3561"/>
        </row>
        <row r="3562">
          <cell r="M3562"/>
          <cell r="N3562"/>
        </row>
        <row r="3563">
          <cell r="M3563"/>
          <cell r="N3563"/>
        </row>
        <row r="3564">
          <cell r="M3564"/>
          <cell r="N3564"/>
        </row>
        <row r="3565">
          <cell r="M3565"/>
          <cell r="N3565"/>
        </row>
        <row r="3566">
          <cell r="M3566"/>
          <cell r="N3566"/>
        </row>
        <row r="3567">
          <cell r="M3567"/>
          <cell r="N3567"/>
        </row>
        <row r="3568">
          <cell r="M3568"/>
          <cell r="N3568"/>
        </row>
        <row r="3569">
          <cell r="M3569"/>
          <cell r="N3569"/>
        </row>
        <row r="3570">
          <cell r="M3570"/>
          <cell r="N3570"/>
        </row>
        <row r="3571">
          <cell r="M3571"/>
          <cell r="N3571"/>
        </row>
        <row r="3572">
          <cell r="M3572"/>
          <cell r="N3572"/>
        </row>
        <row r="3573">
          <cell r="M3573"/>
          <cell r="N3573"/>
        </row>
        <row r="3574">
          <cell r="M3574"/>
          <cell r="N3574"/>
        </row>
        <row r="3575">
          <cell r="M3575"/>
          <cell r="N3575"/>
        </row>
        <row r="3576">
          <cell r="M3576"/>
          <cell r="N3576"/>
        </row>
        <row r="3577">
          <cell r="M3577"/>
          <cell r="N3577"/>
        </row>
        <row r="3578">
          <cell r="M3578"/>
          <cell r="N3578"/>
        </row>
        <row r="3579">
          <cell r="M3579"/>
          <cell r="N3579"/>
        </row>
        <row r="3580">
          <cell r="M3580"/>
          <cell r="N3580"/>
        </row>
        <row r="3581">
          <cell r="M3581"/>
          <cell r="N3581"/>
        </row>
        <row r="3582">
          <cell r="M3582"/>
          <cell r="N3582"/>
        </row>
        <row r="3583">
          <cell r="M3583"/>
          <cell r="N3583"/>
        </row>
        <row r="3584">
          <cell r="M3584"/>
          <cell r="N3584"/>
        </row>
        <row r="3585">
          <cell r="M3585"/>
          <cell r="N3585"/>
        </row>
        <row r="3586">
          <cell r="M3586"/>
          <cell r="N3586"/>
        </row>
        <row r="3587">
          <cell r="M3587"/>
          <cell r="N3587"/>
        </row>
        <row r="3588">
          <cell r="M3588"/>
          <cell r="N3588"/>
        </row>
        <row r="3589">
          <cell r="M3589"/>
          <cell r="N3589"/>
        </row>
        <row r="3590">
          <cell r="M3590"/>
          <cell r="N3590"/>
        </row>
        <row r="3591">
          <cell r="M3591"/>
          <cell r="N3591"/>
        </row>
        <row r="3592">
          <cell r="M3592"/>
          <cell r="N3592"/>
        </row>
        <row r="3593">
          <cell r="M3593"/>
          <cell r="N3593"/>
        </row>
        <row r="3594">
          <cell r="M3594"/>
          <cell r="N3594"/>
        </row>
        <row r="3595">
          <cell r="M3595"/>
          <cell r="N3595"/>
        </row>
        <row r="3596">
          <cell r="M3596"/>
          <cell r="N3596"/>
        </row>
        <row r="3597">
          <cell r="M3597"/>
          <cell r="N3597"/>
        </row>
        <row r="3598">
          <cell r="M3598"/>
          <cell r="N3598"/>
        </row>
        <row r="3599">
          <cell r="M3599"/>
          <cell r="N3599"/>
        </row>
        <row r="3600">
          <cell r="M3600"/>
          <cell r="N3600"/>
        </row>
        <row r="3601">
          <cell r="M3601"/>
          <cell r="N3601"/>
        </row>
        <row r="3602">
          <cell r="M3602"/>
          <cell r="N3602"/>
        </row>
        <row r="3603">
          <cell r="M3603"/>
          <cell r="N3603"/>
        </row>
        <row r="3604">
          <cell r="M3604"/>
          <cell r="N3604"/>
        </row>
        <row r="3605">
          <cell r="M3605"/>
          <cell r="N3605"/>
        </row>
        <row r="3606">
          <cell r="M3606"/>
          <cell r="N3606"/>
        </row>
        <row r="3607">
          <cell r="M3607"/>
          <cell r="N3607"/>
        </row>
        <row r="3608">
          <cell r="M3608"/>
          <cell r="N3608"/>
        </row>
        <row r="3609">
          <cell r="M3609"/>
          <cell r="N3609"/>
        </row>
        <row r="3610">
          <cell r="M3610"/>
          <cell r="N3610"/>
        </row>
        <row r="3611">
          <cell r="M3611"/>
          <cell r="N3611"/>
        </row>
        <row r="3612">
          <cell r="M3612"/>
          <cell r="N3612"/>
        </row>
        <row r="3613">
          <cell r="M3613"/>
          <cell r="N3613"/>
        </row>
        <row r="3614">
          <cell r="M3614"/>
          <cell r="N3614"/>
        </row>
        <row r="3615">
          <cell r="M3615"/>
          <cell r="N3615"/>
        </row>
        <row r="3616">
          <cell r="M3616"/>
          <cell r="N3616"/>
        </row>
        <row r="3617">
          <cell r="M3617"/>
          <cell r="N3617"/>
        </row>
        <row r="3618">
          <cell r="M3618"/>
          <cell r="N3618"/>
        </row>
        <row r="3619">
          <cell r="M3619"/>
          <cell r="N3619"/>
        </row>
        <row r="3620">
          <cell r="M3620"/>
          <cell r="N3620"/>
        </row>
        <row r="3621">
          <cell r="M3621"/>
          <cell r="N3621"/>
        </row>
        <row r="3622">
          <cell r="M3622"/>
          <cell r="N3622"/>
        </row>
        <row r="3623">
          <cell r="M3623"/>
          <cell r="N3623"/>
        </row>
        <row r="3624">
          <cell r="M3624"/>
          <cell r="N3624"/>
        </row>
        <row r="3625">
          <cell r="M3625"/>
          <cell r="N3625"/>
        </row>
        <row r="3626">
          <cell r="M3626"/>
          <cell r="N3626"/>
        </row>
        <row r="3627">
          <cell r="M3627"/>
          <cell r="N3627"/>
        </row>
        <row r="3628">
          <cell r="M3628"/>
          <cell r="N3628"/>
        </row>
        <row r="3629">
          <cell r="M3629"/>
          <cell r="N3629"/>
        </row>
        <row r="3630">
          <cell r="M3630"/>
          <cell r="N3630"/>
        </row>
        <row r="3631">
          <cell r="M3631"/>
          <cell r="N3631"/>
        </row>
        <row r="3632">
          <cell r="M3632"/>
          <cell r="N3632"/>
        </row>
        <row r="3633">
          <cell r="M3633"/>
          <cell r="N3633"/>
        </row>
        <row r="3634">
          <cell r="M3634"/>
          <cell r="N3634"/>
        </row>
        <row r="3635">
          <cell r="M3635"/>
          <cell r="N3635"/>
        </row>
        <row r="3636">
          <cell r="M3636"/>
          <cell r="N3636"/>
        </row>
        <row r="3637">
          <cell r="M3637"/>
          <cell r="N3637"/>
        </row>
        <row r="3638">
          <cell r="M3638"/>
          <cell r="N3638"/>
        </row>
        <row r="3639">
          <cell r="M3639"/>
          <cell r="N3639"/>
        </row>
        <row r="3640">
          <cell r="M3640"/>
          <cell r="N3640"/>
        </row>
        <row r="3641">
          <cell r="M3641"/>
          <cell r="N3641"/>
        </row>
        <row r="3642">
          <cell r="M3642"/>
          <cell r="N3642"/>
        </row>
        <row r="3643">
          <cell r="M3643"/>
          <cell r="N3643"/>
        </row>
        <row r="3644">
          <cell r="M3644"/>
          <cell r="N3644"/>
        </row>
        <row r="3645">
          <cell r="M3645"/>
          <cell r="N3645"/>
        </row>
        <row r="3646">
          <cell r="M3646"/>
          <cell r="N3646"/>
        </row>
        <row r="3647">
          <cell r="M3647"/>
          <cell r="N3647"/>
        </row>
        <row r="3648">
          <cell r="M3648"/>
          <cell r="N3648"/>
        </row>
        <row r="3649">
          <cell r="M3649"/>
          <cell r="N3649"/>
        </row>
        <row r="3650">
          <cell r="M3650"/>
          <cell r="N3650"/>
        </row>
        <row r="3651">
          <cell r="M3651"/>
          <cell r="N3651"/>
        </row>
        <row r="3652">
          <cell r="M3652"/>
          <cell r="N3652"/>
        </row>
        <row r="3653">
          <cell r="M3653"/>
          <cell r="N3653"/>
        </row>
        <row r="3654">
          <cell r="M3654"/>
          <cell r="N3654"/>
        </row>
        <row r="3655">
          <cell r="M3655"/>
          <cell r="N3655"/>
        </row>
        <row r="3656">
          <cell r="M3656"/>
          <cell r="N3656"/>
        </row>
        <row r="3657">
          <cell r="M3657"/>
          <cell r="N3657"/>
        </row>
        <row r="3658">
          <cell r="M3658"/>
          <cell r="N3658"/>
        </row>
        <row r="3659">
          <cell r="M3659"/>
          <cell r="N3659"/>
        </row>
        <row r="3660">
          <cell r="M3660"/>
          <cell r="N3660"/>
        </row>
        <row r="3661">
          <cell r="M3661"/>
          <cell r="N3661"/>
        </row>
        <row r="3662">
          <cell r="M3662"/>
          <cell r="N3662"/>
        </row>
        <row r="3663">
          <cell r="M3663"/>
          <cell r="N3663"/>
        </row>
        <row r="3664">
          <cell r="M3664"/>
          <cell r="N3664"/>
        </row>
        <row r="3665">
          <cell r="M3665"/>
          <cell r="N3665"/>
        </row>
        <row r="3666">
          <cell r="M3666"/>
          <cell r="N3666"/>
        </row>
        <row r="3667">
          <cell r="M3667"/>
          <cell r="N3667"/>
        </row>
        <row r="3668">
          <cell r="M3668"/>
          <cell r="N3668"/>
        </row>
        <row r="3669">
          <cell r="M3669"/>
          <cell r="N3669"/>
        </row>
        <row r="3670">
          <cell r="M3670"/>
          <cell r="N3670"/>
        </row>
        <row r="3671">
          <cell r="M3671"/>
          <cell r="N3671"/>
        </row>
        <row r="3672">
          <cell r="M3672"/>
          <cell r="N3672"/>
        </row>
        <row r="3673">
          <cell r="M3673"/>
          <cell r="N3673"/>
        </row>
        <row r="3674">
          <cell r="M3674"/>
          <cell r="N3674"/>
        </row>
        <row r="3675">
          <cell r="M3675"/>
          <cell r="N3675"/>
        </row>
        <row r="3676">
          <cell r="M3676"/>
          <cell r="N3676"/>
        </row>
        <row r="3677">
          <cell r="M3677"/>
          <cell r="N3677"/>
        </row>
        <row r="3678">
          <cell r="M3678"/>
          <cell r="N3678"/>
        </row>
        <row r="3679">
          <cell r="M3679"/>
          <cell r="N3679"/>
        </row>
        <row r="3680">
          <cell r="M3680"/>
          <cell r="N3680"/>
        </row>
        <row r="3681">
          <cell r="M3681"/>
          <cell r="N3681"/>
        </row>
        <row r="3682">
          <cell r="M3682"/>
          <cell r="N3682"/>
        </row>
        <row r="3683">
          <cell r="M3683"/>
          <cell r="N3683"/>
        </row>
        <row r="3684">
          <cell r="M3684"/>
          <cell r="N3684"/>
        </row>
        <row r="3685">
          <cell r="M3685"/>
          <cell r="N3685"/>
        </row>
        <row r="3686">
          <cell r="M3686"/>
          <cell r="N3686"/>
        </row>
        <row r="3687">
          <cell r="M3687"/>
          <cell r="N3687"/>
        </row>
        <row r="3688">
          <cell r="M3688"/>
          <cell r="N3688"/>
        </row>
        <row r="3689">
          <cell r="M3689"/>
          <cell r="N3689"/>
        </row>
        <row r="3690">
          <cell r="M3690"/>
          <cell r="N3690"/>
        </row>
        <row r="3691">
          <cell r="M3691"/>
          <cell r="N3691"/>
        </row>
        <row r="3692">
          <cell r="M3692"/>
          <cell r="N3692"/>
        </row>
        <row r="3693">
          <cell r="M3693"/>
          <cell r="N3693"/>
        </row>
        <row r="3694">
          <cell r="M3694"/>
          <cell r="N3694"/>
        </row>
        <row r="3695">
          <cell r="M3695"/>
          <cell r="N3695"/>
        </row>
        <row r="3696">
          <cell r="M3696"/>
          <cell r="N3696"/>
        </row>
        <row r="3697">
          <cell r="M3697"/>
          <cell r="N3697"/>
        </row>
        <row r="3698">
          <cell r="M3698"/>
          <cell r="N3698"/>
        </row>
        <row r="3699">
          <cell r="M3699"/>
          <cell r="N3699"/>
        </row>
        <row r="3700">
          <cell r="M3700"/>
          <cell r="N3700"/>
        </row>
        <row r="3701">
          <cell r="M3701"/>
          <cell r="N3701"/>
        </row>
        <row r="3702">
          <cell r="M3702"/>
          <cell r="N3702"/>
        </row>
        <row r="3703">
          <cell r="M3703"/>
          <cell r="N3703"/>
        </row>
        <row r="3704">
          <cell r="M3704"/>
          <cell r="N3704"/>
        </row>
        <row r="3705">
          <cell r="M3705"/>
          <cell r="N3705"/>
        </row>
        <row r="3706">
          <cell r="M3706"/>
          <cell r="N3706"/>
        </row>
        <row r="3707">
          <cell r="M3707"/>
          <cell r="N3707"/>
        </row>
        <row r="3708">
          <cell r="M3708"/>
          <cell r="N3708"/>
        </row>
        <row r="3709">
          <cell r="M3709"/>
          <cell r="N3709"/>
        </row>
        <row r="3710">
          <cell r="M3710"/>
          <cell r="N3710"/>
        </row>
        <row r="3711">
          <cell r="M3711"/>
          <cell r="N3711"/>
        </row>
        <row r="3712">
          <cell r="M3712"/>
          <cell r="N3712"/>
        </row>
        <row r="3713">
          <cell r="M3713"/>
          <cell r="N3713"/>
        </row>
        <row r="3714">
          <cell r="M3714"/>
          <cell r="N3714"/>
        </row>
        <row r="3715">
          <cell r="M3715"/>
          <cell r="N3715"/>
        </row>
        <row r="3716">
          <cell r="M3716"/>
          <cell r="N3716"/>
        </row>
        <row r="3717">
          <cell r="M3717"/>
          <cell r="N3717"/>
        </row>
        <row r="3718">
          <cell r="M3718"/>
          <cell r="N3718"/>
        </row>
        <row r="3719">
          <cell r="M3719"/>
          <cell r="N3719"/>
        </row>
        <row r="3720">
          <cell r="M3720"/>
          <cell r="N3720"/>
        </row>
        <row r="3721">
          <cell r="M3721"/>
          <cell r="N3721"/>
        </row>
        <row r="3722">
          <cell r="M3722"/>
          <cell r="N3722"/>
        </row>
        <row r="3723">
          <cell r="M3723"/>
          <cell r="N3723"/>
        </row>
        <row r="3724">
          <cell r="M3724"/>
          <cell r="N3724"/>
        </row>
        <row r="3725">
          <cell r="M3725"/>
          <cell r="N3725"/>
        </row>
        <row r="3726">
          <cell r="M3726"/>
          <cell r="N3726"/>
        </row>
        <row r="3727">
          <cell r="M3727"/>
          <cell r="N3727"/>
        </row>
        <row r="3728">
          <cell r="M3728"/>
          <cell r="N3728"/>
        </row>
        <row r="3729">
          <cell r="M3729"/>
          <cell r="N3729"/>
        </row>
        <row r="3730">
          <cell r="M3730"/>
          <cell r="N3730"/>
        </row>
        <row r="3731">
          <cell r="M3731"/>
          <cell r="N3731"/>
        </row>
        <row r="3732">
          <cell r="M3732"/>
          <cell r="N3732"/>
        </row>
        <row r="3733">
          <cell r="M3733"/>
          <cell r="N3733"/>
        </row>
        <row r="3734">
          <cell r="M3734"/>
          <cell r="N3734"/>
        </row>
        <row r="3735">
          <cell r="M3735"/>
          <cell r="N3735"/>
        </row>
        <row r="3736">
          <cell r="M3736"/>
          <cell r="N3736"/>
        </row>
        <row r="3737">
          <cell r="M3737"/>
          <cell r="N3737"/>
        </row>
        <row r="3738">
          <cell r="M3738"/>
          <cell r="N3738"/>
        </row>
        <row r="3739">
          <cell r="M3739"/>
          <cell r="N3739"/>
        </row>
        <row r="3740">
          <cell r="M3740"/>
          <cell r="N3740"/>
        </row>
        <row r="3741">
          <cell r="M3741"/>
          <cell r="N3741"/>
        </row>
        <row r="3742">
          <cell r="M3742"/>
          <cell r="N3742"/>
        </row>
        <row r="3743">
          <cell r="M3743"/>
          <cell r="N3743"/>
        </row>
        <row r="3744">
          <cell r="M3744"/>
          <cell r="N3744"/>
        </row>
        <row r="3745">
          <cell r="M3745"/>
          <cell r="N3745"/>
        </row>
        <row r="3746">
          <cell r="M3746"/>
          <cell r="N3746"/>
        </row>
        <row r="3747">
          <cell r="M3747"/>
          <cell r="N3747"/>
        </row>
        <row r="3748">
          <cell r="M3748"/>
          <cell r="N3748"/>
        </row>
        <row r="3749">
          <cell r="M3749"/>
          <cell r="N3749"/>
        </row>
        <row r="3750">
          <cell r="M3750"/>
          <cell r="N3750"/>
        </row>
        <row r="3751">
          <cell r="M3751"/>
          <cell r="N3751"/>
        </row>
        <row r="3752">
          <cell r="M3752"/>
          <cell r="N3752"/>
        </row>
        <row r="3753">
          <cell r="M3753"/>
          <cell r="N3753"/>
        </row>
        <row r="3754">
          <cell r="M3754"/>
          <cell r="N3754"/>
        </row>
        <row r="3755">
          <cell r="M3755"/>
          <cell r="N3755"/>
        </row>
        <row r="3756">
          <cell r="M3756"/>
          <cell r="N3756"/>
        </row>
        <row r="3757">
          <cell r="M3757"/>
          <cell r="N3757"/>
        </row>
        <row r="3758">
          <cell r="M3758"/>
          <cell r="N3758"/>
        </row>
        <row r="3759">
          <cell r="M3759"/>
          <cell r="N3759"/>
        </row>
        <row r="3760">
          <cell r="M3760"/>
          <cell r="N3760"/>
        </row>
        <row r="3761">
          <cell r="M3761"/>
          <cell r="N3761"/>
        </row>
        <row r="3762">
          <cell r="M3762"/>
          <cell r="N3762"/>
        </row>
        <row r="3763">
          <cell r="M3763"/>
          <cell r="N3763"/>
        </row>
        <row r="3764">
          <cell r="M3764"/>
          <cell r="N3764"/>
        </row>
        <row r="3765">
          <cell r="M3765"/>
          <cell r="N3765"/>
        </row>
        <row r="3766">
          <cell r="M3766"/>
          <cell r="N3766"/>
        </row>
        <row r="3767">
          <cell r="M3767"/>
          <cell r="N3767"/>
        </row>
        <row r="3768">
          <cell r="M3768"/>
          <cell r="N3768"/>
        </row>
        <row r="3769">
          <cell r="M3769"/>
          <cell r="N3769"/>
        </row>
        <row r="3770">
          <cell r="M3770"/>
          <cell r="N3770"/>
        </row>
        <row r="3771">
          <cell r="M3771"/>
          <cell r="N3771"/>
        </row>
        <row r="3772">
          <cell r="M3772"/>
          <cell r="N3772"/>
        </row>
        <row r="3773">
          <cell r="M3773"/>
          <cell r="N3773"/>
        </row>
        <row r="3774">
          <cell r="M3774"/>
          <cell r="N3774"/>
        </row>
        <row r="3775">
          <cell r="M3775"/>
          <cell r="N3775"/>
        </row>
        <row r="3776">
          <cell r="M3776"/>
          <cell r="N3776"/>
        </row>
        <row r="3777">
          <cell r="M3777"/>
          <cell r="N3777"/>
        </row>
        <row r="3778">
          <cell r="M3778"/>
          <cell r="N3778"/>
        </row>
        <row r="3779">
          <cell r="M3779"/>
          <cell r="N3779"/>
        </row>
        <row r="3780">
          <cell r="M3780"/>
          <cell r="N3780"/>
        </row>
        <row r="3781">
          <cell r="M3781"/>
          <cell r="N3781"/>
        </row>
        <row r="3782">
          <cell r="M3782"/>
          <cell r="N3782"/>
        </row>
        <row r="3783">
          <cell r="M3783"/>
          <cell r="N3783"/>
        </row>
        <row r="3784">
          <cell r="M3784"/>
          <cell r="N3784"/>
        </row>
        <row r="3785">
          <cell r="M3785"/>
          <cell r="N3785"/>
        </row>
        <row r="3786">
          <cell r="M3786"/>
          <cell r="N3786"/>
        </row>
        <row r="3787">
          <cell r="M3787"/>
          <cell r="N3787"/>
        </row>
        <row r="3788">
          <cell r="M3788"/>
          <cell r="N3788"/>
        </row>
        <row r="3789">
          <cell r="M3789"/>
          <cell r="N3789"/>
        </row>
        <row r="3790">
          <cell r="M3790"/>
          <cell r="N3790"/>
        </row>
        <row r="3791">
          <cell r="M3791"/>
          <cell r="N3791"/>
        </row>
        <row r="3792">
          <cell r="M3792"/>
          <cell r="N3792"/>
        </row>
        <row r="3793">
          <cell r="M3793"/>
          <cell r="N3793"/>
        </row>
        <row r="3794">
          <cell r="M3794"/>
          <cell r="N3794"/>
        </row>
        <row r="3795">
          <cell r="M3795"/>
          <cell r="N3795"/>
        </row>
        <row r="3796">
          <cell r="M3796"/>
          <cell r="N3796"/>
        </row>
        <row r="3797">
          <cell r="M3797"/>
          <cell r="N3797"/>
        </row>
        <row r="3798">
          <cell r="M3798"/>
          <cell r="N3798"/>
        </row>
        <row r="3799">
          <cell r="M3799"/>
          <cell r="N3799"/>
        </row>
        <row r="3800">
          <cell r="M3800"/>
          <cell r="N3800"/>
        </row>
        <row r="3801">
          <cell r="M3801"/>
          <cell r="N3801"/>
        </row>
        <row r="3802">
          <cell r="M3802"/>
          <cell r="N3802"/>
        </row>
        <row r="3803">
          <cell r="M3803"/>
          <cell r="N3803"/>
        </row>
        <row r="3804">
          <cell r="M3804"/>
          <cell r="N3804"/>
        </row>
        <row r="3805">
          <cell r="M3805"/>
          <cell r="N3805"/>
        </row>
        <row r="3806">
          <cell r="M3806"/>
          <cell r="N3806"/>
        </row>
        <row r="3807">
          <cell r="M3807"/>
          <cell r="N3807"/>
        </row>
        <row r="3808">
          <cell r="M3808"/>
          <cell r="N3808"/>
        </row>
        <row r="3809">
          <cell r="M3809"/>
          <cell r="N3809"/>
        </row>
        <row r="3810">
          <cell r="M3810"/>
          <cell r="N3810"/>
        </row>
        <row r="3811">
          <cell r="M3811"/>
          <cell r="N3811"/>
        </row>
        <row r="3812">
          <cell r="M3812"/>
          <cell r="N3812"/>
        </row>
        <row r="3813">
          <cell r="M3813"/>
          <cell r="N3813"/>
        </row>
        <row r="3814">
          <cell r="M3814"/>
          <cell r="N3814"/>
        </row>
        <row r="3815">
          <cell r="M3815"/>
          <cell r="N3815"/>
        </row>
        <row r="3816">
          <cell r="M3816"/>
          <cell r="N3816"/>
        </row>
        <row r="3817">
          <cell r="M3817"/>
          <cell r="N3817"/>
        </row>
        <row r="3818">
          <cell r="M3818"/>
          <cell r="N3818"/>
        </row>
        <row r="3819">
          <cell r="M3819"/>
          <cell r="N3819"/>
        </row>
        <row r="3820">
          <cell r="M3820"/>
          <cell r="N3820"/>
        </row>
        <row r="3821">
          <cell r="M3821"/>
          <cell r="N3821"/>
        </row>
        <row r="3822">
          <cell r="M3822"/>
          <cell r="N3822"/>
        </row>
        <row r="3823">
          <cell r="M3823"/>
          <cell r="N3823"/>
        </row>
        <row r="3824">
          <cell r="M3824"/>
          <cell r="N3824"/>
        </row>
        <row r="3825">
          <cell r="M3825"/>
          <cell r="N3825"/>
        </row>
        <row r="3826">
          <cell r="M3826"/>
          <cell r="N3826"/>
        </row>
        <row r="3827">
          <cell r="M3827"/>
          <cell r="N3827"/>
        </row>
        <row r="3828">
          <cell r="M3828"/>
          <cell r="N3828"/>
        </row>
        <row r="3829">
          <cell r="M3829"/>
          <cell r="N3829"/>
        </row>
        <row r="3830">
          <cell r="M3830"/>
          <cell r="N3830"/>
        </row>
        <row r="3831">
          <cell r="M3831"/>
          <cell r="N3831"/>
        </row>
        <row r="3832">
          <cell r="M3832"/>
          <cell r="N3832"/>
        </row>
        <row r="3833">
          <cell r="M3833"/>
          <cell r="N3833"/>
        </row>
        <row r="3834">
          <cell r="M3834"/>
          <cell r="N3834"/>
        </row>
        <row r="3835">
          <cell r="M3835"/>
          <cell r="N3835"/>
        </row>
        <row r="3836">
          <cell r="M3836"/>
          <cell r="N3836"/>
        </row>
        <row r="3837">
          <cell r="M3837"/>
          <cell r="N3837"/>
        </row>
        <row r="3838">
          <cell r="M3838"/>
          <cell r="N3838"/>
        </row>
        <row r="3839">
          <cell r="M3839"/>
          <cell r="N3839"/>
        </row>
        <row r="3840">
          <cell r="M3840"/>
          <cell r="N3840"/>
        </row>
        <row r="3841">
          <cell r="M3841"/>
          <cell r="N3841"/>
        </row>
        <row r="3842">
          <cell r="M3842"/>
          <cell r="N3842"/>
        </row>
        <row r="3843">
          <cell r="M3843"/>
          <cell r="N3843"/>
        </row>
        <row r="3844">
          <cell r="M3844"/>
          <cell r="N3844"/>
        </row>
        <row r="3845">
          <cell r="M3845"/>
          <cell r="N3845"/>
        </row>
        <row r="3846">
          <cell r="M3846"/>
          <cell r="N3846"/>
        </row>
        <row r="3847">
          <cell r="M3847"/>
          <cell r="N3847"/>
        </row>
        <row r="3848">
          <cell r="M3848"/>
          <cell r="N3848"/>
        </row>
        <row r="3849">
          <cell r="M3849"/>
          <cell r="N3849"/>
        </row>
        <row r="3850">
          <cell r="M3850"/>
          <cell r="N3850"/>
        </row>
        <row r="3851">
          <cell r="M3851"/>
          <cell r="N3851"/>
        </row>
        <row r="3852">
          <cell r="M3852"/>
          <cell r="N3852"/>
        </row>
        <row r="3853">
          <cell r="M3853"/>
          <cell r="N3853"/>
        </row>
        <row r="3854">
          <cell r="M3854"/>
          <cell r="N3854"/>
        </row>
        <row r="3855">
          <cell r="M3855"/>
          <cell r="N3855"/>
        </row>
        <row r="3856">
          <cell r="M3856"/>
          <cell r="N3856"/>
        </row>
        <row r="3857">
          <cell r="M3857"/>
          <cell r="N3857"/>
        </row>
        <row r="3858">
          <cell r="M3858"/>
          <cell r="N3858"/>
        </row>
        <row r="3859">
          <cell r="M3859"/>
          <cell r="N3859"/>
        </row>
        <row r="3860">
          <cell r="M3860"/>
          <cell r="N3860"/>
        </row>
        <row r="3861">
          <cell r="M3861"/>
          <cell r="N3861"/>
        </row>
        <row r="3862">
          <cell r="M3862"/>
          <cell r="N3862"/>
        </row>
        <row r="3863">
          <cell r="M3863"/>
          <cell r="N3863"/>
        </row>
        <row r="3864">
          <cell r="M3864"/>
          <cell r="N3864"/>
        </row>
        <row r="3865">
          <cell r="M3865"/>
          <cell r="N3865"/>
        </row>
        <row r="3866">
          <cell r="M3866"/>
          <cell r="N3866"/>
        </row>
        <row r="3867">
          <cell r="M3867"/>
          <cell r="N3867"/>
        </row>
        <row r="3868">
          <cell r="M3868"/>
          <cell r="N3868"/>
        </row>
        <row r="3869">
          <cell r="M3869"/>
          <cell r="N3869"/>
        </row>
        <row r="3870">
          <cell r="M3870"/>
          <cell r="N3870"/>
        </row>
        <row r="3871">
          <cell r="M3871"/>
          <cell r="N3871"/>
        </row>
        <row r="3872">
          <cell r="M3872"/>
          <cell r="N3872"/>
        </row>
        <row r="3873">
          <cell r="M3873"/>
          <cell r="N3873"/>
        </row>
        <row r="3874">
          <cell r="M3874"/>
          <cell r="N3874"/>
        </row>
        <row r="3875">
          <cell r="M3875"/>
          <cell r="N3875"/>
        </row>
        <row r="3876">
          <cell r="M3876"/>
          <cell r="N3876"/>
        </row>
        <row r="3877">
          <cell r="M3877"/>
          <cell r="N3877"/>
        </row>
        <row r="3878">
          <cell r="M3878"/>
          <cell r="N3878"/>
        </row>
        <row r="3879">
          <cell r="M3879"/>
          <cell r="N3879"/>
        </row>
        <row r="3880">
          <cell r="M3880"/>
          <cell r="N3880"/>
        </row>
        <row r="3881">
          <cell r="M3881"/>
          <cell r="N3881"/>
        </row>
        <row r="3882">
          <cell r="M3882"/>
          <cell r="N3882"/>
        </row>
        <row r="3883">
          <cell r="M3883"/>
          <cell r="N3883"/>
        </row>
        <row r="3884">
          <cell r="M3884"/>
          <cell r="N3884"/>
        </row>
        <row r="3885">
          <cell r="M3885"/>
          <cell r="N3885"/>
        </row>
        <row r="3886">
          <cell r="M3886"/>
          <cell r="N3886"/>
        </row>
        <row r="3887">
          <cell r="M3887"/>
          <cell r="N3887"/>
        </row>
        <row r="3888">
          <cell r="M3888"/>
          <cell r="N3888"/>
        </row>
        <row r="3889">
          <cell r="M3889"/>
          <cell r="N3889"/>
        </row>
        <row r="3890">
          <cell r="M3890"/>
          <cell r="N3890"/>
        </row>
        <row r="3891">
          <cell r="M3891"/>
          <cell r="N3891"/>
        </row>
        <row r="3892">
          <cell r="M3892"/>
          <cell r="N3892"/>
        </row>
        <row r="3893">
          <cell r="M3893"/>
          <cell r="N3893"/>
        </row>
        <row r="3894">
          <cell r="M3894"/>
          <cell r="N3894"/>
        </row>
        <row r="3895">
          <cell r="M3895"/>
          <cell r="N3895"/>
        </row>
        <row r="3896">
          <cell r="M3896"/>
          <cell r="N3896"/>
        </row>
        <row r="3897">
          <cell r="M3897"/>
          <cell r="N3897"/>
        </row>
        <row r="3898">
          <cell r="M3898"/>
          <cell r="N3898"/>
        </row>
        <row r="3899">
          <cell r="M3899"/>
          <cell r="N3899"/>
        </row>
        <row r="3900">
          <cell r="M3900"/>
          <cell r="N3900"/>
        </row>
        <row r="3901">
          <cell r="M3901"/>
          <cell r="N3901"/>
        </row>
        <row r="3902">
          <cell r="M3902"/>
          <cell r="N3902"/>
        </row>
        <row r="3903">
          <cell r="M3903"/>
          <cell r="N3903"/>
        </row>
        <row r="3904">
          <cell r="M3904"/>
          <cell r="N3904"/>
        </row>
        <row r="3905">
          <cell r="M3905"/>
          <cell r="N3905"/>
        </row>
        <row r="3906">
          <cell r="M3906"/>
          <cell r="N3906"/>
        </row>
        <row r="3907">
          <cell r="M3907"/>
          <cell r="N3907"/>
        </row>
        <row r="3908">
          <cell r="M3908"/>
          <cell r="N3908"/>
        </row>
        <row r="3909">
          <cell r="M3909"/>
          <cell r="N3909"/>
        </row>
        <row r="3910">
          <cell r="M3910"/>
          <cell r="N3910"/>
        </row>
        <row r="3911">
          <cell r="M3911"/>
          <cell r="N3911"/>
        </row>
        <row r="3912">
          <cell r="M3912"/>
          <cell r="N3912"/>
        </row>
        <row r="3913">
          <cell r="M3913"/>
          <cell r="N3913"/>
        </row>
        <row r="3914">
          <cell r="M3914"/>
          <cell r="N3914"/>
        </row>
        <row r="3915">
          <cell r="M3915"/>
          <cell r="N3915"/>
        </row>
        <row r="3916">
          <cell r="M3916"/>
          <cell r="N3916"/>
        </row>
        <row r="3917">
          <cell r="M3917"/>
          <cell r="N3917"/>
        </row>
        <row r="3918">
          <cell r="M3918"/>
          <cell r="N3918"/>
        </row>
        <row r="3919">
          <cell r="M3919"/>
          <cell r="N3919"/>
        </row>
        <row r="3920">
          <cell r="M3920"/>
          <cell r="N3920"/>
        </row>
        <row r="3921">
          <cell r="M3921"/>
          <cell r="N3921"/>
        </row>
        <row r="3922">
          <cell r="M3922"/>
          <cell r="N3922"/>
        </row>
        <row r="3923">
          <cell r="M3923"/>
          <cell r="N3923"/>
        </row>
        <row r="3924">
          <cell r="M3924"/>
          <cell r="N3924"/>
        </row>
        <row r="3925">
          <cell r="M3925"/>
          <cell r="N3925"/>
        </row>
        <row r="3926">
          <cell r="M3926"/>
          <cell r="N3926"/>
        </row>
        <row r="3927">
          <cell r="M3927"/>
          <cell r="N3927"/>
        </row>
        <row r="3928">
          <cell r="M3928"/>
          <cell r="N3928"/>
        </row>
        <row r="3929">
          <cell r="M3929"/>
          <cell r="N3929"/>
        </row>
        <row r="3930">
          <cell r="M3930"/>
          <cell r="N3930"/>
        </row>
        <row r="3931">
          <cell r="M3931"/>
          <cell r="N3931"/>
        </row>
        <row r="3932">
          <cell r="M3932"/>
          <cell r="N3932"/>
        </row>
        <row r="3933">
          <cell r="M3933"/>
          <cell r="N3933"/>
        </row>
        <row r="3934">
          <cell r="M3934"/>
          <cell r="N3934"/>
        </row>
        <row r="3935">
          <cell r="M3935"/>
          <cell r="N3935"/>
        </row>
        <row r="3936">
          <cell r="M3936"/>
          <cell r="N3936"/>
        </row>
        <row r="3937">
          <cell r="M3937"/>
          <cell r="N3937"/>
        </row>
        <row r="3938">
          <cell r="M3938"/>
          <cell r="N3938"/>
        </row>
        <row r="3939">
          <cell r="M3939"/>
          <cell r="N3939"/>
        </row>
        <row r="3940">
          <cell r="M3940"/>
          <cell r="N3940"/>
        </row>
        <row r="3941">
          <cell r="M3941"/>
          <cell r="N3941"/>
        </row>
        <row r="3942">
          <cell r="M3942"/>
          <cell r="N3942"/>
        </row>
        <row r="3943">
          <cell r="M3943"/>
          <cell r="N3943"/>
        </row>
        <row r="3944">
          <cell r="M3944"/>
          <cell r="N3944"/>
        </row>
        <row r="3945">
          <cell r="M3945"/>
          <cell r="N3945"/>
        </row>
        <row r="3946">
          <cell r="M3946"/>
          <cell r="N3946"/>
        </row>
        <row r="3947">
          <cell r="M3947"/>
          <cell r="N3947"/>
        </row>
        <row r="3948">
          <cell r="M3948"/>
          <cell r="N3948"/>
        </row>
        <row r="3949">
          <cell r="M3949"/>
          <cell r="N3949"/>
        </row>
        <row r="3950">
          <cell r="M3950"/>
          <cell r="N3950"/>
        </row>
        <row r="3951">
          <cell r="M3951"/>
          <cell r="N3951"/>
        </row>
        <row r="3952">
          <cell r="M3952"/>
          <cell r="N3952"/>
        </row>
        <row r="3953">
          <cell r="M3953"/>
          <cell r="N3953"/>
        </row>
        <row r="3954">
          <cell r="M3954"/>
          <cell r="N3954"/>
        </row>
        <row r="3955">
          <cell r="M3955"/>
          <cell r="N3955"/>
        </row>
        <row r="3956">
          <cell r="M3956"/>
          <cell r="N3956"/>
        </row>
        <row r="3957">
          <cell r="M3957"/>
          <cell r="N3957"/>
        </row>
        <row r="3958">
          <cell r="M3958"/>
          <cell r="N3958"/>
        </row>
        <row r="3959">
          <cell r="M3959"/>
          <cell r="N3959"/>
        </row>
        <row r="3960">
          <cell r="M3960"/>
          <cell r="N3960"/>
        </row>
        <row r="3961">
          <cell r="M3961"/>
          <cell r="N3961"/>
        </row>
        <row r="3962">
          <cell r="M3962"/>
          <cell r="N3962"/>
        </row>
        <row r="3963">
          <cell r="M3963"/>
          <cell r="N3963"/>
        </row>
        <row r="3964">
          <cell r="M3964"/>
          <cell r="N3964"/>
        </row>
        <row r="3965">
          <cell r="M3965"/>
          <cell r="N3965"/>
        </row>
        <row r="3966">
          <cell r="M3966"/>
          <cell r="N3966"/>
        </row>
        <row r="3967">
          <cell r="M3967"/>
          <cell r="N3967"/>
        </row>
        <row r="3968">
          <cell r="M3968"/>
          <cell r="N3968"/>
        </row>
        <row r="3969">
          <cell r="M3969"/>
          <cell r="N3969"/>
        </row>
        <row r="3970">
          <cell r="M3970"/>
          <cell r="N3970"/>
        </row>
        <row r="3971">
          <cell r="M3971"/>
          <cell r="N3971"/>
        </row>
        <row r="3972">
          <cell r="M3972"/>
          <cell r="N3972"/>
        </row>
        <row r="3973">
          <cell r="M3973"/>
          <cell r="N3973"/>
        </row>
        <row r="3974">
          <cell r="M3974"/>
          <cell r="N3974"/>
        </row>
        <row r="3975">
          <cell r="M3975"/>
          <cell r="N3975"/>
        </row>
        <row r="3976">
          <cell r="M3976"/>
          <cell r="N3976"/>
        </row>
        <row r="3977">
          <cell r="M3977"/>
          <cell r="N3977"/>
        </row>
        <row r="3978">
          <cell r="M3978"/>
          <cell r="N3978"/>
        </row>
        <row r="3979">
          <cell r="M3979"/>
          <cell r="N3979"/>
        </row>
        <row r="3980">
          <cell r="M3980"/>
          <cell r="N3980"/>
        </row>
        <row r="3981">
          <cell r="M3981"/>
          <cell r="N3981"/>
        </row>
        <row r="3982">
          <cell r="M3982"/>
          <cell r="N3982"/>
        </row>
        <row r="3983">
          <cell r="M3983"/>
          <cell r="N3983"/>
        </row>
        <row r="3984">
          <cell r="M3984"/>
          <cell r="N3984"/>
        </row>
        <row r="3985">
          <cell r="M3985"/>
          <cell r="N3985"/>
        </row>
        <row r="3986">
          <cell r="M3986"/>
          <cell r="N3986"/>
        </row>
        <row r="3987">
          <cell r="M3987"/>
          <cell r="N3987"/>
        </row>
        <row r="3988">
          <cell r="M3988"/>
          <cell r="N3988"/>
        </row>
        <row r="3989">
          <cell r="M3989"/>
          <cell r="N3989"/>
        </row>
        <row r="3990">
          <cell r="M3990"/>
          <cell r="N3990"/>
        </row>
        <row r="3991">
          <cell r="M3991"/>
          <cell r="N3991"/>
        </row>
        <row r="3992">
          <cell r="M3992"/>
          <cell r="N3992"/>
        </row>
        <row r="3993">
          <cell r="M3993"/>
          <cell r="N3993"/>
        </row>
        <row r="3994">
          <cell r="M3994"/>
          <cell r="N3994"/>
        </row>
        <row r="3995">
          <cell r="M3995"/>
          <cell r="N3995"/>
        </row>
        <row r="3996">
          <cell r="M3996"/>
          <cell r="N3996"/>
        </row>
        <row r="3997">
          <cell r="M3997"/>
          <cell r="N3997"/>
        </row>
        <row r="3998">
          <cell r="M3998"/>
          <cell r="N3998"/>
        </row>
        <row r="3999">
          <cell r="M3999"/>
          <cell r="N3999"/>
        </row>
        <row r="4000">
          <cell r="M4000"/>
          <cell r="N4000"/>
        </row>
        <row r="4001">
          <cell r="M4001"/>
          <cell r="N4001"/>
        </row>
        <row r="4002">
          <cell r="M4002"/>
          <cell r="N4002"/>
        </row>
        <row r="4003">
          <cell r="M4003"/>
          <cell r="N4003"/>
        </row>
        <row r="4004">
          <cell r="M4004"/>
          <cell r="N4004"/>
        </row>
        <row r="4005">
          <cell r="M4005"/>
          <cell r="N4005"/>
        </row>
        <row r="4006">
          <cell r="M4006"/>
          <cell r="N4006"/>
        </row>
        <row r="4007">
          <cell r="M4007"/>
          <cell r="N4007"/>
        </row>
        <row r="4008">
          <cell r="M4008"/>
          <cell r="N4008"/>
        </row>
        <row r="4009">
          <cell r="M4009"/>
          <cell r="N4009"/>
        </row>
        <row r="4010">
          <cell r="M4010"/>
          <cell r="N4010"/>
        </row>
        <row r="4011">
          <cell r="M4011"/>
          <cell r="N4011"/>
        </row>
        <row r="4012">
          <cell r="M4012"/>
          <cell r="N4012"/>
        </row>
        <row r="4013">
          <cell r="M4013"/>
          <cell r="N4013"/>
        </row>
        <row r="4014">
          <cell r="M4014"/>
          <cell r="N4014"/>
        </row>
        <row r="4015">
          <cell r="M4015"/>
          <cell r="N4015"/>
        </row>
        <row r="4016">
          <cell r="M4016"/>
          <cell r="N4016"/>
        </row>
        <row r="4017">
          <cell r="M4017"/>
          <cell r="N4017"/>
        </row>
        <row r="4018">
          <cell r="M4018"/>
          <cell r="N4018"/>
        </row>
        <row r="4019">
          <cell r="M4019"/>
          <cell r="N4019"/>
        </row>
        <row r="4020">
          <cell r="M4020"/>
          <cell r="N4020"/>
        </row>
        <row r="4021">
          <cell r="M4021"/>
          <cell r="N4021"/>
        </row>
        <row r="4022">
          <cell r="M4022"/>
          <cell r="N4022"/>
        </row>
        <row r="4023">
          <cell r="M4023"/>
          <cell r="N4023"/>
        </row>
        <row r="4024">
          <cell r="M4024"/>
          <cell r="N4024"/>
        </row>
        <row r="4025">
          <cell r="M4025"/>
          <cell r="N4025"/>
        </row>
        <row r="4026">
          <cell r="M4026"/>
          <cell r="N4026"/>
        </row>
        <row r="4027">
          <cell r="M4027"/>
          <cell r="N4027"/>
        </row>
        <row r="4028">
          <cell r="M4028"/>
          <cell r="N4028"/>
        </row>
        <row r="4029">
          <cell r="M4029"/>
          <cell r="N4029"/>
        </row>
        <row r="4030">
          <cell r="M4030"/>
          <cell r="N4030"/>
        </row>
        <row r="4031">
          <cell r="M4031"/>
          <cell r="N4031"/>
        </row>
        <row r="4032">
          <cell r="M4032"/>
          <cell r="N4032"/>
        </row>
        <row r="4033">
          <cell r="M4033"/>
          <cell r="N4033"/>
        </row>
        <row r="4034">
          <cell r="M4034"/>
          <cell r="N4034"/>
        </row>
        <row r="4035">
          <cell r="M4035"/>
          <cell r="N4035"/>
        </row>
        <row r="4036">
          <cell r="M4036"/>
          <cell r="N4036"/>
        </row>
        <row r="4037">
          <cell r="M4037"/>
          <cell r="N4037"/>
        </row>
        <row r="4038">
          <cell r="M4038"/>
          <cell r="N4038"/>
        </row>
        <row r="4039">
          <cell r="M4039"/>
          <cell r="N4039"/>
        </row>
        <row r="4040">
          <cell r="M4040"/>
          <cell r="N4040"/>
        </row>
        <row r="4041">
          <cell r="M4041"/>
          <cell r="N4041"/>
        </row>
        <row r="4042">
          <cell r="M4042"/>
          <cell r="N4042"/>
        </row>
        <row r="4043">
          <cell r="M4043"/>
          <cell r="N4043"/>
        </row>
        <row r="4044">
          <cell r="M4044"/>
          <cell r="N4044"/>
        </row>
        <row r="4045">
          <cell r="M4045"/>
          <cell r="N4045"/>
        </row>
        <row r="4046">
          <cell r="M4046"/>
          <cell r="N4046"/>
        </row>
        <row r="4047">
          <cell r="M4047"/>
          <cell r="N4047"/>
        </row>
        <row r="4048">
          <cell r="M4048"/>
          <cell r="N4048"/>
        </row>
        <row r="4049">
          <cell r="M4049"/>
          <cell r="N4049"/>
        </row>
        <row r="4050">
          <cell r="M4050"/>
          <cell r="N4050"/>
        </row>
        <row r="4051">
          <cell r="M4051"/>
          <cell r="N4051"/>
        </row>
        <row r="4052">
          <cell r="M4052"/>
          <cell r="N4052"/>
        </row>
        <row r="4053">
          <cell r="M4053"/>
          <cell r="N4053"/>
        </row>
        <row r="4054">
          <cell r="M4054"/>
          <cell r="N4054"/>
        </row>
        <row r="4055">
          <cell r="M4055"/>
          <cell r="N4055"/>
        </row>
        <row r="4056">
          <cell r="M4056"/>
          <cell r="N4056"/>
        </row>
        <row r="4057">
          <cell r="M4057"/>
          <cell r="N4057"/>
        </row>
        <row r="4058">
          <cell r="M4058"/>
          <cell r="N4058"/>
        </row>
        <row r="4059">
          <cell r="M4059"/>
          <cell r="N4059"/>
        </row>
        <row r="4060">
          <cell r="M4060"/>
          <cell r="N4060"/>
        </row>
        <row r="4061">
          <cell r="M4061"/>
          <cell r="N4061"/>
        </row>
        <row r="4062">
          <cell r="M4062"/>
          <cell r="N4062"/>
        </row>
        <row r="4063">
          <cell r="M4063"/>
          <cell r="N4063"/>
        </row>
        <row r="4064">
          <cell r="M4064"/>
          <cell r="N4064"/>
        </row>
        <row r="4065">
          <cell r="M4065"/>
          <cell r="N4065"/>
        </row>
        <row r="4066">
          <cell r="M4066"/>
          <cell r="N4066"/>
        </row>
        <row r="4067">
          <cell r="M4067"/>
          <cell r="N4067"/>
        </row>
        <row r="4068">
          <cell r="M4068"/>
          <cell r="N4068"/>
        </row>
        <row r="4069">
          <cell r="M4069"/>
          <cell r="N4069"/>
        </row>
        <row r="4070">
          <cell r="M4070"/>
          <cell r="N4070"/>
        </row>
        <row r="4071">
          <cell r="M4071"/>
          <cell r="N4071"/>
        </row>
        <row r="4072">
          <cell r="M4072"/>
          <cell r="N4072"/>
        </row>
        <row r="4073">
          <cell r="M4073"/>
          <cell r="N4073"/>
        </row>
        <row r="4074">
          <cell r="M4074"/>
          <cell r="N4074"/>
        </row>
        <row r="4075">
          <cell r="M4075"/>
          <cell r="N4075"/>
        </row>
        <row r="4076">
          <cell r="M4076"/>
          <cell r="N4076"/>
        </row>
        <row r="4077">
          <cell r="M4077"/>
          <cell r="N4077"/>
        </row>
        <row r="4078">
          <cell r="M4078"/>
          <cell r="N4078"/>
        </row>
        <row r="4079">
          <cell r="M4079"/>
          <cell r="N4079"/>
        </row>
        <row r="4080">
          <cell r="M4080"/>
          <cell r="N4080"/>
        </row>
        <row r="4081">
          <cell r="M4081"/>
          <cell r="N4081"/>
        </row>
        <row r="4082">
          <cell r="M4082"/>
          <cell r="N4082"/>
        </row>
        <row r="4083">
          <cell r="M4083"/>
          <cell r="N4083"/>
        </row>
        <row r="4084">
          <cell r="M4084"/>
          <cell r="N4084"/>
        </row>
        <row r="4085">
          <cell r="M4085"/>
          <cell r="N4085"/>
        </row>
        <row r="4086">
          <cell r="M4086"/>
          <cell r="N4086"/>
        </row>
        <row r="4087">
          <cell r="M4087"/>
          <cell r="N4087"/>
        </row>
        <row r="4088">
          <cell r="M4088"/>
          <cell r="N4088"/>
        </row>
        <row r="4089">
          <cell r="M4089"/>
          <cell r="N4089"/>
        </row>
        <row r="4090">
          <cell r="M4090"/>
          <cell r="N4090"/>
        </row>
        <row r="4091">
          <cell r="M4091"/>
          <cell r="N4091"/>
        </row>
        <row r="4092">
          <cell r="M4092"/>
          <cell r="N4092"/>
        </row>
        <row r="4093">
          <cell r="M4093"/>
          <cell r="N4093"/>
        </row>
        <row r="4094">
          <cell r="M4094"/>
          <cell r="N4094"/>
        </row>
        <row r="4095">
          <cell r="M4095"/>
          <cell r="N4095"/>
        </row>
        <row r="4096">
          <cell r="M4096"/>
          <cell r="N4096"/>
        </row>
        <row r="4097">
          <cell r="M4097"/>
          <cell r="N4097"/>
        </row>
        <row r="4098">
          <cell r="M4098"/>
          <cell r="N4098"/>
        </row>
        <row r="4099">
          <cell r="M4099"/>
          <cell r="N4099"/>
        </row>
        <row r="4100">
          <cell r="M4100"/>
          <cell r="N4100"/>
        </row>
        <row r="4101">
          <cell r="M4101"/>
          <cell r="N4101"/>
        </row>
        <row r="4102">
          <cell r="M4102"/>
          <cell r="N4102"/>
        </row>
        <row r="4103">
          <cell r="M4103"/>
          <cell r="N4103"/>
        </row>
        <row r="4104">
          <cell r="M4104"/>
          <cell r="N4104"/>
        </row>
        <row r="4105">
          <cell r="M4105"/>
          <cell r="N4105"/>
        </row>
        <row r="4106">
          <cell r="M4106"/>
          <cell r="N4106"/>
        </row>
        <row r="4107">
          <cell r="M4107"/>
          <cell r="N4107"/>
        </row>
        <row r="4108">
          <cell r="M4108"/>
          <cell r="N4108"/>
        </row>
        <row r="4109">
          <cell r="M4109"/>
          <cell r="N4109"/>
        </row>
        <row r="4110">
          <cell r="M4110"/>
          <cell r="N4110"/>
        </row>
        <row r="4111">
          <cell r="M4111"/>
          <cell r="N4111"/>
        </row>
        <row r="4112">
          <cell r="M4112"/>
          <cell r="N4112"/>
        </row>
        <row r="4113">
          <cell r="M4113"/>
          <cell r="N4113"/>
        </row>
        <row r="4114">
          <cell r="M4114"/>
          <cell r="N4114"/>
        </row>
        <row r="4115">
          <cell r="M4115"/>
          <cell r="N4115"/>
        </row>
        <row r="4116">
          <cell r="M4116"/>
          <cell r="N4116"/>
        </row>
        <row r="4117">
          <cell r="M4117"/>
          <cell r="N4117"/>
        </row>
        <row r="4118">
          <cell r="M4118"/>
          <cell r="N4118"/>
        </row>
        <row r="4119">
          <cell r="M4119"/>
          <cell r="N4119"/>
        </row>
        <row r="4120">
          <cell r="M4120"/>
          <cell r="N4120"/>
        </row>
        <row r="4121">
          <cell r="M4121"/>
          <cell r="N4121"/>
        </row>
        <row r="4122">
          <cell r="M4122"/>
          <cell r="N4122"/>
        </row>
        <row r="4123">
          <cell r="M4123"/>
          <cell r="N4123"/>
        </row>
        <row r="4124">
          <cell r="M4124"/>
          <cell r="N4124"/>
        </row>
        <row r="4125">
          <cell r="M4125"/>
          <cell r="N4125"/>
        </row>
        <row r="4126">
          <cell r="M4126"/>
          <cell r="N4126"/>
        </row>
        <row r="4127">
          <cell r="M4127"/>
          <cell r="N4127"/>
        </row>
        <row r="4128">
          <cell r="M4128"/>
          <cell r="N4128"/>
        </row>
        <row r="4129">
          <cell r="M4129"/>
          <cell r="N4129"/>
        </row>
        <row r="4130">
          <cell r="M4130"/>
          <cell r="N4130"/>
        </row>
        <row r="4131">
          <cell r="M4131"/>
          <cell r="N4131"/>
        </row>
        <row r="4132">
          <cell r="M4132"/>
          <cell r="N4132"/>
        </row>
        <row r="4133">
          <cell r="M4133"/>
          <cell r="N4133"/>
        </row>
        <row r="4134">
          <cell r="M4134"/>
          <cell r="N4134"/>
        </row>
        <row r="4135">
          <cell r="M4135"/>
          <cell r="N4135"/>
        </row>
        <row r="4136">
          <cell r="M4136"/>
          <cell r="N4136"/>
        </row>
        <row r="4137">
          <cell r="M4137"/>
          <cell r="N4137"/>
        </row>
        <row r="4138">
          <cell r="M4138"/>
          <cell r="N4138"/>
        </row>
        <row r="4139">
          <cell r="M4139"/>
          <cell r="N4139"/>
        </row>
        <row r="4140">
          <cell r="M4140"/>
          <cell r="N4140"/>
        </row>
        <row r="4141">
          <cell r="M4141"/>
          <cell r="N4141"/>
        </row>
        <row r="4142">
          <cell r="M4142"/>
          <cell r="N4142"/>
        </row>
        <row r="4143">
          <cell r="M4143"/>
          <cell r="N4143"/>
        </row>
        <row r="4144">
          <cell r="M4144"/>
          <cell r="N4144"/>
        </row>
        <row r="4145">
          <cell r="M4145"/>
          <cell r="N4145"/>
        </row>
        <row r="4146">
          <cell r="M4146"/>
          <cell r="N4146"/>
        </row>
        <row r="4147">
          <cell r="M4147"/>
          <cell r="N4147"/>
        </row>
        <row r="4148">
          <cell r="M4148"/>
          <cell r="N4148"/>
        </row>
        <row r="4149">
          <cell r="M4149"/>
          <cell r="N4149"/>
        </row>
        <row r="4150">
          <cell r="M4150"/>
          <cell r="N4150"/>
        </row>
        <row r="4151">
          <cell r="M4151"/>
          <cell r="N4151"/>
        </row>
        <row r="4152">
          <cell r="M4152"/>
          <cell r="N4152"/>
        </row>
        <row r="4153">
          <cell r="M4153"/>
          <cell r="N4153"/>
        </row>
        <row r="4154">
          <cell r="M4154"/>
          <cell r="N4154"/>
        </row>
        <row r="4155">
          <cell r="M4155"/>
          <cell r="N4155"/>
        </row>
        <row r="4156">
          <cell r="M4156"/>
          <cell r="N4156"/>
        </row>
        <row r="4157">
          <cell r="M4157"/>
          <cell r="N4157"/>
        </row>
        <row r="4158">
          <cell r="M4158"/>
          <cell r="N4158"/>
        </row>
        <row r="4159">
          <cell r="M4159"/>
          <cell r="N4159"/>
        </row>
        <row r="4160">
          <cell r="M4160"/>
          <cell r="N4160"/>
        </row>
        <row r="4161">
          <cell r="M4161"/>
          <cell r="N4161"/>
        </row>
        <row r="4162">
          <cell r="M4162"/>
          <cell r="N4162"/>
        </row>
        <row r="4163">
          <cell r="M4163"/>
          <cell r="N4163"/>
        </row>
        <row r="4164">
          <cell r="M4164"/>
          <cell r="N4164"/>
        </row>
        <row r="4165">
          <cell r="M4165"/>
          <cell r="N4165"/>
        </row>
        <row r="4166">
          <cell r="M4166"/>
          <cell r="N4166"/>
        </row>
        <row r="4167">
          <cell r="M4167"/>
          <cell r="N4167"/>
        </row>
        <row r="4168">
          <cell r="M4168"/>
          <cell r="N4168"/>
        </row>
        <row r="4169">
          <cell r="M4169"/>
          <cell r="N4169"/>
        </row>
        <row r="4170">
          <cell r="M4170"/>
          <cell r="N4170"/>
        </row>
        <row r="4171">
          <cell r="M4171"/>
          <cell r="N4171"/>
        </row>
        <row r="4172">
          <cell r="M4172"/>
          <cell r="N4172"/>
        </row>
        <row r="4173">
          <cell r="M4173"/>
          <cell r="N4173"/>
        </row>
        <row r="4174">
          <cell r="M4174"/>
          <cell r="N4174"/>
        </row>
        <row r="4175">
          <cell r="M4175"/>
          <cell r="N4175"/>
        </row>
        <row r="4176">
          <cell r="M4176"/>
          <cell r="N4176"/>
        </row>
        <row r="4177">
          <cell r="M4177"/>
          <cell r="N4177"/>
        </row>
        <row r="4178">
          <cell r="M4178"/>
          <cell r="N4178"/>
        </row>
        <row r="4179">
          <cell r="M4179"/>
          <cell r="N4179"/>
        </row>
        <row r="4180">
          <cell r="M4180"/>
          <cell r="N4180"/>
        </row>
        <row r="4181">
          <cell r="M4181"/>
          <cell r="N4181"/>
        </row>
        <row r="4182">
          <cell r="M4182"/>
          <cell r="N4182"/>
        </row>
        <row r="4183">
          <cell r="M4183"/>
          <cell r="N4183"/>
        </row>
        <row r="4184">
          <cell r="M4184"/>
          <cell r="N4184"/>
        </row>
        <row r="4185">
          <cell r="M4185"/>
          <cell r="N4185"/>
        </row>
        <row r="4186">
          <cell r="M4186"/>
          <cell r="N4186"/>
        </row>
        <row r="4187">
          <cell r="M4187"/>
          <cell r="N4187"/>
        </row>
        <row r="4188">
          <cell r="M4188"/>
          <cell r="N4188"/>
        </row>
        <row r="4189">
          <cell r="M4189"/>
          <cell r="N4189"/>
        </row>
        <row r="4190">
          <cell r="M4190"/>
          <cell r="N4190"/>
        </row>
        <row r="4191">
          <cell r="M4191"/>
          <cell r="N4191"/>
        </row>
        <row r="4192">
          <cell r="M4192"/>
          <cell r="N4192"/>
        </row>
        <row r="4193">
          <cell r="M4193"/>
          <cell r="N4193"/>
        </row>
        <row r="4194">
          <cell r="M4194"/>
          <cell r="N4194"/>
        </row>
        <row r="4195">
          <cell r="M4195"/>
          <cell r="N4195"/>
        </row>
        <row r="4196">
          <cell r="M4196"/>
          <cell r="N4196"/>
        </row>
        <row r="4197">
          <cell r="M4197"/>
          <cell r="N4197"/>
        </row>
        <row r="4198">
          <cell r="M4198"/>
          <cell r="N4198"/>
        </row>
        <row r="4199">
          <cell r="M4199"/>
          <cell r="N4199"/>
        </row>
        <row r="4200">
          <cell r="M4200"/>
          <cell r="N4200"/>
        </row>
        <row r="4201">
          <cell r="M4201"/>
          <cell r="N4201"/>
        </row>
        <row r="4202">
          <cell r="M4202"/>
          <cell r="N4202"/>
        </row>
        <row r="4203">
          <cell r="M4203"/>
          <cell r="N4203"/>
        </row>
        <row r="4204">
          <cell r="M4204"/>
          <cell r="N4204"/>
        </row>
        <row r="4205">
          <cell r="M4205"/>
          <cell r="N4205"/>
        </row>
        <row r="4206">
          <cell r="M4206"/>
          <cell r="N4206"/>
        </row>
        <row r="4207">
          <cell r="M4207"/>
          <cell r="N4207"/>
        </row>
        <row r="4208">
          <cell r="M4208"/>
          <cell r="N4208"/>
        </row>
        <row r="4209">
          <cell r="M4209"/>
          <cell r="N4209"/>
        </row>
        <row r="4210">
          <cell r="M4210"/>
          <cell r="N4210"/>
        </row>
        <row r="4211">
          <cell r="M4211"/>
          <cell r="N4211"/>
        </row>
        <row r="4212">
          <cell r="M4212"/>
          <cell r="N4212"/>
        </row>
        <row r="4213">
          <cell r="M4213"/>
          <cell r="N4213"/>
        </row>
        <row r="4214">
          <cell r="M4214"/>
          <cell r="N4214"/>
        </row>
        <row r="4215">
          <cell r="M4215"/>
          <cell r="N4215"/>
        </row>
        <row r="4216">
          <cell r="M4216"/>
          <cell r="N4216"/>
        </row>
        <row r="4217">
          <cell r="M4217"/>
          <cell r="N4217"/>
        </row>
        <row r="4218">
          <cell r="M4218"/>
          <cell r="N4218"/>
        </row>
        <row r="4219">
          <cell r="M4219"/>
          <cell r="N4219"/>
        </row>
        <row r="4220">
          <cell r="M4220"/>
          <cell r="N4220"/>
        </row>
        <row r="4221">
          <cell r="M4221"/>
          <cell r="N4221"/>
        </row>
        <row r="4222">
          <cell r="M4222"/>
          <cell r="N4222"/>
        </row>
        <row r="4223">
          <cell r="M4223"/>
          <cell r="N4223"/>
        </row>
        <row r="4224">
          <cell r="M4224"/>
          <cell r="N4224"/>
        </row>
        <row r="4225">
          <cell r="M4225"/>
          <cell r="N4225"/>
        </row>
        <row r="4226">
          <cell r="M4226"/>
          <cell r="N4226"/>
        </row>
        <row r="4227">
          <cell r="M4227"/>
          <cell r="N4227"/>
        </row>
        <row r="4228">
          <cell r="M4228"/>
          <cell r="N4228"/>
        </row>
        <row r="4229">
          <cell r="M4229"/>
          <cell r="N4229"/>
        </row>
        <row r="4230">
          <cell r="M4230"/>
          <cell r="N4230"/>
        </row>
        <row r="4231">
          <cell r="M4231"/>
          <cell r="N4231"/>
        </row>
        <row r="4232">
          <cell r="M4232"/>
          <cell r="N4232"/>
        </row>
        <row r="4233">
          <cell r="M4233"/>
          <cell r="N4233"/>
        </row>
        <row r="4234">
          <cell r="M4234"/>
          <cell r="N4234"/>
        </row>
        <row r="4235">
          <cell r="M4235"/>
          <cell r="N4235"/>
        </row>
        <row r="4236">
          <cell r="M4236"/>
          <cell r="N4236"/>
        </row>
        <row r="4237">
          <cell r="M4237"/>
          <cell r="N4237"/>
        </row>
        <row r="4238">
          <cell r="M4238"/>
          <cell r="N4238"/>
        </row>
        <row r="4239">
          <cell r="M4239"/>
          <cell r="N4239"/>
        </row>
        <row r="4240">
          <cell r="M4240"/>
          <cell r="N4240"/>
        </row>
        <row r="4241">
          <cell r="M4241"/>
          <cell r="N4241"/>
        </row>
        <row r="4242">
          <cell r="M4242"/>
          <cell r="N4242"/>
        </row>
        <row r="4243">
          <cell r="M4243"/>
          <cell r="N4243"/>
        </row>
        <row r="4244">
          <cell r="M4244"/>
          <cell r="N4244"/>
        </row>
        <row r="4245">
          <cell r="M4245"/>
          <cell r="N4245"/>
        </row>
        <row r="4246">
          <cell r="M4246"/>
          <cell r="N4246"/>
        </row>
        <row r="4247">
          <cell r="M4247"/>
          <cell r="N4247"/>
        </row>
        <row r="4248">
          <cell r="M4248"/>
          <cell r="N4248"/>
        </row>
        <row r="4249">
          <cell r="M4249"/>
          <cell r="N4249"/>
        </row>
        <row r="4250">
          <cell r="M4250"/>
          <cell r="N4250"/>
        </row>
        <row r="4251">
          <cell r="M4251"/>
          <cell r="N4251"/>
        </row>
        <row r="4252">
          <cell r="M4252"/>
          <cell r="N4252"/>
        </row>
        <row r="4253">
          <cell r="M4253"/>
          <cell r="N4253"/>
        </row>
        <row r="4254">
          <cell r="M4254"/>
          <cell r="N4254"/>
        </row>
        <row r="4255">
          <cell r="M4255"/>
          <cell r="N4255"/>
        </row>
        <row r="4256">
          <cell r="M4256"/>
          <cell r="N4256"/>
        </row>
        <row r="4257">
          <cell r="M4257"/>
          <cell r="N4257"/>
        </row>
        <row r="4258">
          <cell r="M4258"/>
          <cell r="N4258"/>
        </row>
        <row r="4259">
          <cell r="M4259"/>
          <cell r="N4259"/>
        </row>
        <row r="4260">
          <cell r="M4260"/>
          <cell r="N4260"/>
        </row>
        <row r="4261">
          <cell r="M4261"/>
          <cell r="N4261"/>
        </row>
        <row r="4262">
          <cell r="M4262"/>
          <cell r="N4262"/>
        </row>
        <row r="4263">
          <cell r="M4263"/>
          <cell r="N4263"/>
        </row>
        <row r="4264">
          <cell r="M4264"/>
          <cell r="N4264"/>
        </row>
        <row r="4265">
          <cell r="M4265"/>
          <cell r="N4265"/>
        </row>
        <row r="4266">
          <cell r="M4266"/>
          <cell r="N4266"/>
        </row>
        <row r="4267">
          <cell r="M4267"/>
          <cell r="N4267"/>
        </row>
        <row r="4268">
          <cell r="M4268"/>
          <cell r="N4268"/>
        </row>
        <row r="4269">
          <cell r="M4269"/>
          <cell r="N4269"/>
        </row>
        <row r="4270">
          <cell r="M4270"/>
          <cell r="N4270"/>
        </row>
        <row r="4271">
          <cell r="M4271"/>
          <cell r="N4271"/>
        </row>
        <row r="4272">
          <cell r="M4272"/>
          <cell r="N4272"/>
        </row>
        <row r="4273">
          <cell r="M4273"/>
          <cell r="N4273"/>
        </row>
        <row r="4274">
          <cell r="M4274"/>
          <cell r="N4274"/>
        </row>
        <row r="4275">
          <cell r="M4275"/>
          <cell r="N4275"/>
        </row>
        <row r="4276">
          <cell r="M4276"/>
          <cell r="N4276"/>
        </row>
        <row r="4277">
          <cell r="M4277"/>
          <cell r="N4277"/>
        </row>
        <row r="4278">
          <cell r="M4278"/>
          <cell r="N4278"/>
        </row>
        <row r="4279">
          <cell r="M4279"/>
          <cell r="N4279"/>
        </row>
        <row r="4280">
          <cell r="M4280"/>
          <cell r="N4280"/>
        </row>
        <row r="4281">
          <cell r="M4281"/>
          <cell r="N4281"/>
        </row>
        <row r="4282">
          <cell r="M4282"/>
          <cell r="N4282"/>
        </row>
        <row r="4283">
          <cell r="M4283"/>
          <cell r="N4283"/>
        </row>
        <row r="4284">
          <cell r="M4284"/>
          <cell r="N4284"/>
        </row>
        <row r="4285">
          <cell r="M4285"/>
          <cell r="N4285"/>
        </row>
        <row r="4286">
          <cell r="M4286"/>
          <cell r="N4286"/>
        </row>
        <row r="4287">
          <cell r="M4287"/>
          <cell r="N4287"/>
        </row>
        <row r="4288">
          <cell r="M4288"/>
          <cell r="N4288"/>
        </row>
        <row r="4289">
          <cell r="M4289"/>
          <cell r="N4289"/>
        </row>
        <row r="4290">
          <cell r="M4290"/>
          <cell r="N4290"/>
        </row>
        <row r="4291">
          <cell r="M4291"/>
          <cell r="N4291"/>
        </row>
        <row r="4292">
          <cell r="M4292"/>
          <cell r="N4292"/>
        </row>
        <row r="4293">
          <cell r="M4293"/>
          <cell r="N4293"/>
        </row>
        <row r="4294">
          <cell r="M4294"/>
          <cell r="N4294"/>
        </row>
        <row r="4295">
          <cell r="M4295"/>
          <cell r="N4295"/>
        </row>
        <row r="4296">
          <cell r="M4296"/>
          <cell r="N4296"/>
        </row>
        <row r="4297">
          <cell r="M4297"/>
          <cell r="N4297"/>
        </row>
        <row r="4298">
          <cell r="M4298"/>
          <cell r="N4298"/>
        </row>
        <row r="4299">
          <cell r="M4299"/>
          <cell r="N4299"/>
        </row>
        <row r="4300">
          <cell r="M4300"/>
          <cell r="N4300"/>
        </row>
        <row r="4301">
          <cell r="M4301"/>
          <cell r="N4301"/>
        </row>
        <row r="4302">
          <cell r="M4302"/>
          <cell r="N4302"/>
        </row>
        <row r="4303">
          <cell r="M4303"/>
          <cell r="N4303"/>
        </row>
        <row r="4304">
          <cell r="M4304"/>
          <cell r="N4304"/>
        </row>
        <row r="4305">
          <cell r="M4305"/>
          <cell r="N4305"/>
        </row>
        <row r="4306">
          <cell r="M4306"/>
          <cell r="N4306"/>
        </row>
        <row r="4307">
          <cell r="M4307"/>
          <cell r="N4307"/>
        </row>
        <row r="4308">
          <cell r="M4308"/>
          <cell r="N4308"/>
        </row>
        <row r="4309">
          <cell r="M4309"/>
          <cell r="N4309"/>
        </row>
        <row r="4310">
          <cell r="M4310"/>
          <cell r="N4310"/>
        </row>
        <row r="4311">
          <cell r="M4311"/>
          <cell r="N4311"/>
        </row>
        <row r="4312">
          <cell r="M4312"/>
          <cell r="N4312"/>
        </row>
        <row r="4313">
          <cell r="M4313"/>
          <cell r="N4313"/>
        </row>
        <row r="4314">
          <cell r="M4314"/>
          <cell r="N4314"/>
        </row>
        <row r="4315">
          <cell r="M4315"/>
          <cell r="N4315"/>
        </row>
        <row r="4316">
          <cell r="M4316"/>
          <cell r="N4316"/>
        </row>
        <row r="4317">
          <cell r="M4317"/>
          <cell r="N4317"/>
        </row>
        <row r="4318">
          <cell r="M4318"/>
          <cell r="N4318"/>
        </row>
        <row r="4319">
          <cell r="M4319"/>
          <cell r="N4319"/>
        </row>
        <row r="4320">
          <cell r="M4320"/>
          <cell r="N4320"/>
        </row>
        <row r="4321">
          <cell r="M4321"/>
          <cell r="N4321"/>
        </row>
        <row r="4322">
          <cell r="M4322"/>
          <cell r="N4322"/>
        </row>
        <row r="4323">
          <cell r="M4323"/>
          <cell r="N4323"/>
        </row>
        <row r="4324">
          <cell r="M4324"/>
          <cell r="N4324"/>
        </row>
        <row r="4325">
          <cell r="M4325"/>
          <cell r="N4325"/>
        </row>
        <row r="4326">
          <cell r="M4326"/>
          <cell r="N4326"/>
        </row>
        <row r="4327">
          <cell r="M4327"/>
          <cell r="N4327"/>
        </row>
        <row r="4328">
          <cell r="M4328"/>
          <cell r="N4328"/>
        </row>
        <row r="4329">
          <cell r="M4329"/>
          <cell r="N4329"/>
        </row>
        <row r="4330">
          <cell r="M4330"/>
          <cell r="N4330"/>
        </row>
        <row r="4331">
          <cell r="M4331"/>
          <cell r="N4331"/>
        </row>
        <row r="4332">
          <cell r="M4332"/>
          <cell r="N4332"/>
        </row>
        <row r="4333">
          <cell r="M4333"/>
          <cell r="N4333"/>
        </row>
        <row r="4334">
          <cell r="M4334"/>
          <cell r="N4334"/>
        </row>
        <row r="4335">
          <cell r="M4335"/>
          <cell r="N4335"/>
        </row>
        <row r="4336">
          <cell r="M4336"/>
          <cell r="N4336"/>
        </row>
        <row r="4337">
          <cell r="M4337"/>
          <cell r="N4337"/>
        </row>
        <row r="4338">
          <cell r="M4338"/>
          <cell r="N4338"/>
        </row>
        <row r="4339">
          <cell r="M4339"/>
          <cell r="N4339"/>
        </row>
        <row r="4340">
          <cell r="M4340"/>
          <cell r="N4340"/>
        </row>
        <row r="4341">
          <cell r="M4341"/>
          <cell r="N4341"/>
        </row>
        <row r="4342">
          <cell r="M4342"/>
          <cell r="N4342"/>
        </row>
        <row r="4343">
          <cell r="M4343"/>
          <cell r="N4343"/>
        </row>
        <row r="4344">
          <cell r="M4344"/>
          <cell r="N4344"/>
        </row>
        <row r="4345">
          <cell r="M4345"/>
          <cell r="N4345"/>
        </row>
        <row r="4346">
          <cell r="M4346"/>
          <cell r="N4346"/>
        </row>
        <row r="4347">
          <cell r="M4347"/>
          <cell r="N4347"/>
        </row>
        <row r="4348">
          <cell r="M4348"/>
          <cell r="N4348"/>
        </row>
        <row r="4349">
          <cell r="M4349"/>
          <cell r="N4349"/>
        </row>
        <row r="4350">
          <cell r="M4350"/>
          <cell r="N4350"/>
        </row>
        <row r="4351">
          <cell r="M4351"/>
          <cell r="N4351"/>
        </row>
        <row r="4352">
          <cell r="M4352"/>
          <cell r="N4352"/>
        </row>
        <row r="4353">
          <cell r="M4353"/>
          <cell r="N4353"/>
        </row>
        <row r="4354">
          <cell r="M4354"/>
          <cell r="N4354"/>
        </row>
        <row r="4355">
          <cell r="M4355"/>
          <cell r="N4355"/>
        </row>
        <row r="4356">
          <cell r="M4356"/>
          <cell r="N4356"/>
        </row>
        <row r="4357">
          <cell r="M4357"/>
          <cell r="N4357"/>
        </row>
        <row r="4358">
          <cell r="M4358"/>
          <cell r="N4358"/>
        </row>
        <row r="4359">
          <cell r="M4359"/>
          <cell r="N4359"/>
        </row>
        <row r="4360">
          <cell r="M4360"/>
          <cell r="N4360"/>
        </row>
        <row r="4361">
          <cell r="M4361"/>
          <cell r="N4361"/>
        </row>
        <row r="4362">
          <cell r="M4362"/>
          <cell r="N4362"/>
        </row>
        <row r="4363">
          <cell r="M4363"/>
          <cell r="N4363"/>
        </row>
        <row r="4364">
          <cell r="M4364"/>
          <cell r="N4364"/>
        </row>
        <row r="4365">
          <cell r="M4365"/>
          <cell r="N4365"/>
        </row>
        <row r="4366">
          <cell r="M4366"/>
          <cell r="N4366"/>
        </row>
        <row r="4367">
          <cell r="M4367"/>
          <cell r="N4367"/>
        </row>
        <row r="4368">
          <cell r="M4368"/>
          <cell r="N4368"/>
        </row>
        <row r="4369">
          <cell r="M4369"/>
          <cell r="N4369"/>
        </row>
        <row r="4370">
          <cell r="M4370"/>
          <cell r="N4370"/>
        </row>
        <row r="4371">
          <cell r="M4371"/>
          <cell r="N4371"/>
        </row>
        <row r="4372">
          <cell r="M4372"/>
          <cell r="N4372"/>
        </row>
        <row r="4373">
          <cell r="M4373"/>
          <cell r="N4373"/>
        </row>
        <row r="4374">
          <cell r="M4374"/>
          <cell r="N4374"/>
        </row>
        <row r="4375">
          <cell r="M4375"/>
          <cell r="N4375"/>
        </row>
        <row r="4376">
          <cell r="M4376"/>
          <cell r="N4376"/>
        </row>
        <row r="4377">
          <cell r="M4377"/>
          <cell r="N4377"/>
        </row>
        <row r="4378">
          <cell r="M4378"/>
          <cell r="N4378"/>
        </row>
        <row r="4379">
          <cell r="M4379"/>
          <cell r="N4379"/>
        </row>
        <row r="4380">
          <cell r="M4380"/>
          <cell r="N4380"/>
        </row>
        <row r="4381">
          <cell r="M4381"/>
          <cell r="N4381"/>
        </row>
        <row r="4382">
          <cell r="M4382"/>
          <cell r="N4382"/>
        </row>
        <row r="4383">
          <cell r="M4383"/>
          <cell r="N4383"/>
        </row>
        <row r="4384">
          <cell r="M4384"/>
          <cell r="N4384"/>
        </row>
        <row r="4385">
          <cell r="M4385"/>
          <cell r="N4385"/>
        </row>
        <row r="4386">
          <cell r="M4386"/>
          <cell r="N4386"/>
        </row>
        <row r="4387">
          <cell r="M4387"/>
          <cell r="N4387"/>
        </row>
        <row r="4388">
          <cell r="M4388"/>
          <cell r="N4388"/>
        </row>
        <row r="4389">
          <cell r="M4389"/>
          <cell r="N4389"/>
        </row>
        <row r="4390">
          <cell r="M4390"/>
          <cell r="N4390"/>
        </row>
        <row r="4391">
          <cell r="M4391"/>
          <cell r="N4391"/>
        </row>
        <row r="4392">
          <cell r="M4392"/>
          <cell r="N4392"/>
        </row>
        <row r="4393">
          <cell r="M4393"/>
          <cell r="N4393"/>
        </row>
        <row r="4394">
          <cell r="M4394"/>
          <cell r="N4394"/>
        </row>
        <row r="4395">
          <cell r="M4395"/>
          <cell r="N4395"/>
        </row>
        <row r="4396">
          <cell r="M4396"/>
          <cell r="N4396"/>
        </row>
        <row r="4397">
          <cell r="M4397"/>
          <cell r="N4397"/>
        </row>
        <row r="4398">
          <cell r="M4398"/>
          <cell r="N4398"/>
        </row>
        <row r="4399">
          <cell r="M4399"/>
          <cell r="N4399"/>
        </row>
        <row r="4400">
          <cell r="M4400"/>
          <cell r="N4400"/>
        </row>
        <row r="4401">
          <cell r="M4401"/>
          <cell r="N4401"/>
        </row>
        <row r="4402">
          <cell r="M4402"/>
          <cell r="N4402"/>
        </row>
        <row r="4403">
          <cell r="M4403"/>
          <cell r="N4403"/>
        </row>
        <row r="4404">
          <cell r="M4404"/>
          <cell r="N4404"/>
        </row>
        <row r="4405">
          <cell r="M4405"/>
          <cell r="N4405"/>
        </row>
        <row r="4406">
          <cell r="M4406"/>
          <cell r="N4406"/>
        </row>
        <row r="4407">
          <cell r="M4407"/>
          <cell r="N4407"/>
        </row>
        <row r="4408">
          <cell r="M4408"/>
          <cell r="N4408"/>
        </row>
        <row r="4409">
          <cell r="M4409"/>
          <cell r="N4409"/>
        </row>
        <row r="4410">
          <cell r="M4410"/>
          <cell r="N4410"/>
        </row>
        <row r="4411">
          <cell r="M4411"/>
          <cell r="N4411"/>
        </row>
        <row r="4412">
          <cell r="M4412"/>
          <cell r="N4412"/>
        </row>
        <row r="4413">
          <cell r="M4413"/>
          <cell r="N4413"/>
        </row>
        <row r="4414">
          <cell r="M4414"/>
          <cell r="N4414"/>
        </row>
        <row r="4415">
          <cell r="M4415"/>
          <cell r="N4415"/>
        </row>
        <row r="4416">
          <cell r="M4416"/>
          <cell r="N4416"/>
        </row>
        <row r="4417">
          <cell r="M4417"/>
          <cell r="N4417"/>
        </row>
        <row r="4418">
          <cell r="M4418"/>
          <cell r="N4418"/>
        </row>
        <row r="4419">
          <cell r="M4419"/>
          <cell r="N4419"/>
        </row>
        <row r="4420">
          <cell r="M4420"/>
          <cell r="N4420"/>
        </row>
        <row r="4421">
          <cell r="M4421"/>
          <cell r="N4421"/>
        </row>
        <row r="4422">
          <cell r="M4422"/>
          <cell r="N4422"/>
        </row>
        <row r="4423">
          <cell r="M4423"/>
          <cell r="N4423"/>
        </row>
        <row r="4424">
          <cell r="M4424"/>
          <cell r="N4424"/>
        </row>
        <row r="4425">
          <cell r="M4425"/>
          <cell r="N4425"/>
        </row>
        <row r="4426">
          <cell r="M4426"/>
          <cell r="N4426"/>
        </row>
        <row r="4427">
          <cell r="M4427"/>
          <cell r="N4427"/>
        </row>
        <row r="4428">
          <cell r="M4428"/>
          <cell r="N4428"/>
        </row>
        <row r="4429">
          <cell r="M4429"/>
          <cell r="N4429"/>
        </row>
        <row r="4430">
          <cell r="M4430"/>
          <cell r="N4430"/>
        </row>
        <row r="4431">
          <cell r="M4431"/>
          <cell r="N4431"/>
        </row>
        <row r="4432">
          <cell r="M4432"/>
          <cell r="N4432"/>
        </row>
        <row r="4433">
          <cell r="M4433"/>
          <cell r="N4433"/>
        </row>
        <row r="4434">
          <cell r="M4434"/>
          <cell r="N4434"/>
        </row>
        <row r="4435">
          <cell r="M4435"/>
          <cell r="N4435"/>
        </row>
        <row r="4436">
          <cell r="M4436"/>
          <cell r="N4436"/>
        </row>
        <row r="4437">
          <cell r="M4437"/>
          <cell r="N4437"/>
        </row>
        <row r="4438">
          <cell r="M4438"/>
          <cell r="N4438"/>
        </row>
        <row r="4439">
          <cell r="M4439"/>
          <cell r="N4439"/>
        </row>
        <row r="4440">
          <cell r="M4440"/>
          <cell r="N4440"/>
        </row>
        <row r="4441">
          <cell r="M4441"/>
          <cell r="N4441"/>
        </row>
        <row r="4442">
          <cell r="M4442"/>
          <cell r="N4442"/>
        </row>
        <row r="4443">
          <cell r="M4443"/>
          <cell r="N4443"/>
        </row>
        <row r="4444">
          <cell r="M4444"/>
          <cell r="N4444"/>
        </row>
        <row r="4445">
          <cell r="M4445"/>
          <cell r="N4445"/>
        </row>
        <row r="4446">
          <cell r="M4446"/>
          <cell r="N4446"/>
        </row>
        <row r="4447">
          <cell r="M4447"/>
          <cell r="N4447"/>
        </row>
        <row r="4448">
          <cell r="M4448"/>
          <cell r="N4448"/>
        </row>
        <row r="4449">
          <cell r="M4449"/>
          <cell r="N4449"/>
        </row>
        <row r="4450">
          <cell r="M4450"/>
          <cell r="N4450"/>
        </row>
        <row r="4451">
          <cell r="M4451"/>
          <cell r="N4451"/>
        </row>
        <row r="4452">
          <cell r="M4452"/>
          <cell r="N4452"/>
        </row>
        <row r="4453">
          <cell r="M4453"/>
          <cell r="N4453"/>
        </row>
        <row r="4454">
          <cell r="M4454"/>
          <cell r="N4454"/>
        </row>
        <row r="4455">
          <cell r="M4455"/>
          <cell r="N4455"/>
        </row>
        <row r="4456">
          <cell r="M4456"/>
          <cell r="N4456"/>
        </row>
        <row r="4457">
          <cell r="M4457"/>
          <cell r="N4457"/>
        </row>
        <row r="4458">
          <cell r="M4458"/>
          <cell r="N4458"/>
        </row>
        <row r="4459">
          <cell r="M4459"/>
          <cell r="N4459"/>
        </row>
        <row r="4460">
          <cell r="M4460"/>
          <cell r="N4460"/>
        </row>
        <row r="4461">
          <cell r="M4461"/>
          <cell r="N4461"/>
        </row>
        <row r="4462">
          <cell r="M4462"/>
          <cell r="N4462"/>
        </row>
        <row r="4463">
          <cell r="M4463"/>
          <cell r="N4463"/>
        </row>
        <row r="4464">
          <cell r="M4464"/>
          <cell r="N4464"/>
        </row>
        <row r="4465">
          <cell r="M4465"/>
          <cell r="N4465"/>
        </row>
        <row r="4466">
          <cell r="M4466"/>
          <cell r="N4466"/>
        </row>
        <row r="4467">
          <cell r="M4467"/>
          <cell r="N4467"/>
        </row>
        <row r="4468">
          <cell r="M4468"/>
          <cell r="N4468"/>
        </row>
        <row r="4469">
          <cell r="M4469"/>
          <cell r="N4469"/>
        </row>
        <row r="4470">
          <cell r="M4470"/>
          <cell r="N4470"/>
        </row>
        <row r="4471">
          <cell r="M4471"/>
          <cell r="N4471"/>
        </row>
        <row r="4472">
          <cell r="M4472"/>
          <cell r="N4472"/>
        </row>
        <row r="4473">
          <cell r="M4473"/>
          <cell r="N4473"/>
        </row>
        <row r="4474">
          <cell r="M4474"/>
          <cell r="N4474"/>
        </row>
        <row r="4475">
          <cell r="M4475"/>
          <cell r="N4475"/>
        </row>
        <row r="4476">
          <cell r="M4476"/>
          <cell r="N4476"/>
        </row>
        <row r="4477">
          <cell r="M4477"/>
          <cell r="N4477"/>
        </row>
        <row r="4478">
          <cell r="M4478"/>
          <cell r="N4478"/>
        </row>
        <row r="4479">
          <cell r="M4479"/>
          <cell r="N4479"/>
        </row>
        <row r="4480">
          <cell r="M4480"/>
          <cell r="N4480"/>
        </row>
        <row r="4481">
          <cell r="M4481"/>
          <cell r="N4481"/>
        </row>
        <row r="4482">
          <cell r="M4482"/>
          <cell r="N4482"/>
        </row>
        <row r="4483">
          <cell r="M4483"/>
          <cell r="N4483"/>
        </row>
        <row r="4484">
          <cell r="M4484"/>
          <cell r="N4484"/>
        </row>
        <row r="4485">
          <cell r="M4485"/>
          <cell r="N4485"/>
        </row>
        <row r="4486">
          <cell r="M4486"/>
          <cell r="N4486"/>
        </row>
        <row r="4487">
          <cell r="M4487"/>
          <cell r="N4487"/>
        </row>
        <row r="4488">
          <cell r="M4488"/>
          <cell r="N4488"/>
        </row>
        <row r="4489">
          <cell r="M4489"/>
          <cell r="N4489"/>
        </row>
        <row r="4490">
          <cell r="M4490"/>
          <cell r="N4490"/>
        </row>
        <row r="4491">
          <cell r="M4491"/>
          <cell r="N4491"/>
        </row>
        <row r="4492">
          <cell r="M4492"/>
          <cell r="N4492"/>
        </row>
        <row r="4493">
          <cell r="M4493"/>
          <cell r="N4493"/>
        </row>
        <row r="4494">
          <cell r="M4494"/>
          <cell r="N4494"/>
        </row>
        <row r="4495">
          <cell r="M4495"/>
          <cell r="N4495"/>
        </row>
        <row r="4496">
          <cell r="M4496"/>
          <cell r="N4496"/>
        </row>
        <row r="4497">
          <cell r="M4497"/>
          <cell r="N4497"/>
        </row>
        <row r="4498">
          <cell r="M4498"/>
          <cell r="N4498"/>
        </row>
        <row r="4499">
          <cell r="M4499"/>
          <cell r="N4499"/>
        </row>
        <row r="4500">
          <cell r="M4500"/>
          <cell r="N4500"/>
        </row>
        <row r="4501">
          <cell r="M4501"/>
          <cell r="N4501"/>
        </row>
        <row r="4502">
          <cell r="M4502"/>
          <cell r="N4502"/>
        </row>
        <row r="4503">
          <cell r="M4503"/>
          <cell r="N4503"/>
        </row>
        <row r="4504">
          <cell r="M4504"/>
          <cell r="N4504"/>
        </row>
        <row r="4505">
          <cell r="M4505"/>
          <cell r="N4505"/>
        </row>
        <row r="4506">
          <cell r="M4506"/>
          <cell r="N4506"/>
        </row>
        <row r="4507">
          <cell r="M4507"/>
          <cell r="N4507"/>
        </row>
        <row r="4508">
          <cell r="M4508"/>
          <cell r="N4508"/>
        </row>
        <row r="4509">
          <cell r="M4509"/>
          <cell r="N4509"/>
        </row>
        <row r="4510">
          <cell r="M4510"/>
          <cell r="N4510"/>
        </row>
        <row r="4511">
          <cell r="M4511"/>
          <cell r="N4511"/>
        </row>
        <row r="4512">
          <cell r="M4512"/>
          <cell r="N4512"/>
        </row>
        <row r="4513">
          <cell r="M4513"/>
          <cell r="N4513"/>
        </row>
        <row r="4514">
          <cell r="M4514"/>
          <cell r="N4514"/>
        </row>
        <row r="4515">
          <cell r="M4515"/>
          <cell r="N4515"/>
        </row>
        <row r="4516">
          <cell r="M4516"/>
          <cell r="N4516"/>
        </row>
        <row r="4517">
          <cell r="M4517"/>
          <cell r="N4517"/>
        </row>
        <row r="4518">
          <cell r="M4518"/>
          <cell r="N4518"/>
        </row>
        <row r="4519">
          <cell r="M4519"/>
          <cell r="N4519"/>
        </row>
        <row r="4520">
          <cell r="M4520"/>
          <cell r="N4520"/>
        </row>
        <row r="4521">
          <cell r="M4521"/>
          <cell r="N4521"/>
        </row>
        <row r="4522">
          <cell r="M4522"/>
          <cell r="N4522"/>
        </row>
        <row r="4523">
          <cell r="M4523"/>
          <cell r="N4523"/>
        </row>
        <row r="4524">
          <cell r="M4524"/>
          <cell r="N4524"/>
        </row>
        <row r="4525">
          <cell r="M4525"/>
          <cell r="N4525"/>
        </row>
        <row r="4526">
          <cell r="M4526"/>
          <cell r="N4526"/>
        </row>
        <row r="4527">
          <cell r="M4527"/>
          <cell r="N4527"/>
        </row>
        <row r="4528">
          <cell r="M4528"/>
          <cell r="N4528"/>
        </row>
        <row r="4529">
          <cell r="M4529"/>
          <cell r="N4529"/>
        </row>
        <row r="4530">
          <cell r="M4530"/>
          <cell r="N4530"/>
        </row>
        <row r="4531">
          <cell r="M4531"/>
          <cell r="N4531"/>
        </row>
        <row r="4532">
          <cell r="M4532"/>
          <cell r="N4532"/>
        </row>
        <row r="4533">
          <cell r="M4533"/>
          <cell r="N4533"/>
        </row>
        <row r="4534">
          <cell r="M4534"/>
          <cell r="N4534"/>
        </row>
        <row r="4535">
          <cell r="M4535"/>
          <cell r="N4535"/>
        </row>
        <row r="4536">
          <cell r="M4536"/>
          <cell r="N4536"/>
        </row>
        <row r="4537">
          <cell r="M4537"/>
          <cell r="N4537"/>
        </row>
        <row r="4538">
          <cell r="M4538"/>
          <cell r="N4538"/>
        </row>
        <row r="4539">
          <cell r="M4539"/>
          <cell r="N4539"/>
        </row>
        <row r="4540">
          <cell r="M4540"/>
          <cell r="N4540"/>
        </row>
        <row r="4541">
          <cell r="M4541"/>
          <cell r="N4541"/>
        </row>
        <row r="4542">
          <cell r="M4542"/>
          <cell r="N4542"/>
        </row>
        <row r="4543">
          <cell r="M4543"/>
          <cell r="N4543"/>
        </row>
        <row r="4544">
          <cell r="M4544"/>
          <cell r="N4544"/>
        </row>
        <row r="4545">
          <cell r="M4545"/>
          <cell r="N4545"/>
        </row>
        <row r="4546">
          <cell r="M4546"/>
          <cell r="N4546"/>
        </row>
        <row r="4547">
          <cell r="M4547"/>
          <cell r="N4547"/>
        </row>
        <row r="4548">
          <cell r="M4548"/>
          <cell r="N4548"/>
        </row>
        <row r="4549">
          <cell r="M4549"/>
          <cell r="N4549"/>
        </row>
        <row r="4550">
          <cell r="M4550"/>
          <cell r="N4550"/>
        </row>
        <row r="4551">
          <cell r="M4551"/>
          <cell r="N4551"/>
        </row>
        <row r="4552">
          <cell r="M4552"/>
          <cell r="N4552"/>
        </row>
        <row r="4553">
          <cell r="M4553"/>
          <cell r="N4553"/>
        </row>
        <row r="4554">
          <cell r="M4554"/>
          <cell r="N4554"/>
        </row>
        <row r="4555">
          <cell r="M4555"/>
          <cell r="N4555"/>
        </row>
        <row r="4556">
          <cell r="M4556"/>
          <cell r="N4556"/>
        </row>
        <row r="4557">
          <cell r="M4557"/>
          <cell r="N4557"/>
        </row>
        <row r="4558">
          <cell r="M4558"/>
          <cell r="N4558"/>
        </row>
        <row r="4559">
          <cell r="M4559"/>
          <cell r="N4559"/>
        </row>
        <row r="4560">
          <cell r="M4560"/>
          <cell r="N4560"/>
        </row>
        <row r="4561">
          <cell r="M4561"/>
          <cell r="N4561"/>
        </row>
        <row r="4562">
          <cell r="M4562"/>
          <cell r="N4562"/>
        </row>
        <row r="4563">
          <cell r="M4563"/>
          <cell r="N4563"/>
        </row>
        <row r="4564">
          <cell r="M4564"/>
          <cell r="N4564"/>
        </row>
        <row r="4565">
          <cell r="M4565"/>
          <cell r="N4565"/>
        </row>
        <row r="4566">
          <cell r="M4566"/>
          <cell r="N4566"/>
        </row>
        <row r="4567">
          <cell r="M4567"/>
          <cell r="N4567"/>
        </row>
        <row r="4568">
          <cell r="M4568"/>
          <cell r="N4568"/>
        </row>
        <row r="4569">
          <cell r="M4569"/>
          <cell r="N4569"/>
        </row>
        <row r="4570">
          <cell r="M4570"/>
          <cell r="N4570"/>
        </row>
        <row r="4571">
          <cell r="M4571"/>
          <cell r="N4571"/>
        </row>
        <row r="4572">
          <cell r="M4572"/>
          <cell r="N4572"/>
        </row>
        <row r="4573">
          <cell r="M4573"/>
          <cell r="N4573"/>
        </row>
        <row r="4574">
          <cell r="M4574"/>
          <cell r="N4574"/>
        </row>
        <row r="4575">
          <cell r="M4575"/>
          <cell r="N4575"/>
        </row>
        <row r="4576">
          <cell r="M4576"/>
          <cell r="N4576"/>
        </row>
        <row r="4577">
          <cell r="M4577"/>
          <cell r="N4577"/>
        </row>
        <row r="4578">
          <cell r="M4578"/>
          <cell r="N4578"/>
        </row>
        <row r="4579">
          <cell r="M4579"/>
          <cell r="N4579"/>
        </row>
        <row r="4580">
          <cell r="M4580"/>
          <cell r="N4580"/>
        </row>
        <row r="4581">
          <cell r="M4581"/>
          <cell r="N4581"/>
        </row>
        <row r="4582">
          <cell r="M4582"/>
          <cell r="N4582"/>
        </row>
        <row r="4583">
          <cell r="M4583"/>
          <cell r="N4583"/>
        </row>
        <row r="4584">
          <cell r="M4584"/>
          <cell r="N4584"/>
        </row>
        <row r="4585">
          <cell r="M4585"/>
          <cell r="N4585"/>
        </row>
        <row r="4586">
          <cell r="M4586"/>
          <cell r="N4586"/>
        </row>
        <row r="4587">
          <cell r="M4587"/>
          <cell r="N4587"/>
        </row>
        <row r="4588">
          <cell r="M4588"/>
          <cell r="N4588"/>
        </row>
        <row r="4589">
          <cell r="M4589"/>
          <cell r="N4589"/>
        </row>
        <row r="4590">
          <cell r="M4590"/>
          <cell r="N4590"/>
        </row>
        <row r="4591">
          <cell r="M4591"/>
          <cell r="N4591"/>
        </row>
        <row r="4592">
          <cell r="M4592"/>
          <cell r="N4592"/>
        </row>
        <row r="4593">
          <cell r="M4593"/>
          <cell r="N4593"/>
        </row>
        <row r="4594">
          <cell r="M4594"/>
          <cell r="N4594"/>
        </row>
        <row r="4595">
          <cell r="M4595"/>
          <cell r="N4595"/>
        </row>
        <row r="4596">
          <cell r="M4596"/>
          <cell r="N4596"/>
        </row>
        <row r="4597">
          <cell r="M4597"/>
          <cell r="N4597"/>
        </row>
        <row r="4598">
          <cell r="M4598"/>
          <cell r="N4598"/>
        </row>
        <row r="4599">
          <cell r="M4599"/>
          <cell r="N4599"/>
        </row>
        <row r="4600">
          <cell r="M4600"/>
          <cell r="N4600"/>
        </row>
        <row r="4601">
          <cell r="M4601"/>
          <cell r="N4601"/>
        </row>
        <row r="4602">
          <cell r="M4602"/>
          <cell r="N4602"/>
        </row>
        <row r="4603">
          <cell r="M4603"/>
          <cell r="N4603"/>
        </row>
        <row r="4604">
          <cell r="M4604"/>
          <cell r="N4604"/>
        </row>
        <row r="4605">
          <cell r="M4605"/>
          <cell r="N4605"/>
        </row>
        <row r="4606">
          <cell r="M4606"/>
          <cell r="N4606"/>
        </row>
        <row r="4607">
          <cell r="M4607"/>
          <cell r="N4607"/>
        </row>
        <row r="4608">
          <cell r="M4608"/>
          <cell r="N4608"/>
        </row>
        <row r="4609">
          <cell r="M4609"/>
          <cell r="N4609"/>
        </row>
        <row r="4610">
          <cell r="M4610"/>
          <cell r="N4610"/>
        </row>
        <row r="4611">
          <cell r="M4611"/>
          <cell r="N4611"/>
        </row>
        <row r="4612">
          <cell r="M4612"/>
          <cell r="N4612"/>
        </row>
        <row r="4613">
          <cell r="M4613"/>
          <cell r="N4613"/>
        </row>
        <row r="4614">
          <cell r="M4614"/>
          <cell r="N4614"/>
        </row>
        <row r="4615">
          <cell r="M4615"/>
          <cell r="N4615"/>
        </row>
        <row r="4616">
          <cell r="M4616"/>
          <cell r="N4616"/>
        </row>
        <row r="4617">
          <cell r="M4617"/>
          <cell r="N4617"/>
        </row>
        <row r="4618">
          <cell r="M4618"/>
          <cell r="N4618"/>
        </row>
        <row r="4619">
          <cell r="M4619"/>
          <cell r="N4619"/>
        </row>
        <row r="4620">
          <cell r="M4620"/>
          <cell r="N4620"/>
        </row>
        <row r="4621">
          <cell r="M4621"/>
          <cell r="N4621"/>
        </row>
        <row r="4622">
          <cell r="M4622"/>
          <cell r="N4622"/>
        </row>
        <row r="4623">
          <cell r="M4623"/>
          <cell r="N4623"/>
        </row>
        <row r="4624">
          <cell r="M4624"/>
          <cell r="N4624"/>
        </row>
        <row r="4625">
          <cell r="M4625"/>
          <cell r="N4625"/>
        </row>
        <row r="4626">
          <cell r="M4626"/>
          <cell r="N4626"/>
        </row>
        <row r="4627">
          <cell r="M4627"/>
          <cell r="N4627"/>
        </row>
        <row r="4628">
          <cell r="M4628"/>
          <cell r="N4628"/>
        </row>
        <row r="4629">
          <cell r="M4629"/>
          <cell r="N4629"/>
        </row>
        <row r="4630">
          <cell r="M4630"/>
          <cell r="N4630"/>
        </row>
        <row r="4631">
          <cell r="M4631"/>
          <cell r="N4631"/>
        </row>
        <row r="4632">
          <cell r="M4632"/>
          <cell r="N4632"/>
        </row>
        <row r="4633">
          <cell r="M4633"/>
          <cell r="N4633"/>
        </row>
        <row r="4634">
          <cell r="M4634"/>
          <cell r="N4634"/>
        </row>
        <row r="4635">
          <cell r="M4635"/>
          <cell r="N4635"/>
        </row>
        <row r="4636">
          <cell r="M4636"/>
          <cell r="N4636"/>
        </row>
        <row r="4637">
          <cell r="M4637"/>
          <cell r="N4637"/>
        </row>
        <row r="4638">
          <cell r="M4638"/>
          <cell r="N4638"/>
        </row>
        <row r="4639">
          <cell r="M4639"/>
          <cell r="N4639"/>
        </row>
        <row r="4640">
          <cell r="M4640"/>
          <cell r="N4640"/>
        </row>
        <row r="4641">
          <cell r="M4641"/>
          <cell r="N4641"/>
        </row>
        <row r="4642">
          <cell r="M4642"/>
          <cell r="N4642"/>
        </row>
        <row r="4643">
          <cell r="M4643"/>
          <cell r="N4643"/>
        </row>
        <row r="4644">
          <cell r="M4644"/>
          <cell r="N4644"/>
        </row>
        <row r="4645">
          <cell r="M4645"/>
          <cell r="N4645"/>
        </row>
        <row r="4646">
          <cell r="M4646"/>
          <cell r="N4646"/>
        </row>
        <row r="4647">
          <cell r="M4647"/>
          <cell r="N4647"/>
        </row>
        <row r="4648">
          <cell r="M4648"/>
          <cell r="N4648"/>
        </row>
        <row r="4649">
          <cell r="M4649"/>
          <cell r="N4649"/>
        </row>
        <row r="4650">
          <cell r="M4650"/>
          <cell r="N4650"/>
        </row>
        <row r="4651">
          <cell r="M4651"/>
          <cell r="N4651"/>
        </row>
        <row r="4652">
          <cell r="M4652"/>
          <cell r="N4652"/>
        </row>
        <row r="4653">
          <cell r="M4653"/>
          <cell r="N4653"/>
        </row>
        <row r="4654">
          <cell r="M4654"/>
          <cell r="N4654"/>
        </row>
        <row r="4655">
          <cell r="M4655"/>
          <cell r="N4655"/>
        </row>
        <row r="4656">
          <cell r="M4656"/>
          <cell r="N4656"/>
        </row>
        <row r="4657">
          <cell r="M4657"/>
          <cell r="N4657"/>
        </row>
        <row r="4658">
          <cell r="M4658"/>
          <cell r="N4658"/>
        </row>
        <row r="4659">
          <cell r="M4659"/>
          <cell r="N4659"/>
        </row>
        <row r="4660">
          <cell r="M4660"/>
          <cell r="N4660"/>
        </row>
        <row r="4661">
          <cell r="M4661"/>
          <cell r="N4661"/>
        </row>
        <row r="4662">
          <cell r="M4662"/>
          <cell r="N4662"/>
        </row>
        <row r="4663">
          <cell r="M4663"/>
          <cell r="N4663"/>
        </row>
        <row r="4664">
          <cell r="M4664"/>
          <cell r="N4664"/>
        </row>
        <row r="4665">
          <cell r="M4665"/>
          <cell r="N4665"/>
        </row>
        <row r="4666">
          <cell r="M4666"/>
          <cell r="N4666"/>
        </row>
        <row r="4667">
          <cell r="M4667"/>
          <cell r="N4667"/>
        </row>
        <row r="4668">
          <cell r="M4668"/>
          <cell r="N4668"/>
        </row>
        <row r="4669">
          <cell r="M4669"/>
          <cell r="N4669"/>
        </row>
        <row r="4670">
          <cell r="M4670"/>
          <cell r="N4670"/>
        </row>
        <row r="4671">
          <cell r="M4671"/>
          <cell r="N4671"/>
        </row>
        <row r="4672">
          <cell r="M4672"/>
          <cell r="N4672"/>
        </row>
        <row r="4673">
          <cell r="M4673"/>
          <cell r="N4673"/>
        </row>
        <row r="4674">
          <cell r="M4674"/>
          <cell r="N4674"/>
        </row>
        <row r="4675">
          <cell r="M4675"/>
          <cell r="N4675"/>
        </row>
        <row r="4676">
          <cell r="M4676"/>
          <cell r="N4676"/>
        </row>
        <row r="4677">
          <cell r="M4677"/>
          <cell r="N4677"/>
        </row>
        <row r="4678">
          <cell r="M4678"/>
          <cell r="N4678"/>
        </row>
        <row r="4679">
          <cell r="M4679"/>
          <cell r="N4679"/>
        </row>
        <row r="4680">
          <cell r="M4680"/>
          <cell r="N4680"/>
        </row>
        <row r="4681">
          <cell r="M4681"/>
          <cell r="N4681"/>
        </row>
        <row r="4682">
          <cell r="M4682"/>
          <cell r="N4682"/>
        </row>
        <row r="4683">
          <cell r="M4683"/>
          <cell r="N4683"/>
        </row>
        <row r="4684">
          <cell r="M4684"/>
          <cell r="N4684"/>
        </row>
        <row r="4685">
          <cell r="M4685"/>
          <cell r="N4685"/>
        </row>
        <row r="4686">
          <cell r="M4686"/>
          <cell r="N4686"/>
        </row>
        <row r="4687">
          <cell r="M4687"/>
          <cell r="N4687"/>
        </row>
        <row r="4688">
          <cell r="M4688"/>
          <cell r="N4688"/>
        </row>
        <row r="4689">
          <cell r="M4689"/>
          <cell r="N4689"/>
        </row>
        <row r="4690">
          <cell r="M4690"/>
          <cell r="N4690"/>
        </row>
        <row r="4691">
          <cell r="M4691"/>
          <cell r="N4691"/>
        </row>
        <row r="4692">
          <cell r="M4692"/>
          <cell r="N4692"/>
        </row>
        <row r="4693">
          <cell r="M4693"/>
          <cell r="N4693"/>
        </row>
        <row r="4694">
          <cell r="M4694"/>
          <cell r="N4694"/>
        </row>
        <row r="4695">
          <cell r="M4695"/>
          <cell r="N4695"/>
        </row>
        <row r="4696">
          <cell r="M4696"/>
          <cell r="N4696"/>
        </row>
        <row r="4697">
          <cell r="M4697"/>
          <cell r="N4697"/>
        </row>
        <row r="4698">
          <cell r="M4698"/>
          <cell r="N4698"/>
        </row>
        <row r="4699">
          <cell r="M4699"/>
          <cell r="N4699"/>
        </row>
        <row r="4700">
          <cell r="M4700"/>
          <cell r="N4700"/>
        </row>
        <row r="4701">
          <cell r="M4701"/>
          <cell r="N4701"/>
        </row>
        <row r="4702">
          <cell r="M4702"/>
          <cell r="N4702"/>
        </row>
        <row r="4703">
          <cell r="M4703"/>
          <cell r="N4703"/>
        </row>
        <row r="4704">
          <cell r="M4704"/>
          <cell r="N4704"/>
        </row>
        <row r="4705">
          <cell r="M4705"/>
          <cell r="N4705"/>
        </row>
        <row r="4706">
          <cell r="M4706"/>
          <cell r="N4706"/>
        </row>
        <row r="4707">
          <cell r="M4707"/>
          <cell r="N4707"/>
        </row>
        <row r="4708">
          <cell r="M4708"/>
          <cell r="N4708"/>
        </row>
        <row r="4709">
          <cell r="M4709"/>
          <cell r="N4709"/>
        </row>
        <row r="4710">
          <cell r="M4710"/>
          <cell r="N4710"/>
        </row>
        <row r="4711">
          <cell r="M4711"/>
          <cell r="N4711"/>
        </row>
        <row r="4712">
          <cell r="M4712"/>
          <cell r="N4712"/>
        </row>
        <row r="4713">
          <cell r="M4713"/>
          <cell r="N4713"/>
        </row>
        <row r="4714">
          <cell r="M4714"/>
          <cell r="N4714"/>
        </row>
        <row r="4715">
          <cell r="M4715"/>
          <cell r="N4715"/>
        </row>
        <row r="4716">
          <cell r="M4716"/>
          <cell r="N4716"/>
        </row>
        <row r="4717">
          <cell r="M4717"/>
          <cell r="N4717"/>
        </row>
        <row r="4718">
          <cell r="M4718"/>
          <cell r="N4718"/>
        </row>
        <row r="4719">
          <cell r="M4719"/>
          <cell r="N4719"/>
        </row>
        <row r="4720">
          <cell r="M4720"/>
          <cell r="N4720"/>
        </row>
        <row r="4721">
          <cell r="M4721"/>
          <cell r="N4721"/>
        </row>
        <row r="4722">
          <cell r="M4722"/>
          <cell r="N4722"/>
        </row>
        <row r="4723">
          <cell r="M4723"/>
          <cell r="N4723"/>
        </row>
        <row r="4724">
          <cell r="M4724"/>
          <cell r="N4724"/>
        </row>
        <row r="4725">
          <cell r="M4725"/>
          <cell r="N4725"/>
        </row>
        <row r="4726">
          <cell r="M4726"/>
          <cell r="N4726"/>
        </row>
        <row r="4727">
          <cell r="M4727"/>
          <cell r="N4727"/>
        </row>
        <row r="4728">
          <cell r="M4728"/>
          <cell r="N4728"/>
        </row>
        <row r="4729">
          <cell r="M4729"/>
          <cell r="N4729"/>
        </row>
        <row r="4730">
          <cell r="M4730"/>
          <cell r="N4730"/>
        </row>
        <row r="4731">
          <cell r="M4731"/>
          <cell r="N4731"/>
        </row>
        <row r="4732">
          <cell r="M4732"/>
          <cell r="N4732"/>
        </row>
        <row r="4733">
          <cell r="M4733"/>
          <cell r="N4733"/>
        </row>
        <row r="4734">
          <cell r="M4734"/>
          <cell r="N4734"/>
        </row>
        <row r="4735">
          <cell r="M4735"/>
          <cell r="N4735"/>
        </row>
        <row r="4736">
          <cell r="M4736"/>
          <cell r="N4736"/>
        </row>
        <row r="4737">
          <cell r="M4737"/>
          <cell r="N4737"/>
        </row>
        <row r="4738">
          <cell r="M4738"/>
          <cell r="N4738"/>
        </row>
        <row r="4739">
          <cell r="M4739"/>
          <cell r="N4739"/>
        </row>
        <row r="4740">
          <cell r="M4740"/>
          <cell r="N4740"/>
        </row>
        <row r="4741">
          <cell r="M4741"/>
          <cell r="N4741"/>
        </row>
        <row r="4742">
          <cell r="M4742"/>
          <cell r="N4742"/>
        </row>
        <row r="4743">
          <cell r="M4743"/>
          <cell r="N4743"/>
        </row>
        <row r="4744">
          <cell r="M4744"/>
          <cell r="N4744"/>
        </row>
        <row r="4745">
          <cell r="M4745"/>
          <cell r="N4745"/>
        </row>
        <row r="4746">
          <cell r="M4746"/>
          <cell r="N4746"/>
        </row>
        <row r="4747">
          <cell r="M4747"/>
          <cell r="N4747"/>
        </row>
        <row r="4748">
          <cell r="M4748"/>
          <cell r="N4748"/>
        </row>
        <row r="4749">
          <cell r="M4749"/>
          <cell r="N4749"/>
        </row>
        <row r="4750">
          <cell r="M4750"/>
          <cell r="N4750"/>
        </row>
        <row r="4751">
          <cell r="M4751"/>
          <cell r="N4751"/>
        </row>
        <row r="4752">
          <cell r="M4752"/>
          <cell r="N4752"/>
        </row>
        <row r="4753">
          <cell r="M4753"/>
          <cell r="N4753"/>
        </row>
        <row r="4754">
          <cell r="M4754"/>
          <cell r="N4754"/>
        </row>
        <row r="4755">
          <cell r="M4755"/>
          <cell r="N4755"/>
        </row>
        <row r="4756">
          <cell r="M4756"/>
          <cell r="N4756"/>
        </row>
        <row r="4757">
          <cell r="M4757"/>
          <cell r="N4757"/>
        </row>
        <row r="4758">
          <cell r="M4758"/>
          <cell r="N4758"/>
        </row>
        <row r="4759">
          <cell r="M4759"/>
          <cell r="N4759"/>
        </row>
        <row r="4760">
          <cell r="M4760"/>
          <cell r="N4760"/>
        </row>
        <row r="4761">
          <cell r="M4761"/>
          <cell r="N4761"/>
        </row>
        <row r="4762">
          <cell r="M4762"/>
          <cell r="N4762"/>
        </row>
        <row r="4763">
          <cell r="M4763"/>
          <cell r="N4763"/>
        </row>
        <row r="4764">
          <cell r="M4764"/>
          <cell r="N4764"/>
        </row>
        <row r="4765">
          <cell r="M4765"/>
          <cell r="N4765"/>
        </row>
        <row r="4766">
          <cell r="M4766"/>
          <cell r="N4766"/>
        </row>
        <row r="4767">
          <cell r="M4767"/>
          <cell r="N4767"/>
        </row>
        <row r="4768">
          <cell r="M4768"/>
          <cell r="N4768"/>
        </row>
        <row r="4769">
          <cell r="M4769"/>
          <cell r="N4769"/>
        </row>
        <row r="4770">
          <cell r="M4770"/>
          <cell r="N4770"/>
        </row>
        <row r="4771">
          <cell r="M4771"/>
          <cell r="N4771"/>
        </row>
        <row r="4772">
          <cell r="M4772"/>
          <cell r="N4772"/>
        </row>
        <row r="4773">
          <cell r="M4773"/>
          <cell r="N4773"/>
        </row>
        <row r="4774">
          <cell r="M4774"/>
          <cell r="N4774"/>
        </row>
        <row r="4775">
          <cell r="M4775"/>
          <cell r="N4775"/>
        </row>
        <row r="4776">
          <cell r="M4776"/>
          <cell r="N4776"/>
        </row>
        <row r="4777">
          <cell r="M4777"/>
          <cell r="N4777"/>
        </row>
        <row r="4778">
          <cell r="M4778"/>
          <cell r="N4778"/>
        </row>
        <row r="4779">
          <cell r="M4779"/>
          <cell r="N4779"/>
        </row>
        <row r="4780">
          <cell r="M4780"/>
          <cell r="N4780"/>
        </row>
        <row r="4781">
          <cell r="M4781"/>
          <cell r="N4781"/>
        </row>
        <row r="4782">
          <cell r="M4782"/>
          <cell r="N4782"/>
        </row>
        <row r="4783">
          <cell r="M4783"/>
          <cell r="N4783"/>
        </row>
        <row r="4784">
          <cell r="M4784"/>
          <cell r="N4784"/>
        </row>
        <row r="4785">
          <cell r="M4785"/>
          <cell r="N4785"/>
        </row>
        <row r="4786">
          <cell r="M4786"/>
          <cell r="N4786"/>
        </row>
        <row r="4787">
          <cell r="M4787"/>
          <cell r="N4787"/>
        </row>
        <row r="4788">
          <cell r="M4788"/>
          <cell r="N4788"/>
        </row>
        <row r="4789">
          <cell r="M4789"/>
          <cell r="N4789"/>
        </row>
        <row r="4790">
          <cell r="M4790"/>
          <cell r="N4790"/>
        </row>
        <row r="4791">
          <cell r="M4791"/>
          <cell r="N4791"/>
        </row>
        <row r="4792">
          <cell r="M4792"/>
          <cell r="N4792"/>
        </row>
        <row r="4793">
          <cell r="M4793"/>
          <cell r="N4793"/>
        </row>
        <row r="4794">
          <cell r="M4794"/>
          <cell r="N4794"/>
        </row>
        <row r="4795">
          <cell r="M4795"/>
          <cell r="N4795"/>
        </row>
        <row r="4796">
          <cell r="M4796"/>
          <cell r="N4796"/>
        </row>
        <row r="4797">
          <cell r="M4797"/>
          <cell r="N4797"/>
        </row>
        <row r="4798">
          <cell r="M4798"/>
          <cell r="N4798"/>
        </row>
        <row r="4799">
          <cell r="M4799"/>
          <cell r="N4799"/>
        </row>
        <row r="4800">
          <cell r="M4800"/>
          <cell r="N4800"/>
        </row>
        <row r="4801">
          <cell r="M4801"/>
          <cell r="N4801"/>
        </row>
        <row r="4802">
          <cell r="M4802"/>
          <cell r="N4802"/>
        </row>
        <row r="4803">
          <cell r="M4803"/>
          <cell r="N4803"/>
        </row>
        <row r="4804">
          <cell r="M4804"/>
          <cell r="N4804"/>
        </row>
        <row r="4805">
          <cell r="M4805"/>
          <cell r="N4805"/>
        </row>
        <row r="4806">
          <cell r="M4806"/>
          <cell r="N4806"/>
        </row>
        <row r="4807">
          <cell r="M4807"/>
          <cell r="N4807"/>
        </row>
        <row r="4808">
          <cell r="M4808"/>
          <cell r="N4808"/>
        </row>
        <row r="4809">
          <cell r="M4809"/>
          <cell r="N4809"/>
        </row>
        <row r="4810">
          <cell r="M4810"/>
          <cell r="N4810"/>
        </row>
        <row r="4811">
          <cell r="M4811"/>
          <cell r="N4811"/>
        </row>
        <row r="4812">
          <cell r="M4812"/>
          <cell r="N4812"/>
        </row>
        <row r="4813">
          <cell r="M4813"/>
          <cell r="N4813"/>
        </row>
        <row r="4814">
          <cell r="M4814"/>
          <cell r="N4814"/>
        </row>
        <row r="4815">
          <cell r="M4815"/>
          <cell r="N4815"/>
        </row>
        <row r="4816">
          <cell r="M4816"/>
          <cell r="N4816"/>
        </row>
        <row r="4817">
          <cell r="M4817"/>
          <cell r="N4817"/>
        </row>
        <row r="4818">
          <cell r="M4818"/>
          <cell r="N4818"/>
        </row>
        <row r="4819">
          <cell r="M4819"/>
          <cell r="N4819"/>
        </row>
        <row r="4820">
          <cell r="M4820"/>
          <cell r="N4820"/>
        </row>
        <row r="4821">
          <cell r="M4821"/>
          <cell r="N4821"/>
        </row>
        <row r="4822">
          <cell r="M4822"/>
          <cell r="N4822"/>
        </row>
        <row r="4823">
          <cell r="M4823"/>
          <cell r="N4823"/>
        </row>
        <row r="4824">
          <cell r="M4824"/>
          <cell r="N4824"/>
        </row>
        <row r="4825">
          <cell r="M4825"/>
          <cell r="N4825"/>
        </row>
        <row r="4826">
          <cell r="M4826"/>
          <cell r="N4826"/>
        </row>
        <row r="4827">
          <cell r="M4827"/>
          <cell r="N4827"/>
        </row>
        <row r="4828">
          <cell r="M4828"/>
          <cell r="N4828"/>
        </row>
        <row r="4829">
          <cell r="M4829"/>
          <cell r="N4829"/>
        </row>
        <row r="4830">
          <cell r="M4830"/>
          <cell r="N4830"/>
        </row>
        <row r="4831">
          <cell r="M4831"/>
          <cell r="N4831"/>
        </row>
        <row r="4832">
          <cell r="M4832"/>
          <cell r="N4832"/>
        </row>
        <row r="4833">
          <cell r="M4833"/>
          <cell r="N4833"/>
        </row>
        <row r="4834">
          <cell r="M4834"/>
          <cell r="N4834"/>
        </row>
        <row r="4835">
          <cell r="M4835"/>
          <cell r="N4835"/>
        </row>
        <row r="4836">
          <cell r="M4836"/>
          <cell r="N4836"/>
        </row>
        <row r="4837">
          <cell r="M4837"/>
          <cell r="N4837"/>
        </row>
        <row r="4838">
          <cell r="M4838"/>
          <cell r="N4838"/>
        </row>
        <row r="4839">
          <cell r="M4839"/>
          <cell r="N4839"/>
        </row>
        <row r="4840">
          <cell r="M4840"/>
          <cell r="N4840"/>
        </row>
        <row r="4841">
          <cell r="M4841"/>
          <cell r="N4841"/>
        </row>
        <row r="4842">
          <cell r="M4842"/>
          <cell r="N4842"/>
        </row>
        <row r="4843">
          <cell r="M4843"/>
          <cell r="N4843"/>
        </row>
        <row r="4844">
          <cell r="M4844"/>
          <cell r="N4844"/>
        </row>
        <row r="4845">
          <cell r="M4845"/>
          <cell r="N4845"/>
        </row>
        <row r="4846">
          <cell r="M4846"/>
          <cell r="N4846"/>
        </row>
        <row r="4847">
          <cell r="M4847"/>
          <cell r="N4847"/>
        </row>
        <row r="4848">
          <cell r="M4848"/>
          <cell r="N4848"/>
        </row>
        <row r="4849">
          <cell r="M4849"/>
          <cell r="N4849"/>
        </row>
        <row r="4850">
          <cell r="M4850"/>
          <cell r="N4850"/>
        </row>
        <row r="4851">
          <cell r="M4851"/>
          <cell r="N4851"/>
        </row>
        <row r="4852">
          <cell r="M4852"/>
          <cell r="N4852"/>
        </row>
        <row r="4853">
          <cell r="M4853"/>
          <cell r="N4853"/>
        </row>
        <row r="4854">
          <cell r="M4854"/>
          <cell r="N4854"/>
        </row>
        <row r="4855">
          <cell r="M4855"/>
          <cell r="N4855"/>
        </row>
        <row r="4856">
          <cell r="M4856"/>
          <cell r="N4856"/>
        </row>
        <row r="4857">
          <cell r="M4857"/>
          <cell r="N4857"/>
        </row>
        <row r="4858">
          <cell r="M4858"/>
          <cell r="N4858"/>
        </row>
        <row r="4859">
          <cell r="M4859"/>
          <cell r="N4859"/>
        </row>
        <row r="4860">
          <cell r="M4860"/>
          <cell r="N4860"/>
        </row>
        <row r="4861">
          <cell r="M4861"/>
          <cell r="N4861"/>
        </row>
        <row r="4862">
          <cell r="M4862"/>
          <cell r="N4862"/>
        </row>
        <row r="4863">
          <cell r="M4863"/>
          <cell r="N4863"/>
        </row>
        <row r="4864">
          <cell r="M4864"/>
          <cell r="N4864"/>
        </row>
        <row r="4865">
          <cell r="M4865"/>
          <cell r="N4865"/>
        </row>
        <row r="4866">
          <cell r="M4866"/>
          <cell r="N4866"/>
        </row>
        <row r="4867">
          <cell r="M4867"/>
          <cell r="N4867"/>
        </row>
        <row r="4868">
          <cell r="M4868"/>
          <cell r="N4868"/>
        </row>
        <row r="4869">
          <cell r="M4869"/>
          <cell r="N4869"/>
        </row>
        <row r="4870">
          <cell r="M4870"/>
          <cell r="N4870"/>
        </row>
        <row r="4871">
          <cell r="M4871"/>
          <cell r="N4871"/>
        </row>
        <row r="4872">
          <cell r="M4872"/>
          <cell r="N4872"/>
        </row>
        <row r="4873">
          <cell r="M4873"/>
          <cell r="N4873"/>
        </row>
        <row r="4874">
          <cell r="M4874"/>
          <cell r="N4874"/>
        </row>
        <row r="4875">
          <cell r="M4875"/>
          <cell r="N4875"/>
        </row>
        <row r="4876">
          <cell r="M4876"/>
          <cell r="N4876"/>
        </row>
        <row r="4877">
          <cell r="M4877"/>
          <cell r="N4877"/>
        </row>
        <row r="4878">
          <cell r="M4878"/>
          <cell r="N4878"/>
        </row>
        <row r="4879">
          <cell r="M4879"/>
          <cell r="N4879"/>
        </row>
        <row r="4880">
          <cell r="M4880"/>
          <cell r="N4880"/>
        </row>
        <row r="4881">
          <cell r="M4881"/>
          <cell r="N4881"/>
        </row>
        <row r="4882">
          <cell r="M4882"/>
          <cell r="N4882"/>
        </row>
        <row r="4883">
          <cell r="M4883"/>
          <cell r="N4883"/>
        </row>
        <row r="4884">
          <cell r="M4884"/>
          <cell r="N4884"/>
        </row>
        <row r="4885">
          <cell r="M4885"/>
          <cell r="N4885"/>
        </row>
        <row r="4886">
          <cell r="M4886"/>
          <cell r="N4886"/>
        </row>
        <row r="4887">
          <cell r="M4887"/>
          <cell r="N4887"/>
        </row>
        <row r="4888">
          <cell r="M4888"/>
          <cell r="N4888"/>
        </row>
        <row r="4889">
          <cell r="M4889"/>
          <cell r="N4889"/>
        </row>
        <row r="4890">
          <cell r="M4890"/>
          <cell r="N4890"/>
        </row>
        <row r="4891">
          <cell r="M4891"/>
          <cell r="N4891"/>
        </row>
        <row r="4892">
          <cell r="M4892"/>
          <cell r="N4892"/>
        </row>
        <row r="4893">
          <cell r="M4893"/>
          <cell r="N4893"/>
        </row>
        <row r="4894">
          <cell r="M4894"/>
          <cell r="N4894"/>
        </row>
        <row r="4895">
          <cell r="M4895"/>
          <cell r="N4895"/>
        </row>
        <row r="4896">
          <cell r="M4896"/>
          <cell r="N4896"/>
        </row>
        <row r="4897">
          <cell r="M4897"/>
          <cell r="N4897"/>
        </row>
        <row r="4898">
          <cell r="M4898"/>
          <cell r="N4898"/>
        </row>
        <row r="4899">
          <cell r="M4899"/>
          <cell r="N4899"/>
        </row>
        <row r="4900">
          <cell r="M4900"/>
          <cell r="N4900"/>
        </row>
        <row r="4901">
          <cell r="M4901"/>
          <cell r="N4901"/>
        </row>
        <row r="4902">
          <cell r="M4902"/>
          <cell r="N4902"/>
        </row>
        <row r="4903">
          <cell r="M4903"/>
          <cell r="N4903"/>
        </row>
        <row r="4904">
          <cell r="M4904"/>
          <cell r="N4904"/>
        </row>
        <row r="4905">
          <cell r="M4905"/>
          <cell r="N4905"/>
        </row>
        <row r="4906">
          <cell r="M4906"/>
          <cell r="N4906"/>
        </row>
        <row r="4907">
          <cell r="M4907"/>
          <cell r="N4907"/>
        </row>
        <row r="4908">
          <cell r="M4908"/>
          <cell r="N4908"/>
        </row>
        <row r="4909">
          <cell r="M4909"/>
          <cell r="N4909"/>
        </row>
        <row r="4910">
          <cell r="M4910"/>
          <cell r="N4910"/>
        </row>
        <row r="4911">
          <cell r="M4911"/>
          <cell r="N4911"/>
        </row>
        <row r="4912">
          <cell r="M4912"/>
          <cell r="N4912"/>
        </row>
        <row r="4913">
          <cell r="M4913"/>
          <cell r="N4913"/>
        </row>
        <row r="4914">
          <cell r="M4914"/>
          <cell r="N4914"/>
        </row>
        <row r="4915">
          <cell r="M4915"/>
          <cell r="N4915"/>
        </row>
        <row r="4916">
          <cell r="M4916"/>
          <cell r="N4916"/>
        </row>
        <row r="4917">
          <cell r="M4917"/>
          <cell r="N4917"/>
        </row>
        <row r="4918">
          <cell r="M4918"/>
          <cell r="N4918"/>
        </row>
        <row r="4919">
          <cell r="M4919"/>
          <cell r="N4919"/>
        </row>
        <row r="4920">
          <cell r="M4920"/>
          <cell r="N4920"/>
        </row>
        <row r="4921">
          <cell r="M4921"/>
          <cell r="N4921"/>
        </row>
        <row r="4922">
          <cell r="M4922"/>
          <cell r="N4922"/>
        </row>
        <row r="4923">
          <cell r="M4923"/>
          <cell r="N4923"/>
        </row>
        <row r="4924">
          <cell r="M4924"/>
          <cell r="N4924"/>
        </row>
        <row r="4925">
          <cell r="M4925"/>
          <cell r="N4925"/>
        </row>
        <row r="4926">
          <cell r="M4926"/>
          <cell r="N4926"/>
        </row>
        <row r="4927">
          <cell r="M4927"/>
          <cell r="N4927"/>
        </row>
        <row r="4928">
          <cell r="M4928"/>
          <cell r="N4928"/>
        </row>
        <row r="4929">
          <cell r="M4929"/>
          <cell r="N4929"/>
        </row>
        <row r="4930">
          <cell r="M4930"/>
          <cell r="N4930"/>
        </row>
        <row r="4931">
          <cell r="M4931"/>
          <cell r="N4931"/>
        </row>
        <row r="4932">
          <cell r="M4932"/>
          <cell r="N4932"/>
        </row>
        <row r="4933">
          <cell r="M4933"/>
          <cell r="N4933"/>
        </row>
        <row r="4934">
          <cell r="M4934"/>
          <cell r="N4934"/>
        </row>
        <row r="4935">
          <cell r="M4935"/>
          <cell r="N4935"/>
        </row>
        <row r="4936">
          <cell r="M4936"/>
          <cell r="N4936"/>
        </row>
        <row r="4937">
          <cell r="M4937"/>
          <cell r="N4937"/>
        </row>
        <row r="4938">
          <cell r="M4938"/>
          <cell r="N4938"/>
        </row>
        <row r="4939">
          <cell r="M4939"/>
          <cell r="N4939"/>
        </row>
        <row r="4940">
          <cell r="M4940"/>
          <cell r="N4940"/>
        </row>
        <row r="4941">
          <cell r="M4941"/>
          <cell r="N4941"/>
        </row>
        <row r="4942">
          <cell r="M4942"/>
          <cell r="N4942"/>
        </row>
        <row r="4943">
          <cell r="M4943"/>
          <cell r="N4943"/>
        </row>
        <row r="4944">
          <cell r="M4944"/>
          <cell r="N4944"/>
        </row>
        <row r="4945">
          <cell r="M4945"/>
          <cell r="N4945"/>
        </row>
        <row r="4946">
          <cell r="M4946"/>
          <cell r="N4946"/>
        </row>
        <row r="4947">
          <cell r="M4947"/>
          <cell r="N4947"/>
        </row>
        <row r="4948">
          <cell r="M4948"/>
          <cell r="N4948"/>
        </row>
        <row r="4949">
          <cell r="M4949"/>
          <cell r="N4949"/>
        </row>
        <row r="4950">
          <cell r="M4950"/>
          <cell r="N4950"/>
        </row>
        <row r="4951">
          <cell r="M4951"/>
          <cell r="N4951"/>
        </row>
        <row r="4952">
          <cell r="M4952"/>
          <cell r="N4952"/>
        </row>
        <row r="4953">
          <cell r="M4953"/>
          <cell r="N4953"/>
        </row>
        <row r="4954">
          <cell r="M4954"/>
          <cell r="N4954"/>
        </row>
        <row r="4955">
          <cell r="M4955"/>
          <cell r="N4955"/>
        </row>
        <row r="4956">
          <cell r="M4956"/>
          <cell r="N4956"/>
        </row>
        <row r="4957">
          <cell r="M4957"/>
          <cell r="N4957"/>
        </row>
        <row r="4958">
          <cell r="M4958"/>
          <cell r="N4958"/>
        </row>
        <row r="4959">
          <cell r="M4959"/>
          <cell r="N4959"/>
        </row>
        <row r="4960">
          <cell r="M4960"/>
          <cell r="N4960"/>
        </row>
        <row r="4961">
          <cell r="M4961"/>
          <cell r="N4961"/>
        </row>
        <row r="4962">
          <cell r="M4962"/>
          <cell r="N4962"/>
        </row>
        <row r="4963">
          <cell r="M4963"/>
          <cell r="N4963"/>
        </row>
        <row r="4964">
          <cell r="M4964"/>
          <cell r="N4964"/>
        </row>
        <row r="4965">
          <cell r="M4965"/>
          <cell r="N4965"/>
        </row>
        <row r="4966">
          <cell r="M4966"/>
          <cell r="N4966"/>
        </row>
        <row r="4967">
          <cell r="M4967"/>
          <cell r="N4967"/>
        </row>
        <row r="4968">
          <cell r="M4968"/>
          <cell r="N4968"/>
        </row>
        <row r="4969">
          <cell r="M4969"/>
          <cell r="N4969"/>
        </row>
        <row r="4970">
          <cell r="M4970"/>
          <cell r="N4970"/>
        </row>
        <row r="4971">
          <cell r="M4971"/>
          <cell r="N4971"/>
        </row>
        <row r="4972">
          <cell r="M4972"/>
          <cell r="N4972"/>
        </row>
        <row r="4973">
          <cell r="M4973"/>
          <cell r="N4973"/>
        </row>
        <row r="4974">
          <cell r="M4974"/>
          <cell r="N4974"/>
        </row>
        <row r="4975">
          <cell r="M4975"/>
          <cell r="N4975"/>
        </row>
        <row r="4976">
          <cell r="M4976"/>
          <cell r="N4976"/>
        </row>
        <row r="4977">
          <cell r="M4977"/>
          <cell r="N4977"/>
        </row>
        <row r="4978">
          <cell r="M4978"/>
          <cell r="N4978"/>
        </row>
        <row r="4979">
          <cell r="M4979"/>
          <cell r="N4979"/>
        </row>
        <row r="4980">
          <cell r="M4980"/>
          <cell r="N4980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K1"/>
        </row>
      </sheetData>
      <sheetData sheetId="18"/>
      <sheetData sheetId="19"/>
      <sheetData sheetId="20"/>
      <sheetData sheetId="21"/>
      <sheetData sheetId="22"/>
      <sheetData sheetId="23"/>
      <sheetData sheetId="24">
        <row r="1">
          <cell r="C1"/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>
        <row r="2">
          <cell r="B2">
            <v>45658</v>
          </cell>
        </row>
        <row r="31">
          <cell r="B31">
            <v>46167</v>
          </cell>
        </row>
        <row r="32">
          <cell r="B32">
            <v>46188</v>
          </cell>
        </row>
        <row r="33">
          <cell r="B33">
            <v>46212</v>
          </cell>
        </row>
        <row r="34">
          <cell r="B34">
            <v>46213</v>
          </cell>
        </row>
        <row r="35">
          <cell r="B35">
            <v>46251</v>
          </cell>
        </row>
        <row r="36">
          <cell r="B36">
            <v>46307</v>
          </cell>
        </row>
        <row r="37">
          <cell r="B37">
            <v>46332</v>
          </cell>
        </row>
        <row r="38">
          <cell r="B38">
            <v>46335</v>
          </cell>
        </row>
        <row r="39">
          <cell r="B39">
            <v>46336</v>
          </cell>
        </row>
        <row r="40">
          <cell r="B40">
            <v>46349</v>
          </cell>
        </row>
        <row r="41">
          <cell r="B41">
            <v>46363</v>
          </cell>
        </row>
        <row r="42">
          <cell r="B42">
            <v>46364</v>
          </cell>
        </row>
        <row r="43">
          <cell r="B43">
            <v>46381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io C"/>
      <sheetName val="Renta Fija"/>
      <sheetName val="Valuación"/>
      <sheetName val="Spreads Históricos"/>
      <sheetName val="Precios Históricos"/>
      <sheetName val="Impugnaciones"/>
      <sheetName val="Cortes +1"/>
      <sheetName val="Cortes Cafci"/>
      <sheetName val="Pagarés Horizonte"/>
    </sheetNames>
    <sheetDataSet>
      <sheetData sheetId="0"/>
      <sheetData sheetId="1"/>
      <sheetData sheetId="2"/>
      <sheetData sheetId="3"/>
      <sheetData sheetId="4">
        <row r="6">
          <cell r="C6">
            <v>46308</v>
          </cell>
          <cell r="D6">
            <v>46309</v>
          </cell>
          <cell r="E6">
            <v>46310</v>
          </cell>
          <cell r="F6">
            <v>46311</v>
          </cell>
        </row>
        <row r="7">
          <cell r="B7" t="str">
            <v>Ticker</v>
          </cell>
          <cell r="C7" t="str">
            <v>Px Hoy</v>
          </cell>
          <cell r="D7" t="str">
            <v>% Hoy</v>
          </cell>
          <cell r="E7" t="str">
            <v>Px Hoy</v>
          </cell>
          <cell r="F7" t="str">
            <v>Px Hoy</v>
          </cell>
        </row>
        <row r="9">
          <cell r="B9" t="str">
            <v>Bonos Soberanos Hard USD</v>
          </cell>
        </row>
        <row r="11">
          <cell r="B11" t="str">
            <v>AO27D</v>
          </cell>
          <cell r="C11">
            <v>1.0360251</v>
          </cell>
          <cell r="D11">
            <v>1.0381058000000001</v>
          </cell>
          <cell r="E11">
            <v>1.0370792499999999</v>
          </cell>
          <cell r="F11">
            <v>1.03552318</v>
          </cell>
        </row>
        <row r="12">
          <cell r="B12" t="str">
            <v>AL30D</v>
          </cell>
          <cell r="C12">
            <v>0.56179374999999998</v>
          </cell>
          <cell r="D12">
            <v>0.56207753000000005</v>
          </cell>
          <cell r="E12">
            <v>0.56127616999999996</v>
          </cell>
          <cell r="F12">
            <v>0.55654205999999995</v>
          </cell>
        </row>
        <row r="13">
          <cell r="B13" t="str">
            <v>GD30D</v>
          </cell>
          <cell r="C13">
            <v>0.57678925999999997</v>
          </cell>
          <cell r="D13">
            <v>0.57434536000000003</v>
          </cell>
          <cell r="E13">
            <v>0.57658505999999998</v>
          </cell>
          <cell r="F13">
            <v>0.56936392999999996</v>
          </cell>
        </row>
        <row r="14">
          <cell r="B14" t="str">
            <v>AO28D</v>
          </cell>
          <cell r="C14">
            <v>0.93671409999999999</v>
          </cell>
          <cell r="D14">
            <v>0.93537146999999998</v>
          </cell>
          <cell r="E14">
            <v>0.93966570000000005</v>
          </cell>
          <cell r="F14">
            <v>0.93450034999999998</v>
          </cell>
        </row>
        <row r="15">
          <cell r="B15" t="str">
            <v>AO29D</v>
          </cell>
          <cell r="C15">
            <v>0.86546416000000004</v>
          </cell>
          <cell r="D15">
            <v>0.86496722999999998</v>
          </cell>
          <cell r="E15">
            <v>0.86529741999999998</v>
          </cell>
          <cell r="F15">
            <v>0.85596059000000002</v>
          </cell>
        </row>
        <row r="16">
          <cell r="B16" t="str">
            <v>AN29D</v>
          </cell>
          <cell r="C16">
            <v>0.88362907000000002</v>
          </cell>
          <cell r="D16">
            <v>0.88789361</v>
          </cell>
          <cell r="E16">
            <v>0.88843055999999998</v>
          </cell>
          <cell r="F16">
            <v>0.87563223000000001</v>
          </cell>
        </row>
        <row r="17">
          <cell r="B17" t="str">
            <v>AE38D</v>
          </cell>
          <cell r="C17">
            <v>0.74821859000000002</v>
          </cell>
          <cell r="D17">
            <v>0.74708881000000005</v>
          </cell>
          <cell r="E17">
            <v>0.74904011999999998</v>
          </cell>
          <cell r="F17">
            <v>0.73838075000000003</v>
          </cell>
        </row>
        <row r="18">
          <cell r="B18" t="str">
            <v>GD38D</v>
          </cell>
          <cell r="C18">
            <v>0.80407362000000004</v>
          </cell>
          <cell r="D18">
            <v>0.80542327999999996</v>
          </cell>
          <cell r="E18">
            <v>0.80708986000000005</v>
          </cell>
          <cell r="F18">
            <v>0.79443074999999996</v>
          </cell>
        </row>
        <row r="19">
          <cell r="B19" t="str">
            <v>AL35D</v>
          </cell>
          <cell r="C19">
            <v>0.71347183000000003</v>
          </cell>
          <cell r="D19">
            <v>0.71657627999999995</v>
          </cell>
          <cell r="E19">
            <v>0.71466039000000003</v>
          </cell>
          <cell r="F19">
            <v>0.70594665999999995</v>
          </cell>
        </row>
        <row r="20">
          <cell r="B20" t="str">
            <v>GD35D</v>
          </cell>
          <cell r="C20">
            <v>0.75354429000000001</v>
          </cell>
          <cell r="D20">
            <v>0.75350209999999995</v>
          </cell>
          <cell r="E20">
            <v>0.75481904</v>
          </cell>
          <cell r="F20">
            <v>0.74216093999999999</v>
          </cell>
        </row>
        <row r="21">
          <cell r="B21" t="str">
            <v>AL41D</v>
          </cell>
          <cell r="C21">
            <v>0.66482070000000004</v>
          </cell>
          <cell r="D21">
            <v>0.66890293000000001</v>
          </cell>
          <cell r="E21">
            <v>0.66359541</v>
          </cell>
          <cell r="F21">
            <v>0.65394589000000003</v>
          </cell>
        </row>
        <row r="22">
          <cell r="B22" t="str">
            <v>GD41D</v>
          </cell>
          <cell r="C22">
            <v>0.70152095000000003</v>
          </cell>
          <cell r="D22">
            <v>0.69967833000000001</v>
          </cell>
          <cell r="E22">
            <v>0.69999917</v>
          </cell>
          <cell r="F22">
            <v>0.68774774999999999</v>
          </cell>
        </row>
        <row r="23">
          <cell r="B23" t="str">
            <v>GD46D</v>
          </cell>
          <cell r="C23">
            <v>0.64614099999999997</v>
          </cell>
          <cell r="D23">
            <v>0.64094800000000007</v>
          </cell>
          <cell r="E23">
            <v>0.65143978000000002</v>
          </cell>
          <cell r="F23">
            <v>0.63680778000000005</v>
          </cell>
        </row>
        <row r="25">
          <cell r="B25" t="str">
            <v>Bonos Soberanos Hard USD - Contra $</v>
          </cell>
        </row>
        <row r="27">
          <cell r="B27" t="str">
            <v>AO27</v>
          </cell>
          <cell r="C27">
            <v>1592.79702077</v>
          </cell>
          <cell r="D27">
            <v>1594.8311308100001</v>
          </cell>
          <cell r="E27">
            <v>1591.09330303</v>
          </cell>
          <cell r="F27">
            <v>1591.4895195199999</v>
          </cell>
        </row>
        <row r="28">
          <cell r="B28" t="str">
            <v>AL30</v>
          </cell>
          <cell r="C28">
            <v>864.75606281</v>
          </cell>
          <cell r="D28">
            <v>862.83745638000005</v>
          </cell>
          <cell r="E28">
            <v>861.00148597999998</v>
          </cell>
          <cell r="F28">
            <v>854.97026500000004</v>
          </cell>
        </row>
        <row r="29">
          <cell r="B29" t="str">
            <v>GD30</v>
          </cell>
          <cell r="C29">
            <v>886.53170381999996</v>
          </cell>
          <cell r="D29">
            <v>888.6722456</v>
          </cell>
          <cell r="E29">
            <v>882.62682132999998</v>
          </cell>
          <cell r="F29">
            <v>877.62863737999999</v>
          </cell>
        </row>
        <row r="30">
          <cell r="B30" t="str">
            <v>AO28</v>
          </cell>
          <cell r="C30">
            <v>1438.8312240800001</v>
          </cell>
          <cell r="D30">
            <v>1438.85822089</v>
          </cell>
          <cell r="E30">
            <v>1438.7780195600001</v>
          </cell>
          <cell r="F30">
            <v>1436.1981126999999</v>
          </cell>
        </row>
        <row r="31">
          <cell r="B31" t="str">
            <v>AO29</v>
          </cell>
          <cell r="C31">
            <v>1329.02568221</v>
          </cell>
          <cell r="D31">
            <v>1328.9233569</v>
          </cell>
          <cell r="E31">
            <v>1325.6020615499999</v>
          </cell>
          <cell r="F31">
            <v>1314.49627515</v>
          </cell>
        </row>
        <row r="32">
          <cell r="B32" t="str">
            <v>AN29</v>
          </cell>
          <cell r="C32">
            <v>1360.8423058999999</v>
          </cell>
          <cell r="D32">
            <v>1361.5988760299999</v>
          </cell>
          <cell r="E32">
            <v>1362.4184357300001</v>
          </cell>
          <cell r="F32">
            <v>1349.0018693899999</v>
          </cell>
        </row>
        <row r="33">
          <cell r="B33" t="str">
            <v>AE38</v>
          </cell>
          <cell r="C33">
            <v>1149.8317965000001</v>
          </cell>
          <cell r="D33">
            <v>1148.4365979700001</v>
          </cell>
          <cell r="E33">
            <v>1149.5621912199999</v>
          </cell>
          <cell r="F33">
            <v>1133.88519273</v>
          </cell>
        </row>
        <row r="34">
          <cell r="B34" t="str">
            <v>GD38</v>
          </cell>
          <cell r="C34">
            <v>1239.6443126199999</v>
          </cell>
          <cell r="D34">
            <v>1236.60025436</v>
          </cell>
          <cell r="E34">
            <v>1226.0070143400001</v>
          </cell>
          <cell r="F34">
            <v>1226.57130519</v>
          </cell>
        </row>
        <row r="35">
          <cell r="B35" t="str">
            <v>AL35</v>
          </cell>
          <cell r="C35">
            <v>1100.24093103</v>
          </cell>
          <cell r="D35">
            <v>1093.55241922</v>
          </cell>
          <cell r="E35">
            <v>1095.8103650099999</v>
          </cell>
          <cell r="F35">
            <v>1090.5935350499999</v>
          </cell>
        </row>
        <row r="36">
          <cell r="B36" t="str">
            <v>GD35</v>
          </cell>
          <cell r="C36">
            <v>1160.9964968899999</v>
          </cell>
          <cell r="D36">
            <v>1157.1706595999999</v>
          </cell>
          <cell r="E36">
            <v>1158.3793937800001</v>
          </cell>
          <cell r="F36">
            <v>1149.8515734099999</v>
          </cell>
        </row>
        <row r="37">
          <cell r="B37" t="str">
            <v>AL41</v>
          </cell>
          <cell r="C37">
            <v>1016.96146589</v>
          </cell>
          <cell r="D37">
            <v>1014.2167163300001</v>
          </cell>
          <cell r="E37">
            <v>1017.82195867</v>
          </cell>
          <cell r="F37">
            <v>1005.34453086</v>
          </cell>
        </row>
        <row r="38">
          <cell r="B38" t="str">
            <v>GD41</v>
          </cell>
          <cell r="C38">
            <v>1080.73030133</v>
          </cell>
          <cell r="D38">
            <v>1074.1264257800001</v>
          </cell>
          <cell r="E38">
            <v>1074.97352692</v>
          </cell>
          <cell r="F38">
            <v>1057.87734748</v>
          </cell>
        </row>
        <row r="39">
          <cell r="B39" t="str">
            <v>GD46</v>
          </cell>
          <cell r="C39">
            <v>981.48727842999995</v>
          </cell>
          <cell r="D39">
            <v>968.14088769</v>
          </cell>
          <cell r="E39">
            <v>997.86223584000004</v>
          </cell>
          <cell r="F39">
            <v>952.99931094999999</v>
          </cell>
        </row>
        <row r="41">
          <cell r="B41" t="str">
            <v>Bopreales Hard USD</v>
          </cell>
        </row>
        <row r="43">
          <cell r="B43" t="str">
            <v>BPOD7D</v>
          </cell>
          <cell r="C43">
            <v>1.04628776</v>
          </cell>
          <cell r="D43">
            <v>1.04851414</v>
          </cell>
          <cell r="E43">
            <v>1.0516578599999999</v>
          </cell>
          <cell r="F43">
            <v>1.0514263100000001</v>
          </cell>
        </row>
        <row r="45">
          <cell r="B45" t="str">
            <v>Bopreales Hard USD - Contra $</v>
          </cell>
        </row>
        <row r="47">
          <cell r="B47" t="str">
            <v>BPOD7</v>
          </cell>
          <cell r="C47">
            <v>1601.88519103</v>
          </cell>
          <cell r="D47">
            <v>1610.8617769099999</v>
          </cell>
          <cell r="E47">
            <v>1614.9979780199999</v>
          </cell>
          <cell r="F47">
            <v>1619.31073894</v>
          </cell>
        </row>
        <row r="49">
          <cell r="B49" t="str">
            <v>Bonos Soberanos Descuento</v>
          </cell>
        </row>
        <row r="51">
          <cell r="B51" t="str">
            <v>S30O6</v>
          </cell>
          <cell r="C51">
            <v>1.33872407</v>
          </cell>
          <cell r="D51">
            <v>1.33972819</v>
          </cell>
          <cell r="E51">
            <v>1.34352633</v>
          </cell>
          <cell r="F51">
            <v>1.3462190999999999</v>
          </cell>
        </row>
        <row r="52">
          <cell r="B52" t="str">
            <v>S13N6</v>
          </cell>
          <cell r="C52">
            <v>1.07574226</v>
          </cell>
          <cell r="D52">
            <v>1.07599329</v>
          </cell>
          <cell r="E52">
            <v>1.0771898099999999</v>
          </cell>
          <cell r="F52">
            <v>1.07952012</v>
          </cell>
        </row>
        <row r="53">
          <cell r="B53" t="str">
            <v>S30N6</v>
          </cell>
          <cell r="C53">
            <v>1.2606297799999999</v>
          </cell>
          <cell r="D53">
            <v>1.26006102</v>
          </cell>
          <cell r="E53">
            <v>1.2619768200000001</v>
          </cell>
          <cell r="F53">
            <v>1.2652142500000001</v>
          </cell>
        </row>
        <row r="54">
          <cell r="B54" t="str">
            <v>S29E7</v>
          </cell>
          <cell r="C54">
            <v>1.0406137799999999</v>
          </cell>
          <cell r="D54">
            <v>1.04013471</v>
          </cell>
          <cell r="E54">
            <v>1.0380406799999999</v>
          </cell>
          <cell r="F54">
            <v>1.0465052399999999</v>
          </cell>
        </row>
        <row r="56">
          <cell r="B56" t="str">
            <v>Bonos Soberanos Tasa Fija</v>
          </cell>
        </row>
        <row r="58">
          <cell r="B58" t="str">
            <v>T15E7</v>
          </cell>
          <cell r="C58">
            <v>1.51469338</v>
          </cell>
          <cell r="D58">
            <v>1.51396376</v>
          </cell>
          <cell r="E58">
            <v>1.51818404</v>
          </cell>
          <cell r="F58">
            <v>1.5226219299999999</v>
          </cell>
        </row>
        <row r="59">
          <cell r="B59" t="str">
            <v>T30A7</v>
          </cell>
          <cell r="C59">
            <v>1.3711843500000001</v>
          </cell>
          <cell r="D59">
            <v>1.37126331</v>
          </cell>
          <cell r="E59">
            <v>1.3748229700000001</v>
          </cell>
          <cell r="F59">
            <v>1.3789722900000001</v>
          </cell>
        </row>
        <row r="60">
          <cell r="B60" t="str">
            <v>T31Y7</v>
          </cell>
          <cell r="C60">
            <v>1.2911038800000001</v>
          </cell>
          <cell r="D60">
            <v>1.291304</v>
          </cell>
          <cell r="E60">
            <v>1.29516952</v>
          </cell>
          <cell r="F60">
            <v>1.29837176</v>
          </cell>
        </row>
        <row r="61">
          <cell r="B61" t="str">
            <v>T30J7</v>
          </cell>
          <cell r="C61">
            <v>1.3084733</v>
          </cell>
          <cell r="D61">
            <v>1.3090459999999999</v>
          </cell>
          <cell r="E61">
            <v>1.3161225700000001</v>
          </cell>
          <cell r="F61">
            <v>1.31940788</v>
          </cell>
        </row>
        <row r="62">
          <cell r="B62" t="str">
            <v>TY30P</v>
          </cell>
          <cell r="C62">
            <v>1.1243672300000001</v>
          </cell>
          <cell r="D62">
            <v>1.12451721</v>
          </cell>
          <cell r="E62">
            <v>1.12853263</v>
          </cell>
          <cell r="F62">
            <v>1.1321099800000001</v>
          </cell>
        </row>
        <row r="64">
          <cell r="B64" t="str">
            <v>Bonos Soberanos Tasa Fija - Tamar</v>
          </cell>
        </row>
        <row r="66">
          <cell r="B66" t="str">
            <v>TTD26</v>
          </cell>
          <cell r="C66">
            <v>1.73490835</v>
          </cell>
          <cell r="D66">
            <v>1.7361256</v>
          </cell>
          <cell r="E66">
            <v>1.73837219</v>
          </cell>
          <cell r="F66">
            <v>1.74290945</v>
          </cell>
        </row>
        <row r="68">
          <cell r="B68" t="str">
            <v>Bonos Soberanos TAMAR</v>
          </cell>
        </row>
        <row r="70">
          <cell r="B70" t="str">
            <v>TMF27</v>
          </cell>
          <cell r="C70">
            <v>1.25371196</v>
          </cell>
          <cell r="D70">
            <v>1.25551919</v>
          </cell>
          <cell r="E70">
            <v>1.2569410700000001</v>
          </cell>
          <cell r="F70">
            <v>1.2600124800000001</v>
          </cell>
        </row>
        <row r="71">
          <cell r="B71" t="str">
            <v>TML27</v>
          </cell>
          <cell r="C71">
            <v>1.1039651500000001</v>
          </cell>
          <cell r="D71">
            <v>1.1058990500000001</v>
          </cell>
          <cell r="E71">
            <v>1.11006571</v>
          </cell>
          <cell r="F71">
            <v>1.1138335500000001</v>
          </cell>
        </row>
        <row r="72">
          <cell r="B72" t="str">
            <v>TMG27</v>
          </cell>
          <cell r="C72">
            <v>1.1985055600000001</v>
          </cell>
          <cell r="D72">
            <v>1.2144920800000001</v>
          </cell>
          <cell r="E72">
            <v>1.19223097</v>
          </cell>
          <cell r="F72">
            <v>1.21671774</v>
          </cell>
        </row>
        <row r="73">
          <cell r="B73" t="str">
            <v>TMG28</v>
          </cell>
          <cell r="C73">
            <v>1.0950016899999999</v>
          </cell>
          <cell r="D73">
            <v>1.09678115</v>
          </cell>
          <cell r="E73">
            <v>1.0989572999999999</v>
          </cell>
          <cell r="F73">
            <v>1.1029992200000001</v>
          </cell>
        </row>
        <row r="75">
          <cell r="B75" t="str">
            <v>Bonos Soberanos CER - TAMAR</v>
          </cell>
        </row>
        <row r="77">
          <cell r="B77" t="str">
            <v>TXMJ8</v>
          </cell>
          <cell r="C77">
            <v>1.02199806</v>
          </cell>
          <cell r="D77">
            <v>1.0274458</v>
          </cell>
          <cell r="E77">
            <v>1.03762362</v>
          </cell>
          <cell r="F77">
            <v>1.0315076000000001</v>
          </cell>
        </row>
        <row r="78">
          <cell r="B78" t="str">
            <v>TXMD8</v>
          </cell>
          <cell r="C78">
            <v>0.96665522999999998</v>
          </cell>
          <cell r="D78">
            <v>0.96450336000000003</v>
          </cell>
          <cell r="E78">
            <v>0.96818355</v>
          </cell>
          <cell r="F78">
            <v>0.97351443999999998</v>
          </cell>
        </row>
        <row r="79">
          <cell r="B79" t="str">
            <v>TXMJ9</v>
          </cell>
          <cell r="C79">
            <v>0.95099005999999997</v>
          </cell>
          <cell r="D79">
            <v>0.94799836999999998</v>
          </cell>
          <cell r="E79">
            <v>0.95349207999999996</v>
          </cell>
          <cell r="F79">
            <v>0.95150161</v>
          </cell>
        </row>
        <row r="80">
          <cell r="B80" t="str">
            <v>TXMD9</v>
          </cell>
          <cell r="C80">
            <v>0.88075758000000004</v>
          </cell>
          <cell r="D80">
            <v>0.89402550000000003</v>
          </cell>
          <cell r="E80">
            <v>0.88072028999999996</v>
          </cell>
          <cell r="F80">
            <v>0.88239148999999995</v>
          </cell>
        </row>
        <row r="81">
          <cell r="B81" t="str">
            <v>TXMJ0</v>
          </cell>
          <cell r="C81">
            <v>0.85107635000000004</v>
          </cell>
          <cell r="D81">
            <v>0.84943804999999994</v>
          </cell>
          <cell r="E81">
            <v>0.85084764000000002</v>
          </cell>
          <cell r="F81">
            <v>0.85519813</v>
          </cell>
        </row>
        <row r="83">
          <cell r="B83" t="str">
            <v>Bonos Soberanos CER - TAMAR</v>
          </cell>
        </row>
        <row r="85">
          <cell r="B85" t="str">
            <v>TZXO6</v>
          </cell>
          <cell r="C85">
            <v>1.7623381</v>
          </cell>
          <cell r="D85">
            <v>1.7637749700000001</v>
          </cell>
          <cell r="E85">
            <v>1.7654263699999999</v>
          </cell>
          <cell r="F85">
            <v>1.7683830599999999</v>
          </cell>
        </row>
        <row r="86">
          <cell r="B86" t="str">
            <v>TX26</v>
          </cell>
          <cell r="C86">
            <v>7.5624884000000003</v>
          </cell>
          <cell r="D86">
            <v>7.5575154199999997</v>
          </cell>
          <cell r="E86">
            <v>7.56998792</v>
          </cell>
          <cell r="F86">
            <v>7.58483529</v>
          </cell>
        </row>
        <row r="87">
          <cell r="B87" t="str">
            <v>X30N6</v>
          </cell>
          <cell r="C87">
            <v>1.2802404700000001</v>
          </cell>
          <cell r="D87">
            <v>1.2795586299999999</v>
          </cell>
          <cell r="E87">
            <v>1.2819699200000001</v>
          </cell>
          <cell r="F87">
            <v>1.2836386500000001</v>
          </cell>
        </row>
        <row r="88">
          <cell r="B88" t="str">
            <v>TZXD6</v>
          </cell>
          <cell r="C88">
            <v>3.1112957200000002</v>
          </cell>
          <cell r="D88">
            <v>3.1114337299999999</v>
          </cell>
          <cell r="E88">
            <v>3.1146038800000002</v>
          </cell>
          <cell r="F88">
            <v>3.1203581699999998</v>
          </cell>
        </row>
        <row r="89">
          <cell r="B89" t="str">
            <v>X29E7</v>
          </cell>
          <cell r="C89">
            <v>1.0300585799999999</v>
          </cell>
          <cell r="D89">
            <v>1.0310101599999999</v>
          </cell>
          <cell r="E89">
            <v>1.0331343399999999</v>
          </cell>
          <cell r="F89">
            <v>1.03549508</v>
          </cell>
        </row>
        <row r="90">
          <cell r="B90" t="str">
            <v>TZXM7</v>
          </cell>
          <cell r="C90">
            <v>2.3164136499999999</v>
          </cell>
          <cell r="D90">
            <v>2.3176589000000001</v>
          </cell>
          <cell r="E90">
            <v>2.32076708</v>
          </cell>
          <cell r="F90">
            <v>2.3275179000000001</v>
          </cell>
        </row>
        <row r="91">
          <cell r="B91" t="str">
            <v>TZXA7</v>
          </cell>
          <cell r="C91">
            <v>1.2767506399999999</v>
          </cell>
          <cell r="D91">
            <v>1.2759046999999999</v>
          </cell>
          <cell r="E91">
            <v>1.27900002</v>
          </cell>
          <cell r="F91">
            <v>1.28355018</v>
          </cell>
        </row>
        <row r="92">
          <cell r="B92" t="str">
            <v>TZXY7</v>
          </cell>
          <cell r="C92">
            <v>1.25503353</v>
          </cell>
          <cell r="D92">
            <v>1.2571690799999999</v>
          </cell>
          <cell r="E92">
            <v>1.2612713499999999</v>
          </cell>
          <cell r="F92">
            <v>1.26553798</v>
          </cell>
        </row>
        <row r="93">
          <cell r="B93" t="str">
            <v>TZX27</v>
          </cell>
          <cell r="C93">
            <v>4.1012386899999997</v>
          </cell>
          <cell r="D93">
            <v>4.1108232600000001</v>
          </cell>
          <cell r="E93">
            <v>4.1311680300000004</v>
          </cell>
          <cell r="F93">
            <v>4.1422743400000002</v>
          </cell>
        </row>
        <row r="94">
          <cell r="B94" t="str">
            <v>TZXS7</v>
          </cell>
          <cell r="C94">
            <v>1.11720251</v>
          </cell>
          <cell r="D94">
            <v>1.11769702</v>
          </cell>
          <cell r="E94">
            <v>1.1179114699999999</v>
          </cell>
          <cell r="F94">
            <v>1.12251531</v>
          </cell>
        </row>
        <row r="95">
          <cell r="B95" t="str">
            <v>TZXO7</v>
          </cell>
          <cell r="E95">
            <v>1.01900017</v>
          </cell>
          <cell r="F95">
            <v>1.022858</v>
          </cell>
        </row>
        <row r="96">
          <cell r="B96" t="str">
            <v>TZXD7</v>
          </cell>
          <cell r="C96">
            <v>2.8698494600000002</v>
          </cell>
          <cell r="D96">
            <v>2.8709852200000001</v>
          </cell>
          <cell r="E96">
            <v>2.8797034799999999</v>
          </cell>
          <cell r="F96">
            <v>2.8944077400000001</v>
          </cell>
        </row>
        <row r="97">
          <cell r="B97" t="str">
            <v>TZXM8</v>
          </cell>
          <cell r="C97">
            <v>1.0318006099999999</v>
          </cell>
          <cell r="D97">
            <v>1.0349810399999999</v>
          </cell>
          <cell r="E97">
            <v>1.0330397499999999</v>
          </cell>
          <cell r="F97">
            <v>1.0364715200000001</v>
          </cell>
        </row>
        <row r="98">
          <cell r="B98" t="str">
            <v>TZX28</v>
          </cell>
          <cell r="C98">
            <v>3.6202291299999998</v>
          </cell>
          <cell r="D98">
            <v>3.6150677500000001</v>
          </cell>
          <cell r="E98">
            <v>3.6075141899999998</v>
          </cell>
          <cell r="F98">
            <v>3.6288336999999999</v>
          </cell>
        </row>
        <row r="99">
          <cell r="B99" t="str">
            <v>TZXS8</v>
          </cell>
          <cell r="C99">
            <v>0.98119071000000002</v>
          </cell>
          <cell r="D99">
            <v>0.98136414999999999</v>
          </cell>
          <cell r="E99">
            <v>0.98050603999999997</v>
          </cell>
          <cell r="F99">
            <v>0.98391406000000003</v>
          </cell>
        </row>
        <row r="100">
          <cell r="B100" t="str">
            <v>TZXD8</v>
          </cell>
          <cell r="C100">
            <v>0.87646520000000006</v>
          </cell>
          <cell r="D100">
            <v>0.87050196999999996</v>
          </cell>
          <cell r="E100">
            <v>0.87024263000000002</v>
          </cell>
          <cell r="F100">
            <v>0.87450035000000004</v>
          </cell>
        </row>
        <row r="101">
          <cell r="B101" t="str">
            <v>TZXM9</v>
          </cell>
          <cell r="C101">
            <v>0.93078998999999996</v>
          </cell>
          <cell r="D101">
            <v>0.927176</v>
          </cell>
          <cell r="E101">
            <v>0.92350297999999997</v>
          </cell>
          <cell r="F101">
            <v>0.92281038999999998</v>
          </cell>
        </row>
        <row r="102">
          <cell r="B102" t="str">
            <v>DICP</v>
          </cell>
          <cell r="C102">
            <v>493.52011914000002</v>
          </cell>
          <cell r="D102">
            <v>490.22198803999999</v>
          </cell>
          <cell r="E102">
            <v>492.52084660999998</v>
          </cell>
          <cell r="F102">
            <v>493.00786839</v>
          </cell>
        </row>
        <row r="104">
          <cell r="B104" t="str">
            <v>Bonos Soberanos Dólar Linked</v>
          </cell>
        </row>
        <row r="106">
          <cell r="B106" t="str">
            <v>D30O6</v>
          </cell>
          <cell r="C106">
            <v>1510.6740583400001</v>
          </cell>
          <cell r="D106">
            <v>1510.13660411</v>
          </cell>
          <cell r="E106">
            <v>1509.6619639</v>
          </cell>
          <cell r="F106">
            <v>1516.84319138</v>
          </cell>
        </row>
        <row r="107">
          <cell r="B107" t="str">
            <v>D30N6</v>
          </cell>
          <cell r="C107">
            <v>1510.3867922300001</v>
          </cell>
          <cell r="D107">
            <v>1506.36603313</v>
          </cell>
          <cell r="E107">
            <v>1506.0263081000001</v>
          </cell>
          <cell r="F107">
            <v>1512.13535409</v>
          </cell>
        </row>
        <row r="109">
          <cell r="B109" t="str">
            <v>Bonos Soberanos Dólar Linked - TAMAR</v>
          </cell>
        </row>
        <row r="111">
          <cell r="B111" t="str">
            <v>TMVE8</v>
          </cell>
          <cell r="C111">
            <v>1436.15407448</v>
          </cell>
          <cell r="D111">
            <v>1435.2872485299999</v>
          </cell>
          <cell r="E111">
            <v>1439.95640652</v>
          </cell>
          <cell r="F111">
            <v>1444.99797601</v>
          </cell>
        </row>
        <row r="113">
          <cell r="B113" t="str">
            <v>Títulos Provinciales CER</v>
          </cell>
        </row>
        <row r="115">
          <cell r="B115" t="str">
            <v>COY27</v>
          </cell>
          <cell r="C115">
            <v>2.3437330799999998</v>
          </cell>
          <cell r="D115">
            <v>2.3443107699999999</v>
          </cell>
          <cell r="E115">
            <v>2.3470424200000002</v>
          </cell>
          <cell r="F115">
            <v>2.3526704199999999</v>
          </cell>
        </row>
        <row r="117">
          <cell r="B117" t="str">
            <v>Títulos Provinciales Tamar</v>
          </cell>
        </row>
        <row r="119">
          <cell r="B119" t="str">
            <v>CO2D7</v>
          </cell>
          <cell r="C119">
            <v>1.00682308</v>
          </cell>
          <cell r="D119">
            <v>1.011112</v>
          </cell>
          <cell r="E119">
            <v>1.0042496999999999</v>
          </cell>
          <cell r="F119">
            <v>1.0018229299999999</v>
          </cell>
        </row>
        <row r="121">
          <cell r="B121" t="str">
            <v>Títulos Provinciales Hard USD</v>
          </cell>
        </row>
        <row r="123">
          <cell r="B123" t="str">
            <v>SJO5D</v>
          </cell>
          <cell r="C123">
            <v>1.0218382500000001</v>
          </cell>
          <cell r="D123">
            <v>1.0340084899999999</v>
          </cell>
          <cell r="E123">
            <v>1.0389999999999999</v>
          </cell>
          <cell r="F123">
            <v>1.0365</v>
          </cell>
        </row>
        <row r="125">
          <cell r="B125" t="str">
            <v>Títulos Provinciales Hard USD - Contra $</v>
          </cell>
        </row>
        <row r="127">
          <cell r="B127" t="str">
            <v>SJO35</v>
          </cell>
          <cell r="C127">
            <v>1589.6180757499999</v>
          </cell>
          <cell r="D127">
            <v>1589.1344104899999</v>
          </cell>
          <cell r="E127">
            <v>1591.1037980999999</v>
          </cell>
          <cell r="F127">
            <v>1592.1</v>
          </cell>
        </row>
        <row r="129">
          <cell r="B129" t="str">
            <v>Obligaciones Negociables Badlar</v>
          </cell>
        </row>
        <row r="131">
          <cell r="B131" t="str">
            <v>CH9BO</v>
          </cell>
          <cell r="C131">
            <v>1.0000000000000001E-9</v>
          </cell>
          <cell r="D131">
            <v>1.0000000000000001E-9</v>
          </cell>
          <cell r="E131">
            <v>1.0000000000000001E-9</v>
          </cell>
          <cell r="F131">
            <v>1.0000000000000001E-9</v>
          </cell>
        </row>
        <row r="132">
          <cell r="B132" t="str">
            <v>DRSEO</v>
          </cell>
          <cell r="C132">
            <v>1.0000000000000001E-9</v>
          </cell>
          <cell r="D132">
            <v>1.0000000000000001E-9</v>
          </cell>
          <cell r="E132">
            <v>1.0000000000000001E-9</v>
          </cell>
          <cell r="F132">
            <v>1.0000000000000001E-9</v>
          </cell>
        </row>
        <row r="133">
          <cell r="B133" t="str">
            <v>DRDCO</v>
          </cell>
          <cell r="C133">
            <v>1.0000000000000001E-9</v>
          </cell>
          <cell r="D133">
            <v>1.0000000000000001E-9</v>
          </cell>
          <cell r="E133">
            <v>1.0000000000000001E-9</v>
          </cell>
          <cell r="F133">
            <v>1.0000000000000001E-9</v>
          </cell>
        </row>
        <row r="135">
          <cell r="B135" t="str">
            <v>Obligaciones Negociables Tamar</v>
          </cell>
        </row>
        <row r="137">
          <cell r="B137" t="str">
            <v>IP11P</v>
          </cell>
          <cell r="C137">
            <v>0.72347819999999996</v>
          </cell>
          <cell r="D137">
            <v>0.72350983999999996</v>
          </cell>
          <cell r="E137">
            <v>0.72354353999999999</v>
          </cell>
          <cell r="F137">
            <v>0.72539081999999999</v>
          </cell>
        </row>
        <row r="138">
          <cell r="B138" t="str">
            <v>LMS1P</v>
          </cell>
          <cell r="C138">
            <v>0.52572383</v>
          </cell>
          <cell r="D138">
            <v>0.52565543000000003</v>
          </cell>
          <cell r="E138">
            <v>0.52558945999999995</v>
          </cell>
          <cell r="F138">
            <v>0.52710683999999997</v>
          </cell>
        </row>
        <row r="139">
          <cell r="B139" t="str">
            <v>PES1L</v>
          </cell>
          <cell r="C139">
            <v>0.75859759000000004</v>
          </cell>
          <cell r="D139">
            <v>0.75848504000000005</v>
          </cell>
          <cell r="E139">
            <v>0.75841413000000002</v>
          </cell>
          <cell r="F139">
            <v>0.76078657999999999</v>
          </cell>
        </row>
        <row r="140">
          <cell r="B140" t="str">
            <v>FSS1L</v>
          </cell>
          <cell r="C140">
            <v>0.79584991999999999</v>
          </cell>
          <cell r="D140">
            <v>0.79578269999999995</v>
          </cell>
          <cell r="E140">
            <v>0.79576190999999996</v>
          </cell>
          <cell r="F140">
            <v>0.79822181000000003</v>
          </cell>
        </row>
        <row r="141">
          <cell r="B141" t="str">
            <v>DJS1L</v>
          </cell>
          <cell r="C141">
            <v>0.77332666999999999</v>
          </cell>
          <cell r="D141">
            <v>0.77325524999999995</v>
          </cell>
          <cell r="E141">
            <v>0.77325999000000001</v>
          </cell>
          <cell r="F141">
            <v>0.77590689999999995</v>
          </cell>
        </row>
        <row r="142">
          <cell r="B142" t="str">
            <v>CZ11L</v>
          </cell>
          <cell r="C142">
            <v>1.0553835</v>
          </cell>
          <cell r="D142">
            <v>1.05528574</v>
          </cell>
          <cell r="E142">
            <v>1.0552803500000001</v>
          </cell>
          <cell r="F142">
            <v>1.0588335099999999</v>
          </cell>
        </row>
        <row r="143">
          <cell r="B143" t="str">
            <v>AKS1L</v>
          </cell>
          <cell r="C143">
            <v>1.03270832</v>
          </cell>
          <cell r="D143">
            <v>1.03269403</v>
          </cell>
          <cell r="E143">
            <v>1.0328490699999999</v>
          </cell>
          <cell r="F143">
            <v>1.0365567</v>
          </cell>
        </row>
        <row r="144">
          <cell r="B144" t="str">
            <v>SQS1L</v>
          </cell>
          <cell r="C144">
            <v>1.0404317000000001</v>
          </cell>
          <cell r="D144">
            <v>1.04066057</v>
          </cell>
          <cell r="E144">
            <v>1.0409950400000001</v>
          </cell>
          <cell r="F144">
            <v>1.0447749799999999</v>
          </cell>
        </row>
        <row r="145">
          <cell r="B145" t="str">
            <v>CHS1L</v>
          </cell>
          <cell r="C145">
            <v>1.0380264100000001</v>
          </cell>
          <cell r="D145">
            <v>1.0385156</v>
          </cell>
          <cell r="E145">
            <v>1.0391166999999999</v>
          </cell>
          <cell r="F145">
            <v>1.04295012</v>
          </cell>
        </row>
        <row r="146">
          <cell r="B146" t="str">
            <v>GES2L</v>
          </cell>
          <cell r="C146">
            <v>1.01313042</v>
          </cell>
          <cell r="D146">
            <v>1.0138199000000001</v>
          </cell>
          <cell r="E146">
            <v>1.01455333</v>
          </cell>
          <cell r="F146">
            <v>1.0184451999999999</v>
          </cell>
        </row>
        <row r="147">
          <cell r="B147" t="str">
            <v>AKS2L</v>
          </cell>
          <cell r="C147">
            <v>1.0210932500000001</v>
          </cell>
          <cell r="D147">
            <v>1.02183008</v>
          </cell>
          <cell r="E147">
            <v>1.0225688900000001</v>
          </cell>
          <cell r="F147">
            <v>1.0265210899999999</v>
          </cell>
        </row>
        <row r="148">
          <cell r="B148" t="str">
            <v>SXC5O</v>
          </cell>
          <cell r="C148">
            <v>1.0416804399999999</v>
          </cell>
          <cell r="D148">
            <v>1.04211338</v>
          </cell>
          <cell r="E148">
            <v>1.0427256</v>
          </cell>
          <cell r="F148">
            <v>1.04508752</v>
          </cell>
        </row>
        <row r="149">
          <cell r="B149" t="str">
            <v>BF38O</v>
          </cell>
          <cell r="C149">
            <v>1.0427479399999999</v>
          </cell>
          <cell r="D149">
            <v>1.0431640799999999</v>
          </cell>
          <cell r="E149">
            <v>1.0437741599999999</v>
          </cell>
          <cell r="F149">
            <v>1.04614922</v>
          </cell>
        </row>
        <row r="150">
          <cell r="B150" t="str">
            <v>RC3CO</v>
          </cell>
          <cell r="C150">
            <v>1.0229330299999999</v>
          </cell>
          <cell r="D150">
            <v>1.0231831199999999</v>
          </cell>
          <cell r="E150">
            <v>1.0237667399999999</v>
          </cell>
          <cell r="F150">
            <v>1.02617626</v>
          </cell>
        </row>
        <row r="151">
          <cell r="B151" t="str">
            <v>SXC3O</v>
          </cell>
          <cell r="C151">
            <v>1.0418843600000001</v>
          </cell>
          <cell r="D151">
            <v>1.0418474499999999</v>
          </cell>
          <cell r="E151">
            <v>1.0426073899999999</v>
          </cell>
          <cell r="F151">
            <v>1.04507686</v>
          </cell>
        </row>
        <row r="152">
          <cell r="B152" t="str">
            <v>RC4CO</v>
          </cell>
          <cell r="C152">
            <v>1.0399309699999999</v>
          </cell>
          <cell r="D152">
            <v>1.0398908</v>
          </cell>
          <cell r="E152">
            <v>1.0406574900000001</v>
          </cell>
          <cell r="F152">
            <v>1.04311697</v>
          </cell>
        </row>
        <row r="153">
          <cell r="B153" t="str">
            <v>BF41O</v>
          </cell>
          <cell r="C153">
            <v>1.0326270399999999</v>
          </cell>
          <cell r="D153">
            <v>1.03256036</v>
          </cell>
          <cell r="E153">
            <v>1.0333524999999999</v>
          </cell>
          <cell r="F153">
            <v>1.0357871299999999</v>
          </cell>
        </row>
        <row r="154">
          <cell r="B154" t="str">
            <v>ICC5O</v>
          </cell>
          <cell r="C154">
            <v>1.02720042</v>
          </cell>
          <cell r="D154">
            <v>1.0249474700000001</v>
          </cell>
          <cell r="E154">
            <v>1.0276000000000001</v>
          </cell>
          <cell r="F154">
            <v>1.0298</v>
          </cell>
        </row>
        <row r="155">
          <cell r="B155" t="str">
            <v>BNCXO</v>
          </cell>
          <cell r="C155">
            <v>1.0585499</v>
          </cell>
          <cell r="D155">
            <v>1.05843607</v>
          </cell>
          <cell r="E155">
            <v>1.0595428499999999</v>
          </cell>
          <cell r="F155">
            <v>1.0618552000000001</v>
          </cell>
        </row>
        <row r="156">
          <cell r="B156" t="str">
            <v>NZC1O</v>
          </cell>
          <cell r="C156">
            <v>1.05490405</v>
          </cell>
          <cell r="D156">
            <v>1.05477927</v>
          </cell>
          <cell r="E156">
            <v>1.0559662299999999</v>
          </cell>
          <cell r="F156">
            <v>1.0582192100000001</v>
          </cell>
        </row>
        <row r="157">
          <cell r="B157" t="str">
            <v>SXC6O</v>
          </cell>
          <cell r="C157">
            <v>1.0409401199999999</v>
          </cell>
          <cell r="D157">
            <v>1.0408089199999999</v>
          </cell>
          <cell r="E157">
            <v>1.04203168</v>
          </cell>
          <cell r="F157">
            <v>1.04422477</v>
          </cell>
        </row>
        <row r="158">
          <cell r="B158" t="str">
            <v>BF46O</v>
          </cell>
          <cell r="C158">
            <v>1.0401907500000001</v>
          </cell>
          <cell r="D158">
            <v>1.0400550900000001</v>
          </cell>
          <cell r="E158">
            <v>1.04129808</v>
          </cell>
          <cell r="F158">
            <v>1.0434783599999999</v>
          </cell>
        </row>
        <row r="159">
          <cell r="B159" t="str">
            <v>ICC7O</v>
          </cell>
          <cell r="C159">
            <v>1.0188102699999999</v>
          </cell>
          <cell r="D159">
            <v>1.0186833900000001</v>
          </cell>
          <cell r="E159">
            <v>1.0201025399999999</v>
          </cell>
          <cell r="F159">
            <v>1.0221022900000001</v>
          </cell>
        </row>
        <row r="160">
          <cell r="B160" t="str">
            <v>BNCYO</v>
          </cell>
          <cell r="C160">
            <v>1.01419393</v>
          </cell>
          <cell r="D160">
            <v>1.01407077</v>
          </cell>
          <cell r="E160">
            <v>1.01553128</v>
          </cell>
          <cell r="F160">
            <v>1.0174897199999999</v>
          </cell>
        </row>
        <row r="161">
          <cell r="B161" t="str">
            <v>BYY1O</v>
          </cell>
          <cell r="C161">
            <v>1.02799375</v>
          </cell>
          <cell r="D161">
            <v>1.02785967</v>
          </cell>
          <cell r="E161">
            <v>1.0292133800000001</v>
          </cell>
          <cell r="F161">
            <v>1.03128552</v>
          </cell>
        </row>
        <row r="162">
          <cell r="B162" t="str">
            <v>BF47O</v>
          </cell>
          <cell r="C162">
            <v>1.0242925300000001</v>
          </cell>
          <cell r="D162">
            <v>1.0241639899999999</v>
          </cell>
          <cell r="E162">
            <v>1.02553563</v>
          </cell>
          <cell r="F162">
            <v>1.02758186</v>
          </cell>
        </row>
        <row r="163">
          <cell r="B163" t="str">
            <v>NZC4O</v>
          </cell>
          <cell r="C163">
            <v>0.99809844000000003</v>
          </cell>
          <cell r="D163">
            <v>0.99909999999999999</v>
          </cell>
          <cell r="E163">
            <v>0.99960552000000003</v>
          </cell>
          <cell r="F163">
            <v>1.002</v>
          </cell>
        </row>
        <row r="164">
          <cell r="B164" t="str">
            <v>SXC8O</v>
          </cell>
          <cell r="C164">
            <v>1.04262736</v>
          </cell>
          <cell r="D164">
            <v>1.04262557</v>
          </cell>
          <cell r="E164">
            <v>1.0445905</v>
          </cell>
          <cell r="F164">
            <v>1.0462603100000001</v>
          </cell>
        </row>
        <row r="165">
          <cell r="B165" t="str">
            <v>PWC1O</v>
          </cell>
          <cell r="C165">
            <v>1.0206278499999999</v>
          </cell>
          <cell r="D165">
            <v>1.02066981</v>
          </cell>
          <cell r="E165">
            <v>1.0228161899999999</v>
          </cell>
          <cell r="F165">
            <v>1.0254000000000001</v>
          </cell>
        </row>
        <row r="166">
          <cell r="B166" t="str">
            <v>T661O</v>
          </cell>
          <cell r="C166">
            <v>1.0376017399999999</v>
          </cell>
          <cell r="D166">
            <v>1.03810056</v>
          </cell>
          <cell r="E166">
            <v>1.0384274099999999</v>
          </cell>
          <cell r="F166">
            <v>1.0409014700000001</v>
          </cell>
        </row>
        <row r="167">
          <cell r="B167" t="str">
            <v>PS35O</v>
          </cell>
          <cell r="C167">
            <v>1.0218905899999999</v>
          </cell>
          <cell r="D167">
            <v>1.0223061499999999</v>
          </cell>
          <cell r="E167">
            <v>1.0225028300000001</v>
          </cell>
          <cell r="F167">
            <v>1.02502596</v>
          </cell>
        </row>
        <row r="168">
          <cell r="B168" t="str">
            <v>T671O</v>
          </cell>
          <cell r="C168">
            <v>1.0462758299999999</v>
          </cell>
          <cell r="D168">
            <v>1.0467737100000001</v>
          </cell>
          <cell r="E168">
            <v>1.0468067700000001</v>
          </cell>
          <cell r="F168">
            <v>1.04922439</v>
          </cell>
        </row>
        <row r="169">
          <cell r="B169" t="str">
            <v>PVC6O</v>
          </cell>
          <cell r="C169">
            <v>1.0291127200000001</v>
          </cell>
          <cell r="D169">
            <v>1.0296504200000001</v>
          </cell>
          <cell r="E169">
            <v>1.0297029099999999</v>
          </cell>
          <cell r="F169">
            <v>1.0320201499999999</v>
          </cell>
        </row>
        <row r="170">
          <cell r="B170" t="str">
            <v>DHSLO</v>
          </cell>
          <cell r="C170">
            <v>1.0337551899999999</v>
          </cell>
          <cell r="D170">
            <v>1.0343106</v>
          </cell>
          <cell r="E170">
            <v>1.0355306799999999</v>
          </cell>
          <cell r="F170">
            <v>1.0377476800000001</v>
          </cell>
        </row>
        <row r="171">
          <cell r="B171" t="str">
            <v>DEC3O</v>
          </cell>
          <cell r="C171">
            <v>1.00978598</v>
          </cell>
          <cell r="D171">
            <v>1.0104558699999999</v>
          </cell>
          <cell r="E171">
            <v>1.0119178799999999</v>
          </cell>
          <cell r="F171">
            <v>1.01386971</v>
          </cell>
        </row>
        <row r="173">
          <cell r="B173" t="str">
            <v>Obligaciones Negociables Tasa Fija - Tamar</v>
          </cell>
        </row>
        <row r="175">
          <cell r="B175" t="str">
            <v>DHSNO</v>
          </cell>
          <cell r="C175">
            <v>1.04151094</v>
          </cell>
          <cell r="D175">
            <v>1.0423825200000001</v>
          </cell>
          <cell r="E175">
            <v>1.044184</v>
          </cell>
          <cell r="F175">
            <v>1.0459506700000001</v>
          </cell>
        </row>
        <row r="177">
          <cell r="B177" t="str">
            <v>Obligaciones Negociables UVA</v>
          </cell>
        </row>
        <row r="179">
          <cell r="B179" t="str">
            <v>NZC3O</v>
          </cell>
          <cell r="C179">
            <v>2116.3930080199998</v>
          </cell>
          <cell r="D179">
            <v>2113.8288562500002</v>
          </cell>
          <cell r="E179">
            <v>2118.5280772699998</v>
          </cell>
          <cell r="F179">
            <v>2121.5238482999998</v>
          </cell>
        </row>
        <row r="180">
          <cell r="B180" t="str">
            <v>COC5O</v>
          </cell>
          <cell r="C180">
            <v>2141.0043724500001</v>
          </cell>
          <cell r="D180">
            <v>2140.5396022999998</v>
          </cell>
          <cell r="E180">
            <v>2146.28289739</v>
          </cell>
          <cell r="F180">
            <v>2149.3259518099999</v>
          </cell>
        </row>
        <row r="181">
          <cell r="B181" t="str">
            <v>SNSDP</v>
          </cell>
          <cell r="C181">
            <v>728.29265477000001</v>
          </cell>
          <cell r="D181">
            <v>728.78515178999999</v>
          </cell>
          <cell r="E181">
            <v>729.26271441999995</v>
          </cell>
          <cell r="F181">
            <v>729.89396164000004</v>
          </cell>
        </row>
        <row r="183">
          <cell r="B183" t="str">
            <v>Obligaciones Negociables Hard USD - LA</v>
          </cell>
        </row>
        <row r="185">
          <cell r="B185" t="str">
            <v>VE2LD</v>
          </cell>
          <cell r="C185">
            <v>0.99514579999999997</v>
          </cell>
          <cell r="D185">
            <v>0.99501465</v>
          </cell>
          <cell r="E185">
            <v>0.99539613999999998</v>
          </cell>
          <cell r="F185">
            <v>0.99684158</v>
          </cell>
        </row>
        <row r="186">
          <cell r="B186" t="str">
            <v>NA1LD</v>
          </cell>
          <cell r="C186">
            <v>0.97171328999999995</v>
          </cell>
          <cell r="D186">
            <v>0.97134748000000004</v>
          </cell>
          <cell r="E186">
            <v>0.97145917000000004</v>
          </cell>
          <cell r="F186">
            <v>0.97331555999999997</v>
          </cell>
        </row>
        <row r="187">
          <cell r="B187" t="str">
            <v>OR1LD</v>
          </cell>
          <cell r="C187">
            <v>0.98406587999999995</v>
          </cell>
          <cell r="D187">
            <v>0.98376483000000003</v>
          </cell>
          <cell r="E187">
            <v>0.98370358000000002</v>
          </cell>
          <cell r="F187">
            <v>0.98546233000000005</v>
          </cell>
        </row>
        <row r="188">
          <cell r="B188" t="str">
            <v>HJCFD</v>
          </cell>
          <cell r="C188">
            <v>1.0245947500000001</v>
          </cell>
          <cell r="D188">
            <v>1.0247494100000001</v>
          </cell>
          <cell r="E188">
            <v>1.0265</v>
          </cell>
          <cell r="F188">
            <v>1.02494372</v>
          </cell>
        </row>
        <row r="189">
          <cell r="B189" t="str">
            <v>BYCWD</v>
          </cell>
          <cell r="C189">
            <v>1.0293151300000001</v>
          </cell>
          <cell r="D189">
            <v>1.0299484400000001</v>
          </cell>
          <cell r="E189">
            <v>1.03051501</v>
          </cell>
          <cell r="F189">
            <v>1.0325</v>
          </cell>
        </row>
        <row r="190">
          <cell r="B190" t="str">
            <v>BYCXD</v>
          </cell>
          <cell r="C190">
            <v>1.0225602499999999</v>
          </cell>
          <cell r="D190">
            <v>1.0234306500000001</v>
          </cell>
          <cell r="E190">
            <v>1.0242492000000001</v>
          </cell>
          <cell r="F190">
            <v>1.0233189199999999</v>
          </cell>
        </row>
        <row r="191">
          <cell r="B191" t="str">
            <v>YM41D</v>
          </cell>
          <cell r="C191">
            <v>1.00259959</v>
          </cell>
          <cell r="D191">
            <v>1.0035715000000001</v>
          </cell>
          <cell r="E191">
            <v>1.00450185</v>
          </cell>
          <cell r="F191">
            <v>1.0037122700000001</v>
          </cell>
        </row>
        <row r="192">
          <cell r="B192" t="str">
            <v>YM37D</v>
          </cell>
          <cell r="C192">
            <v>1.0369999999999999</v>
          </cell>
          <cell r="D192">
            <v>1.0299739699999999</v>
          </cell>
          <cell r="E192">
            <v>1.03122724</v>
          </cell>
          <cell r="F192">
            <v>1.02821992</v>
          </cell>
        </row>
        <row r="193">
          <cell r="B193" t="str">
            <v>YFCMD</v>
          </cell>
          <cell r="C193">
            <v>1.0221838000000001</v>
          </cell>
          <cell r="D193">
            <v>1.0232400699999999</v>
          </cell>
          <cell r="E193">
            <v>1.024551</v>
          </cell>
          <cell r="F193">
            <v>1.0236523399999999</v>
          </cell>
        </row>
        <row r="194">
          <cell r="B194" t="str">
            <v>PFC2D</v>
          </cell>
          <cell r="C194">
            <v>1.0423038600000001</v>
          </cell>
          <cell r="D194">
            <v>1.04314967</v>
          </cell>
          <cell r="E194">
            <v>1.0444200400000001</v>
          </cell>
          <cell r="F194">
            <v>1.04385847</v>
          </cell>
        </row>
        <row r="195">
          <cell r="B195" t="str">
            <v>YM38D</v>
          </cell>
          <cell r="C195">
            <v>1.0470015800000001</v>
          </cell>
          <cell r="D195">
            <v>1.0477477399999999</v>
          </cell>
          <cell r="E195">
            <v>1.0459410099999999</v>
          </cell>
          <cell r="F195">
            <v>1.04539563</v>
          </cell>
        </row>
        <row r="196">
          <cell r="B196" t="str">
            <v>BYZ1D</v>
          </cell>
          <cell r="C196">
            <v>1.0005840699999999</v>
          </cell>
          <cell r="D196">
            <v>1.0013007599999999</v>
          </cell>
          <cell r="E196">
            <v>1.0024897399999999</v>
          </cell>
          <cell r="F196">
            <v>1.00213459</v>
          </cell>
        </row>
        <row r="197">
          <cell r="B197" t="str">
            <v>PN38D</v>
          </cell>
          <cell r="C197">
            <v>1.0308263799999999</v>
          </cell>
          <cell r="D197">
            <v>1.0315222900000001</v>
          </cell>
          <cell r="E197">
            <v>1.0327240200000001</v>
          </cell>
          <cell r="F197">
            <v>1.0324341399999999</v>
          </cell>
        </row>
        <row r="198">
          <cell r="B198" t="str">
            <v>BF40D</v>
          </cell>
          <cell r="C198">
            <v>1.0137636800000001</v>
          </cell>
          <cell r="D198">
            <v>1.0143572599999999</v>
          </cell>
          <cell r="E198">
            <v>1.0154980499999999</v>
          </cell>
          <cell r="F198">
            <v>1.01538164</v>
          </cell>
        </row>
        <row r="199">
          <cell r="B199" t="str">
            <v>PN34D</v>
          </cell>
          <cell r="C199">
            <v>1.0087545099999999</v>
          </cell>
          <cell r="D199">
            <v>1.0091613800000001</v>
          </cell>
          <cell r="E199">
            <v>1.0101973200000001</v>
          </cell>
          <cell r="F199">
            <v>1.0104149099999999</v>
          </cell>
        </row>
        <row r="200">
          <cell r="B200" t="str">
            <v>TTCBD</v>
          </cell>
          <cell r="C200">
            <v>1.0532644099999999</v>
          </cell>
          <cell r="D200">
            <v>1.05355172</v>
          </cell>
          <cell r="E200">
            <v>1.0250121599999999</v>
          </cell>
          <cell r="F200">
            <v>1.0223817900000001</v>
          </cell>
        </row>
        <row r="201">
          <cell r="B201" t="str">
            <v>TTC8D</v>
          </cell>
          <cell r="C201">
            <v>1.0298588</v>
          </cell>
          <cell r="D201">
            <v>1.0300940999999999</v>
          </cell>
          <cell r="E201">
            <v>1.0310238300000001</v>
          </cell>
          <cell r="F201">
            <v>1.03155405</v>
          </cell>
        </row>
        <row r="202">
          <cell r="B202" t="str">
            <v>PLC1D</v>
          </cell>
          <cell r="C202">
            <v>1.044028</v>
          </cell>
          <cell r="D202">
            <v>1.0436826800000001</v>
          </cell>
          <cell r="E202">
            <v>1.0441870600000001</v>
          </cell>
          <cell r="F202">
            <v>1.0435000000000001</v>
          </cell>
        </row>
        <row r="203">
          <cell r="B203" t="str">
            <v>PLC3D</v>
          </cell>
          <cell r="C203">
            <v>1.0400070299999999</v>
          </cell>
          <cell r="D203">
            <v>1.0476852999999999</v>
          </cell>
          <cell r="E203">
            <v>1.04769753</v>
          </cell>
          <cell r="F203">
            <v>1.05016226</v>
          </cell>
        </row>
        <row r="204">
          <cell r="B204" t="str">
            <v>BF44D</v>
          </cell>
          <cell r="C204">
            <v>1.02158723</v>
          </cell>
          <cell r="D204">
            <v>1.0206825399999999</v>
          </cell>
          <cell r="E204">
            <v>1.02062192</v>
          </cell>
          <cell r="F204">
            <v>1.0231387599999999</v>
          </cell>
        </row>
        <row r="205">
          <cell r="B205" t="str">
            <v>YM40D</v>
          </cell>
          <cell r="C205">
            <v>1.05044348</v>
          </cell>
          <cell r="D205">
            <v>1.04916962</v>
          </cell>
          <cell r="E205">
            <v>1.0485289</v>
          </cell>
          <cell r="F205">
            <v>1.0517149100000001</v>
          </cell>
        </row>
        <row r="206">
          <cell r="B206" t="str">
            <v>YMCZD</v>
          </cell>
          <cell r="C206">
            <v>1.06718476</v>
          </cell>
          <cell r="D206">
            <v>1.0657199500000001</v>
          </cell>
          <cell r="E206">
            <v>1.06474717</v>
          </cell>
          <cell r="F206">
            <v>1.0680502199999999</v>
          </cell>
        </row>
        <row r="207">
          <cell r="B207" t="str">
            <v>YMCYD</v>
          </cell>
          <cell r="C207">
            <v>1.0245205799999999</v>
          </cell>
          <cell r="D207">
            <v>1.0230878699999999</v>
          </cell>
          <cell r="E207">
            <v>1.01851012</v>
          </cell>
          <cell r="F207">
            <v>1.01898738</v>
          </cell>
        </row>
        <row r="208">
          <cell r="B208" t="str">
            <v>GN47D</v>
          </cell>
          <cell r="C208">
            <v>1.0410913799999999</v>
          </cell>
          <cell r="D208">
            <v>1.03973067</v>
          </cell>
          <cell r="E208">
            <v>1.0388047600000001</v>
          </cell>
          <cell r="F208">
            <v>1.0120551</v>
          </cell>
        </row>
        <row r="209">
          <cell r="B209" t="str">
            <v>YFCLD</v>
          </cell>
          <cell r="C209">
            <v>1.0431683700000001</v>
          </cell>
          <cell r="D209">
            <v>1.04179154</v>
          </cell>
          <cell r="E209">
            <v>1.0406905</v>
          </cell>
          <cell r="F209">
            <v>1.0440216499999999</v>
          </cell>
        </row>
        <row r="210">
          <cell r="B210" t="str">
            <v>YFCOD</v>
          </cell>
          <cell r="C210">
            <v>1.03358211</v>
          </cell>
          <cell r="D210">
            <v>1.0322310400000001</v>
          </cell>
          <cell r="E210">
            <v>1.0310334800000001</v>
          </cell>
          <cell r="F210">
            <v>1.0343547</v>
          </cell>
        </row>
        <row r="211">
          <cell r="B211" t="str">
            <v>PLC6D</v>
          </cell>
          <cell r="C211">
            <v>1.0599897</v>
          </cell>
          <cell r="D211">
            <v>1.05878662</v>
          </cell>
          <cell r="E211">
            <v>1.05696305</v>
          </cell>
          <cell r="F211">
            <v>1.06038619</v>
          </cell>
        </row>
        <row r="212">
          <cell r="B212" t="str">
            <v>YM42D</v>
          </cell>
          <cell r="C212">
            <v>1.0489861</v>
          </cell>
          <cell r="D212">
            <v>1.0481399199999999</v>
          </cell>
          <cell r="E212">
            <v>1.0479981300000001</v>
          </cell>
          <cell r="F212">
            <v>1.0500079200000001</v>
          </cell>
        </row>
        <row r="213">
          <cell r="B213" t="str">
            <v>TLCUD</v>
          </cell>
          <cell r="C213">
            <v>1.02600146</v>
          </cell>
          <cell r="D213">
            <v>1.02480635</v>
          </cell>
          <cell r="E213">
            <v>1.02325087</v>
          </cell>
          <cell r="F213">
            <v>1.0189999999999999</v>
          </cell>
        </row>
        <row r="214">
          <cell r="B214" t="str">
            <v>OLC6D</v>
          </cell>
          <cell r="C214">
            <v>1.0688995999999999</v>
          </cell>
          <cell r="D214">
            <v>1.06812244</v>
          </cell>
          <cell r="E214">
            <v>1.0662363500000001</v>
          </cell>
          <cell r="F214">
            <v>1.06869093</v>
          </cell>
        </row>
        <row r="215">
          <cell r="B215" t="str">
            <v>T672D</v>
          </cell>
          <cell r="C215">
            <v>1.00491715</v>
          </cell>
          <cell r="D215">
            <v>1.0074080599999999</v>
          </cell>
          <cell r="E215">
            <v>1.00805334</v>
          </cell>
          <cell r="F215">
            <v>1.00890244</v>
          </cell>
        </row>
        <row r="216">
          <cell r="B216" t="str">
            <v>CS48D</v>
          </cell>
          <cell r="C216">
            <v>1.06750634</v>
          </cell>
          <cell r="D216">
            <v>1.06635708</v>
          </cell>
          <cell r="E216">
            <v>1.0659785100000001</v>
          </cell>
          <cell r="F216">
            <v>1.0689649800000001</v>
          </cell>
        </row>
        <row r="217">
          <cell r="B217" t="str">
            <v>CS47D</v>
          </cell>
          <cell r="C217">
            <v>1.0595677999999999</v>
          </cell>
          <cell r="D217">
            <v>1.05819804</v>
          </cell>
          <cell r="E217">
            <v>1.0571389200000001</v>
          </cell>
          <cell r="F217">
            <v>1.0605121399999999</v>
          </cell>
        </row>
        <row r="218">
          <cell r="B218" t="str">
            <v>ZZC1D</v>
          </cell>
          <cell r="C218">
            <v>1.0195247999999999</v>
          </cell>
          <cell r="D218">
            <v>1.02207044</v>
          </cell>
          <cell r="E218">
            <v>1.02272831</v>
          </cell>
          <cell r="F218">
            <v>1.02359807</v>
          </cell>
        </row>
        <row r="219">
          <cell r="B219" t="str">
            <v>BVCUD</v>
          </cell>
          <cell r="C219">
            <v>0.99423132000000003</v>
          </cell>
          <cell r="D219">
            <v>0.99744323999999995</v>
          </cell>
          <cell r="E219">
            <v>0.99798759999999997</v>
          </cell>
          <cell r="F219">
            <v>0.99862304000000002</v>
          </cell>
        </row>
        <row r="220">
          <cell r="B220" t="str">
            <v>JNC6D</v>
          </cell>
          <cell r="C220">
            <v>1.01300762</v>
          </cell>
          <cell r="D220">
            <v>1.01714434</v>
          </cell>
          <cell r="E220">
            <v>1.0168476900000001</v>
          </cell>
          <cell r="F220">
            <v>1.01984681</v>
          </cell>
        </row>
        <row r="221">
          <cell r="B221" t="str">
            <v>HVS1D</v>
          </cell>
          <cell r="C221">
            <v>1.00297619</v>
          </cell>
          <cell r="D221">
            <v>1.00822021</v>
          </cell>
          <cell r="E221">
            <v>1.00557399</v>
          </cell>
          <cell r="F221">
            <v>1.0128514200000001</v>
          </cell>
        </row>
        <row r="222">
          <cell r="B222" t="str">
            <v>TGCHD</v>
          </cell>
          <cell r="C222">
            <v>9.9999999999999995E-8</v>
          </cell>
          <cell r="D222">
            <v>9.9999999999999995E-8</v>
          </cell>
          <cell r="E222">
            <v>9.9999999999999995E-8</v>
          </cell>
          <cell r="F222">
            <v>9.9999999999999995E-8</v>
          </cell>
        </row>
        <row r="224">
          <cell r="B224" t="str">
            <v>Obligaciones Negociables Hard USD - LA - Contra $</v>
          </cell>
        </row>
        <row r="226">
          <cell r="B226" t="str">
            <v>VES2L</v>
          </cell>
          <cell r="C226">
            <v>1564.0058809899999</v>
          </cell>
          <cell r="D226">
            <v>1572.3514012400001</v>
          </cell>
          <cell r="E226">
            <v>1560.9477959000001</v>
          </cell>
          <cell r="F226">
            <v>1566.9642007299999</v>
          </cell>
        </row>
        <row r="227">
          <cell r="B227" t="str">
            <v>NAS1L</v>
          </cell>
          <cell r="C227">
            <v>1532.01550789</v>
          </cell>
          <cell r="D227">
            <v>1541.5381066299999</v>
          </cell>
          <cell r="E227">
            <v>1531.2018898900001</v>
          </cell>
          <cell r="F227">
            <v>1538.08843374</v>
          </cell>
        </row>
        <row r="228">
          <cell r="B228" t="str">
            <v>ORS1L</v>
          </cell>
          <cell r="C228">
            <v>1553.90771924</v>
          </cell>
          <cell r="D228">
            <v>1563.08569878</v>
          </cell>
          <cell r="E228">
            <v>1553.86025208</v>
          </cell>
          <cell r="F228">
            <v>1562.7738204100001</v>
          </cell>
        </row>
        <row r="229">
          <cell r="B229" t="str">
            <v>HJCFO</v>
          </cell>
          <cell r="C229">
            <v>1577.52759842</v>
          </cell>
          <cell r="D229">
            <v>1573.38653568</v>
          </cell>
          <cell r="E229">
            <v>1570.18681109</v>
          </cell>
          <cell r="F229">
            <v>1573.1</v>
          </cell>
        </row>
        <row r="230">
          <cell r="B230" t="str">
            <v>BYCWO</v>
          </cell>
          <cell r="C230">
            <v>1590</v>
          </cell>
          <cell r="D230">
            <v>1593</v>
          </cell>
          <cell r="E230">
            <v>1576.06733891</v>
          </cell>
          <cell r="F230">
            <v>1589</v>
          </cell>
        </row>
        <row r="231">
          <cell r="B231" t="str">
            <v>BYCXO</v>
          </cell>
          <cell r="C231">
            <v>1575.6165328300001</v>
          </cell>
          <cell r="D231">
            <v>1573.7283206100001</v>
          </cell>
          <cell r="E231">
            <v>1564.8672031200001</v>
          </cell>
          <cell r="F231">
            <v>1579.01579515</v>
          </cell>
        </row>
        <row r="232">
          <cell r="B232" t="str">
            <v>YM41O</v>
          </cell>
          <cell r="C232">
            <v>1543.58743314</v>
          </cell>
          <cell r="D232">
            <v>1542.1488781200001</v>
          </cell>
          <cell r="E232">
            <v>1533.02031771</v>
          </cell>
          <cell r="F232">
            <v>1538.8609294800001</v>
          </cell>
        </row>
        <row r="233">
          <cell r="B233" t="str">
            <v>YM37O</v>
          </cell>
          <cell r="C233">
            <v>1576.2065465000001</v>
          </cell>
          <cell r="D233">
            <v>1578.6353365699999</v>
          </cell>
          <cell r="E233">
            <v>1564.6174104500001</v>
          </cell>
          <cell r="F233">
            <v>1583.9415953499999</v>
          </cell>
        </row>
        <row r="234">
          <cell r="B234" t="str">
            <v>YFCMO</v>
          </cell>
          <cell r="C234">
            <v>1579.1791371899999</v>
          </cell>
          <cell r="D234">
            <v>1582.0127234700001</v>
          </cell>
          <cell r="E234">
            <v>1567.60753649</v>
          </cell>
          <cell r="F234">
            <v>1572.64249909</v>
          </cell>
        </row>
        <row r="235">
          <cell r="B235" t="str">
            <v>PFC2O</v>
          </cell>
          <cell r="C235">
            <v>1602.9202170200001</v>
          </cell>
          <cell r="D235">
            <v>1607.58785642</v>
          </cell>
          <cell r="E235">
            <v>1574</v>
          </cell>
          <cell r="F235">
            <v>1580.5</v>
          </cell>
        </row>
        <row r="236">
          <cell r="B236" t="str">
            <v>YM38O</v>
          </cell>
          <cell r="C236">
            <v>1613.6031400899999</v>
          </cell>
          <cell r="D236">
            <v>1618.30855948</v>
          </cell>
          <cell r="E236">
            <v>1602.95733984</v>
          </cell>
          <cell r="F236">
            <v>1607.4748752999999</v>
          </cell>
        </row>
        <row r="237">
          <cell r="B237" t="str">
            <v>BYZ1O</v>
          </cell>
          <cell r="C237">
            <v>1538.14060485</v>
          </cell>
          <cell r="D237">
            <v>1543.3297003</v>
          </cell>
          <cell r="E237">
            <v>1528.43342405</v>
          </cell>
          <cell r="F237">
            <v>1532.7186010800001</v>
          </cell>
        </row>
        <row r="238">
          <cell r="B238" t="str">
            <v>PN38O</v>
          </cell>
          <cell r="C238">
            <v>1584.4094779899999</v>
          </cell>
          <cell r="D238">
            <v>1589.9483668299999</v>
          </cell>
          <cell r="E238">
            <v>1574.64199263</v>
          </cell>
          <cell r="F238">
            <v>1579.0067168999999</v>
          </cell>
        </row>
        <row r="239">
          <cell r="B239" t="str">
            <v>BF40O</v>
          </cell>
          <cell r="C239">
            <v>1557.6550982199999</v>
          </cell>
          <cell r="D239">
            <v>1563.6383714399999</v>
          </cell>
          <cell r="E239">
            <v>1548.5510297599999</v>
          </cell>
          <cell r="F239">
            <v>1552.71943149</v>
          </cell>
        </row>
        <row r="240">
          <cell r="B240" t="str">
            <v>TTCBO</v>
          </cell>
          <cell r="C240">
            <v>1616.7872359099999</v>
          </cell>
          <cell r="D240">
            <v>1624.1603766600001</v>
          </cell>
          <cell r="E240">
            <v>1559.2390389699999</v>
          </cell>
          <cell r="F240">
            <v>1563.1560132</v>
          </cell>
        </row>
        <row r="241">
          <cell r="B241" t="str">
            <v>TTC8O</v>
          </cell>
          <cell r="C241">
            <v>1580.5696693800001</v>
          </cell>
          <cell r="D241">
            <v>1588.09962023</v>
          </cell>
          <cell r="E241">
            <v>1578</v>
          </cell>
          <cell r="F241">
            <v>1577.3489235100001</v>
          </cell>
        </row>
        <row r="242">
          <cell r="B242" t="str">
            <v>PLC1O</v>
          </cell>
          <cell r="C242">
            <v>1599.5166593199999</v>
          </cell>
          <cell r="D242">
            <v>1609.2516972999999</v>
          </cell>
          <cell r="E242">
            <v>1595.88845913</v>
          </cell>
          <cell r="F242">
            <v>1625.4002305399999</v>
          </cell>
        </row>
        <row r="243">
          <cell r="B243" t="str">
            <v>BF44O</v>
          </cell>
          <cell r="C243">
            <v>1562.48606786</v>
          </cell>
          <cell r="D243">
            <v>1573.8652325800001</v>
          </cell>
          <cell r="E243">
            <v>1563.09364822</v>
          </cell>
          <cell r="F243">
            <v>1568.16205582</v>
          </cell>
        </row>
        <row r="244">
          <cell r="B244" t="str">
            <v>YM40O</v>
          </cell>
          <cell r="C244">
            <v>1605.8938536799999</v>
          </cell>
          <cell r="D244">
            <v>1618.53126084</v>
          </cell>
          <cell r="E244">
            <v>1610.28299414</v>
          </cell>
          <cell r="F244">
            <v>1618.1269284499999</v>
          </cell>
        </row>
        <row r="245">
          <cell r="B245" t="str">
            <v>YMCZO</v>
          </cell>
          <cell r="C245">
            <v>1576.89196167</v>
          </cell>
          <cell r="D245">
            <v>1589.7948576199999</v>
          </cell>
          <cell r="E245">
            <v>1582.89006101</v>
          </cell>
          <cell r="F245">
            <v>1592.1373707600001</v>
          </cell>
        </row>
        <row r="246">
          <cell r="B246" t="str">
            <v>YMCYO</v>
          </cell>
          <cell r="C246">
            <v>1555.5539013099999</v>
          </cell>
          <cell r="D246">
            <v>1568.2006222099999</v>
          </cell>
          <cell r="E246">
            <v>1561.42868914</v>
          </cell>
          <cell r="F246">
            <v>1570.5712161700001</v>
          </cell>
        </row>
        <row r="247">
          <cell r="B247" t="str">
            <v>GN47O</v>
          </cell>
          <cell r="C247">
            <v>1590.3859474400001</v>
          </cell>
          <cell r="D247">
            <v>1603.01082253</v>
          </cell>
          <cell r="E247">
            <v>1596.4474352899999</v>
          </cell>
          <cell r="F247">
            <v>1559.7497114800001</v>
          </cell>
        </row>
        <row r="248">
          <cell r="B248" t="str">
            <v>YFCLO</v>
          </cell>
          <cell r="C248">
            <v>1584.15074018</v>
          </cell>
          <cell r="D248">
            <v>1596.8834261300001</v>
          </cell>
          <cell r="E248">
            <v>1591.1355220200001</v>
          </cell>
          <cell r="F248">
            <v>1602.05786872</v>
          </cell>
        </row>
        <row r="249">
          <cell r="B249" t="str">
            <v>YFCOO</v>
          </cell>
          <cell r="C249">
            <v>1577.3578955200001</v>
          </cell>
          <cell r="D249">
            <v>1590.06847911</v>
          </cell>
          <cell r="E249">
            <v>1584.95079403</v>
          </cell>
          <cell r="F249">
            <v>1596.86256263</v>
          </cell>
        </row>
        <row r="250">
          <cell r="B250" t="str">
            <v>PLC6O</v>
          </cell>
          <cell r="C250">
            <v>1619.9688255599999</v>
          </cell>
          <cell r="D250">
            <v>1632.26641307</v>
          </cell>
          <cell r="E250">
            <v>1628.95210339</v>
          </cell>
          <cell r="F250">
            <v>1644.7850358000001</v>
          </cell>
        </row>
        <row r="251">
          <cell r="B251" t="str">
            <v>YM42O</v>
          </cell>
          <cell r="C251">
            <v>1614.86155555</v>
          </cell>
          <cell r="D251">
            <v>1604.9330380399999</v>
          </cell>
          <cell r="E251">
            <v>1610.9999463900001</v>
          </cell>
          <cell r="F251">
            <v>1615.29380952</v>
          </cell>
        </row>
        <row r="252">
          <cell r="B252" t="str">
            <v>TLCUO</v>
          </cell>
          <cell r="C252">
            <v>1567.7044049399999</v>
          </cell>
          <cell r="D252">
            <v>1580.0703430399999</v>
          </cell>
          <cell r="E252">
            <v>1577.0795183</v>
          </cell>
          <cell r="F252">
            <v>1593.11174267</v>
          </cell>
        </row>
        <row r="253">
          <cell r="B253" t="str">
            <v>OLC6O</v>
          </cell>
          <cell r="C253">
            <v>1635.2485359</v>
          </cell>
          <cell r="D253">
            <v>1646.7632024899999</v>
          </cell>
          <cell r="E253">
            <v>1645.6116681599999</v>
          </cell>
          <cell r="F253">
            <v>1667.72205958</v>
          </cell>
        </row>
        <row r="254">
          <cell r="B254" t="str">
            <v>T672O</v>
          </cell>
          <cell r="C254">
            <v>1551.6059846400001</v>
          </cell>
          <cell r="D254">
            <v>1551.6063739000001</v>
          </cell>
          <cell r="E254">
            <v>1540.1068363300001</v>
          </cell>
          <cell r="F254">
            <v>1545.8172713599999</v>
          </cell>
        </row>
        <row r="255">
          <cell r="B255" t="str">
            <v>CS48O</v>
          </cell>
          <cell r="C255">
            <v>1631.7964967099999</v>
          </cell>
          <cell r="D255">
            <v>1644.2466402699999</v>
          </cell>
          <cell r="E255">
            <v>1634.51918596</v>
          </cell>
          <cell r="F255">
            <v>1641.1437293500001</v>
          </cell>
        </row>
        <row r="256">
          <cell r="B256" t="str">
            <v>CS47O</v>
          </cell>
          <cell r="C256">
            <v>1618.65256905</v>
          </cell>
          <cell r="D256">
            <v>1631.4691969099999</v>
          </cell>
          <cell r="E256">
            <v>1625.4393666999999</v>
          </cell>
          <cell r="F256">
            <v>1636.2458411699999</v>
          </cell>
        </row>
        <row r="257">
          <cell r="B257" t="str">
            <v>ZZC1O</v>
          </cell>
          <cell r="C257">
            <v>1574.1928343500001</v>
          </cell>
          <cell r="D257">
            <v>1574.23095754</v>
          </cell>
          <cell r="E257">
            <v>1562.49443148</v>
          </cell>
          <cell r="F257">
            <v>1568.2904765000001</v>
          </cell>
        </row>
        <row r="258">
          <cell r="B258" t="str">
            <v>BVCUO</v>
          </cell>
          <cell r="C258">
            <v>1534.9628493299999</v>
          </cell>
          <cell r="D258">
            <v>1537.41154106</v>
          </cell>
          <cell r="E258">
            <v>1523.77808181</v>
          </cell>
          <cell r="F258">
            <v>1529.1378261299999</v>
          </cell>
        </row>
        <row r="259">
          <cell r="B259" t="str">
            <v>JNC6O</v>
          </cell>
          <cell r="C259">
            <v>1562.8571523799999</v>
          </cell>
          <cell r="D259">
            <v>1570.0112305</v>
          </cell>
          <cell r="E259">
            <v>1555.1862982600001</v>
          </cell>
          <cell r="F259">
            <v>1559.5519923500001</v>
          </cell>
        </row>
        <row r="260">
          <cell r="B260" t="str">
            <v>HVS1O</v>
          </cell>
          <cell r="C260">
            <v>1545.8633847900001</v>
          </cell>
          <cell r="D260">
            <v>1557.805728</v>
          </cell>
          <cell r="E260">
            <v>1548.60914583</v>
          </cell>
          <cell r="F260">
            <v>1555.2164050900001</v>
          </cell>
        </row>
        <row r="261">
          <cell r="B261" t="str">
            <v>TGCHO</v>
          </cell>
          <cell r="C261">
            <v>0</v>
          </cell>
          <cell r="D261">
            <v>0</v>
          </cell>
          <cell r="E261">
            <v>9.9999999999999995E-8</v>
          </cell>
          <cell r="F261">
            <v>9.9999999999999995E-8</v>
          </cell>
        </row>
        <row r="263">
          <cell r="B263" t="str">
            <v>Obligaciones Negociables Hard USD - LE</v>
          </cell>
        </row>
        <row r="265">
          <cell r="B265" t="str">
            <v>PNDCD</v>
          </cell>
          <cell r="C265">
            <v>0.43084436999999998</v>
          </cell>
          <cell r="D265">
            <v>0.43164021000000002</v>
          </cell>
          <cell r="E265">
            <v>0.43170298000000001</v>
          </cell>
          <cell r="F265">
            <v>0.43170924999999999</v>
          </cell>
        </row>
        <row r="266">
          <cell r="B266" t="str">
            <v>YCAMD</v>
          </cell>
          <cell r="C266">
            <v>1.0793749699999999</v>
          </cell>
          <cell r="D266">
            <v>1.08439069</v>
          </cell>
          <cell r="E266">
            <v>1.0851238000000001</v>
          </cell>
          <cell r="F266">
            <v>1.0860500900000001</v>
          </cell>
        </row>
        <row r="267">
          <cell r="B267" t="str">
            <v>AER4D</v>
          </cell>
          <cell r="C267">
            <v>0.76981931000000003</v>
          </cell>
          <cell r="D267">
            <v>0.77459822</v>
          </cell>
          <cell r="E267">
            <v>0.77552712999999995</v>
          </cell>
          <cell r="F267">
            <v>0.77631850999999996</v>
          </cell>
        </row>
        <row r="268">
          <cell r="B268" t="str">
            <v>YMCID</v>
          </cell>
          <cell r="C268">
            <v>0.95326432000000005</v>
          </cell>
          <cell r="D268">
            <v>0.95414409</v>
          </cell>
          <cell r="E268">
            <v>0.96196649000000001</v>
          </cell>
          <cell r="F268">
            <v>0.96089866000000002</v>
          </cell>
        </row>
        <row r="269">
          <cell r="B269" t="str">
            <v>BYCHD</v>
          </cell>
          <cell r="C269">
            <v>1.0826337399999999</v>
          </cell>
          <cell r="D269">
            <v>1.0912477937510801</v>
          </cell>
          <cell r="E269">
            <v>1.0930719652215399</v>
          </cell>
          <cell r="F269">
            <v>1.0945497099999999</v>
          </cell>
        </row>
        <row r="270">
          <cell r="B270" t="str">
            <v>YMCUD</v>
          </cell>
          <cell r="C270">
            <v>1.01100031</v>
          </cell>
          <cell r="D270">
            <v>1.0179880699999999</v>
          </cell>
          <cell r="E270">
            <v>1.0196289700000001</v>
          </cell>
          <cell r="F270">
            <v>1.0204822</v>
          </cell>
        </row>
        <row r="271">
          <cell r="B271" t="str">
            <v>YMC1D</v>
          </cell>
          <cell r="C271">
            <v>1.1151493100000001</v>
          </cell>
          <cell r="D271">
            <v>1.1244573099999999</v>
          </cell>
          <cell r="E271">
            <v>1.1267161299999999</v>
          </cell>
          <cell r="F271">
            <v>1.1279593400000001</v>
          </cell>
        </row>
        <row r="272">
          <cell r="B272" t="str">
            <v>ARC1D</v>
          </cell>
          <cell r="C272">
            <v>1.0718163199999999</v>
          </cell>
          <cell r="D272">
            <v>1.0798014300000001</v>
          </cell>
          <cell r="E272">
            <v>1.08184904</v>
          </cell>
          <cell r="F272">
            <v>1.0826493100000001</v>
          </cell>
        </row>
        <row r="273">
          <cell r="B273" t="str">
            <v>TTCDD</v>
          </cell>
          <cell r="C273">
            <v>1.0885</v>
          </cell>
          <cell r="D273">
            <v>1.0900512</v>
          </cell>
          <cell r="E273">
            <v>1.0935317899999999</v>
          </cell>
          <cell r="F273">
            <v>1.0945</v>
          </cell>
        </row>
        <row r="274">
          <cell r="B274" t="str">
            <v>YMCXD</v>
          </cell>
          <cell r="C274">
            <v>1.0868810600000001</v>
          </cell>
          <cell r="D274">
            <v>1.0890453</v>
          </cell>
          <cell r="E274">
            <v>1.0906684200000001</v>
          </cell>
          <cell r="F274">
            <v>1.09914058</v>
          </cell>
        </row>
        <row r="275">
          <cell r="B275" t="str">
            <v>PNXCD</v>
          </cell>
          <cell r="C275">
            <v>1.1084459099999999</v>
          </cell>
          <cell r="D275">
            <v>1.11737555</v>
          </cell>
          <cell r="E275">
            <v>1.1202698900000001</v>
          </cell>
          <cell r="F275">
            <v>1.1203626600000001</v>
          </cell>
        </row>
        <row r="276">
          <cell r="B276" t="str">
            <v>PLC5D</v>
          </cell>
          <cell r="C276">
            <v>1.09001697</v>
          </cell>
          <cell r="D276">
            <v>1.0946808400000001</v>
          </cell>
          <cell r="E276">
            <v>1.0975870999999999</v>
          </cell>
          <cell r="F276">
            <v>1.0976373100000001</v>
          </cell>
        </row>
        <row r="277">
          <cell r="B277" t="str">
            <v>TSC3D</v>
          </cell>
          <cell r="C277">
            <v>1.085574</v>
          </cell>
          <cell r="D277">
            <v>1.09446431</v>
          </cell>
          <cell r="E277">
            <v>1.09744953</v>
          </cell>
          <cell r="F277">
            <v>1.0974056000000001</v>
          </cell>
        </row>
        <row r="278">
          <cell r="B278" t="str">
            <v>YFCJD</v>
          </cell>
          <cell r="C278">
            <v>1.08450118</v>
          </cell>
          <cell r="D278">
            <v>1.0864000300000001</v>
          </cell>
          <cell r="E278">
            <v>1.04998645</v>
          </cell>
          <cell r="F278">
            <v>1.0497772700000001</v>
          </cell>
        </row>
        <row r="279">
          <cell r="B279" t="str">
            <v>MGCMD</v>
          </cell>
          <cell r="C279">
            <v>1.0917025899999999</v>
          </cell>
          <cell r="D279">
            <v>1.0825</v>
          </cell>
          <cell r="E279">
            <v>1.06108117</v>
          </cell>
          <cell r="F279">
            <v>1.0609363106699199</v>
          </cell>
        </row>
        <row r="280">
          <cell r="B280" t="str">
            <v>TTCAD</v>
          </cell>
          <cell r="C280">
            <v>1.04833964</v>
          </cell>
          <cell r="D280">
            <v>1.05109439</v>
          </cell>
          <cell r="E280">
            <v>1.0549999999999999</v>
          </cell>
          <cell r="F280">
            <v>1.0537085100000001</v>
          </cell>
        </row>
        <row r="281">
          <cell r="B281" t="str">
            <v>PLC4D</v>
          </cell>
          <cell r="C281">
            <v>1.10598888</v>
          </cell>
          <cell r="D281">
            <v>1.10145662</v>
          </cell>
          <cell r="E281">
            <v>1.10597477</v>
          </cell>
          <cell r="F281">
            <v>1.1053315800000001</v>
          </cell>
        </row>
        <row r="282">
          <cell r="B282" t="str">
            <v>VSCVD</v>
          </cell>
          <cell r="C282">
            <v>1.10997543</v>
          </cell>
          <cell r="D282">
            <v>1.10985983</v>
          </cell>
          <cell r="E282">
            <v>1.11698634</v>
          </cell>
          <cell r="F282">
            <v>1.1195138899999999</v>
          </cell>
        </row>
        <row r="283">
          <cell r="B283" t="str">
            <v>YM34D</v>
          </cell>
          <cell r="C283">
            <v>1.07740013</v>
          </cell>
          <cell r="D283">
            <v>1.0809056500000001</v>
          </cell>
          <cell r="E283">
            <v>1.08691721</v>
          </cell>
          <cell r="F283">
            <v>1.08293584</v>
          </cell>
        </row>
        <row r="284">
          <cell r="B284" t="str">
            <v>YMCJD</v>
          </cell>
          <cell r="C284">
            <v>1.0146640600000001</v>
          </cell>
          <cell r="D284">
            <v>1.0157951300000001</v>
          </cell>
          <cell r="E284">
            <v>1.02360344</v>
          </cell>
          <cell r="F284">
            <v>1.0295049300000001</v>
          </cell>
        </row>
        <row r="285">
          <cell r="B285" t="str">
            <v>CAC5D</v>
          </cell>
          <cell r="C285">
            <v>0.54661514</v>
          </cell>
          <cell r="D285">
            <v>0.54959164999999999</v>
          </cell>
          <cell r="E285">
            <v>0.55012819999999996</v>
          </cell>
          <cell r="F285">
            <v>0.55079745999999996</v>
          </cell>
        </row>
        <row r="286">
          <cell r="B286" t="str">
            <v>TLCMD</v>
          </cell>
          <cell r="C286">
            <v>1.12282159</v>
          </cell>
          <cell r="D286">
            <v>1.12294355</v>
          </cell>
          <cell r="E286">
            <v>1.12747284</v>
          </cell>
          <cell r="F286">
            <v>1.1244096100000001</v>
          </cell>
        </row>
        <row r="287">
          <cell r="B287" t="str">
            <v>TLCPD</v>
          </cell>
          <cell r="C287">
            <v>1.10850268</v>
          </cell>
          <cell r="D287">
            <v>1.11700822</v>
          </cell>
          <cell r="E287">
            <v>1.1201880799999999</v>
          </cell>
          <cell r="F287">
            <v>1.11986282</v>
          </cell>
        </row>
        <row r="288">
          <cell r="B288" t="str">
            <v>AEC2D</v>
          </cell>
          <cell r="C288">
            <v>0.53172193000000001</v>
          </cell>
          <cell r="D288">
            <v>0.53377374</v>
          </cell>
          <cell r="E288">
            <v>0.53396489000000003</v>
          </cell>
          <cell r="F288">
            <v>0.53435493999999994</v>
          </cell>
        </row>
        <row r="290">
          <cell r="B290" t="str">
            <v>Obligaciones Negociables Hard USD - LE - Contra $</v>
          </cell>
        </row>
        <row r="292">
          <cell r="B292" t="str">
            <v>PNDCO</v>
          </cell>
          <cell r="C292">
            <v>674.47513164999998</v>
          </cell>
          <cell r="D292">
            <v>677.49887257</v>
          </cell>
          <cell r="E292">
            <v>677.50654621000001</v>
          </cell>
          <cell r="F292">
            <v>679.39219269</v>
          </cell>
        </row>
        <row r="293">
          <cell r="B293" t="str">
            <v>YCAMO</v>
          </cell>
          <cell r="C293">
            <v>1633.73603619</v>
          </cell>
          <cell r="D293">
            <v>1641.03602925</v>
          </cell>
          <cell r="E293">
            <v>1641.0518640600001</v>
          </cell>
          <cell r="F293">
            <v>1645.7125263400001</v>
          </cell>
        </row>
        <row r="294">
          <cell r="B294" t="str">
            <v>AER4O</v>
          </cell>
          <cell r="C294">
            <v>1165.6023578700001</v>
          </cell>
          <cell r="D294">
            <v>1170.81319816</v>
          </cell>
          <cell r="E294">
            <v>1170.89048258</v>
          </cell>
          <cell r="F294">
            <v>1174.2388880200001</v>
          </cell>
        </row>
        <row r="295">
          <cell r="B295" t="str">
            <v>YMCIO</v>
          </cell>
          <cell r="C295">
            <v>1462.8308891199999</v>
          </cell>
          <cell r="D295">
            <v>1468.58118848</v>
          </cell>
          <cell r="E295">
            <v>1479.9957526200001</v>
          </cell>
          <cell r="F295">
            <v>1457.4392785800001</v>
          </cell>
        </row>
        <row r="296">
          <cell r="B296" t="str">
            <v>BYCHO</v>
          </cell>
          <cell r="C296">
            <v>1623.9837661199999</v>
          </cell>
          <cell r="D296">
            <v>1631.2388888200001</v>
          </cell>
          <cell r="E296">
            <v>1631.4062638099999</v>
          </cell>
          <cell r="F296">
            <v>1636.11834466</v>
          </cell>
        </row>
        <row r="297">
          <cell r="B297" t="str">
            <v>YMCUO</v>
          </cell>
          <cell r="C297">
            <v>1542.4532736399999</v>
          </cell>
          <cell r="D297">
            <v>1541.58013951</v>
          </cell>
          <cell r="E297">
            <v>1540.2658062099999</v>
          </cell>
          <cell r="F297">
            <v>1547.92641295</v>
          </cell>
        </row>
        <row r="298">
          <cell r="B298" t="str">
            <v>YMC1O</v>
          </cell>
          <cell r="C298">
            <v>1691.08940319</v>
          </cell>
          <cell r="D298">
            <v>1698.6443021600001</v>
          </cell>
          <cell r="E298">
            <v>1698.9831938299999</v>
          </cell>
          <cell r="F298">
            <v>1703.854004</v>
          </cell>
        </row>
        <row r="299">
          <cell r="B299" t="str">
            <v>ARC1O</v>
          </cell>
          <cell r="C299">
            <v>1615.1881081900001</v>
          </cell>
          <cell r="D299">
            <v>1632</v>
          </cell>
          <cell r="E299">
            <v>1644.1431799100001</v>
          </cell>
          <cell r="F299">
            <v>1648.78359819</v>
          </cell>
        </row>
        <row r="300">
          <cell r="B300" t="str">
            <v>TTCDO</v>
          </cell>
          <cell r="C300">
            <v>1665.1080989500001</v>
          </cell>
          <cell r="D300">
            <v>1677.4569559700001</v>
          </cell>
          <cell r="E300">
            <v>1678.83908703</v>
          </cell>
          <cell r="F300">
            <v>1682.3153434000001</v>
          </cell>
        </row>
        <row r="301">
          <cell r="B301" t="str">
            <v>YMCXO</v>
          </cell>
          <cell r="C301">
            <v>1665.31696182</v>
          </cell>
          <cell r="D301">
            <v>1667.95465175</v>
          </cell>
          <cell r="E301">
            <v>1670.9626485399999</v>
          </cell>
          <cell r="F301">
            <v>1688.11333539</v>
          </cell>
        </row>
        <row r="302">
          <cell r="B302" t="str">
            <v>PNXCO</v>
          </cell>
          <cell r="C302">
            <v>1714.6403582</v>
          </cell>
          <cell r="D302">
            <v>1722.2535623900001</v>
          </cell>
          <cell r="E302">
            <v>1723.1841516500001</v>
          </cell>
          <cell r="F302">
            <v>1727.89269745</v>
          </cell>
        </row>
        <row r="303">
          <cell r="B303" t="str">
            <v>PLC5O</v>
          </cell>
          <cell r="C303">
            <v>1676.0605709199999</v>
          </cell>
          <cell r="D303">
            <v>1690.55055941</v>
          </cell>
          <cell r="E303">
            <v>1691.4888791000001</v>
          </cell>
          <cell r="F303">
            <v>1696.1076631799999</v>
          </cell>
        </row>
        <row r="304">
          <cell r="B304" t="str">
            <v>TSC3O</v>
          </cell>
          <cell r="C304">
            <v>1682.96466562</v>
          </cell>
          <cell r="D304">
            <v>1690.43008824</v>
          </cell>
          <cell r="E304">
            <v>1691.43646644</v>
          </cell>
          <cell r="F304">
            <v>1696.0294940000001</v>
          </cell>
        </row>
        <row r="305">
          <cell r="B305" t="str">
            <v>YFCJO</v>
          </cell>
          <cell r="C305">
            <v>1672.7289968699999</v>
          </cell>
          <cell r="D305">
            <v>1680.1371829699999</v>
          </cell>
          <cell r="E305">
            <v>1617.56210599</v>
          </cell>
          <cell r="F305">
            <v>1621.9065422900001</v>
          </cell>
        </row>
        <row r="306">
          <cell r="B306" t="str">
            <v>MGCMO</v>
          </cell>
          <cell r="C306">
            <v>1676.3967856500001</v>
          </cell>
          <cell r="D306">
            <v>1635.5775711399999</v>
          </cell>
          <cell r="E306">
            <v>1636.61951374</v>
          </cell>
          <cell r="F306">
            <v>1675.66706043</v>
          </cell>
        </row>
        <row r="307">
          <cell r="B307" t="str">
            <v>TTCAO</v>
          </cell>
          <cell r="C307">
            <v>1618.6239282199999</v>
          </cell>
          <cell r="D307">
            <v>1625.77815493</v>
          </cell>
          <cell r="E307">
            <v>1626.9427610099999</v>
          </cell>
          <cell r="F307">
            <v>1631.2710692600001</v>
          </cell>
        </row>
        <row r="308">
          <cell r="B308" t="str">
            <v>PLC4O</v>
          </cell>
          <cell r="C308">
            <v>1700.2275896900001</v>
          </cell>
          <cell r="D308">
            <v>1693.01597339</v>
          </cell>
          <cell r="E308">
            <v>1697.84403505</v>
          </cell>
          <cell r="F308">
            <v>1698.4309017999999</v>
          </cell>
        </row>
        <row r="309">
          <cell r="B309" t="str">
            <v>VSCVO</v>
          </cell>
          <cell r="C309">
            <v>1709.3668225199999</v>
          </cell>
          <cell r="D309">
            <v>1706.22275498</v>
          </cell>
          <cell r="E309">
            <v>1714.64636933</v>
          </cell>
          <cell r="F309">
            <v>1732.5</v>
          </cell>
        </row>
        <row r="310">
          <cell r="B310" t="str">
            <v>YM34O</v>
          </cell>
          <cell r="C310">
            <v>1656.42586622</v>
          </cell>
          <cell r="D310">
            <v>1660.02525657</v>
          </cell>
          <cell r="E310">
            <v>1664.5701995500001</v>
          </cell>
          <cell r="F310">
            <v>1667.61094194</v>
          </cell>
        </row>
        <row r="311">
          <cell r="B311" t="str">
            <v>YMCJO</v>
          </cell>
          <cell r="C311">
            <v>1560.33051387</v>
          </cell>
          <cell r="D311">
            <v>1559.90754943</v>
          </cell>
          <cell r="E311">
            <v>1566.6988351099999</v>
          </cell>
          <cell r="F311">
            <v>1580.2615596400001</v>
          </cell>
        </row>
        <row r="312">
          <cell r="B312" t="str">
            <v>CAC5O</v>
          </cell>
          <cell r="C312">
            <v>825.61724356000002</v>
          </cell>
          <cell r="D312">
            <v>829.51440943</v>
          </cell>
          <cell r="E312">
            <v>829.52357602999996</v>
          </cell>
          <cell r="F312">
            <v>832.01691690999996</v>
          </cell>
        </row>
        <row r="313">
          <cell r="B313" t="str">
            <v>TLCMO</v>
          </cell>
          <cell r="C313">
            <v>1723.0319344699999</v>
          </cell>
          <cell r="D313">
            <v>1709.9214901</v>
          </cell>
          <cell r="E313">
            <v>1729.5727799199999</v>
          </cell>
          <cell r="F313">
            <v>1715.7647423400001</v>
          </cell>
        </row>
        <row r="314">
          <cell r="B314" t="str">
            <v>TLCPO</v>
          </cell>
          <cell r="C314">
            <v>1704.0721578099999</v>
          </cell>
          <cell r="D314">
            <v>1712.87403993</v>
          </cell>
          <cell r="E314">
            <v>1719.81274031</v>
          </cell>
          <cell r="F314">
            <v>1720.3308317799999</v>
          </cell>
        </row>
        <row r="315">
          <cell r="B315" t="str">
            <v>AEC2O</v>
          </cell>
          <cell r="C315">
            <v>811.72890115999996</v>
          </cell>
          <cell r="D315">
            <v>815.35395503999996</v>
          </cell>
          <cell r="E315">
            <v>815.25067676000003</v>
          </cell>
          <cell r="F315">
            <v>817.67475632000003</v>
          </cell>
        </row>
        <row r="317">
          <cell r="B317" t="str">
            <v>Obligaciones Negociables Dólar linked</v>
          </cell>
        </row>
        <row r="319">
          <cell r="B319" t="str">
            <v>GE22P</v>
          </cell>
          <cell r="C319">
            <v>516.94365468000001</v>
          </cell>
          <cell r="D319">
            <v>516.58008455000004</v>
          </cell>
          <cell r="E319">
            <v>520.63846892000004</v>
          </cell>
          <cell r="F319">
            <v>519.74120073999995</v>
          </cell>
        </row>
        <row r="320">
          <cell r="B320" t="str">
            <v>HA12L</v>
          </cell>
          <cell r="C320">
            <v>1579.8947735500001</v>
          </cell>
          <cell r="D320">
            <v>1580.7632803700001</v>
          </cell>
          <cell r="E320">
            <v>1565.6435914599999</v>
          </cell>
          <cell r="F320">
            <v>1562.53264857</v>
          </cell>
        </row>
        <row r="321">
          <cell r="B321" t="str">
            <v>APS1L</v>
          </cell>
          <cell r="C321">
            <v>1521.6195374900001</v>
          </cell>
          <cell r="D321">
            <v>1520.60780383</v>
          </cell>
          <cell r="E321">
            <v>1534.71398712</v>
          </cell>
          <cell r="F321">
            <v>1536.40897047</v>
          </cell>
        </row>
        <row r="322">
          <cell r="B322" t="str">
            <v>GN37O</v>
          </cell>
          <cell r="C322">
            <v>504.20587346999997</v>
          </cell>
          <cell r="D322">
            <v>503.82137089999998</v>
          </cell>
          <cell r="E322">
            <v>504.76104951999997</v>
          </cell>
          <cell r="F322">
            <v>504.63588195</v>
          </cell>
        </row>
        <row r="323">
          <cell r="B323" t="str">
            <v>VSCIO</v>
          </cell>
          <cell r="C323">
            <v>1508.42451065</v>
          </cell>
          <cell r="D323">
            <v>1507.28657985</v>
          </cell>
          <cell r="E323">
            <v>1513.17288596</v>
          </cell>
          <cell r="F323">
            <v>1511.85229478</v>
          </cell>
        </row>
        <row r="324">
          <cell r="B324" t="str">
            <v>PNJCO</v>
          </cell>
          <cell r="C324">
            <v>1508.40711874</v>
          </cell>
          <cell r="D324">
            <v>1507.2930065999999</v>
          </cell>
          <cell r="E324">
            <v>1518.2443563700001</v>
          </cell>
          <cell r="F324">
            <v>1515.6322462600001</v>
          </cell>
        </row>
        <row r="325">
          <cell r="B325" t="str">
            <v>VSCJO</v>
          </cell>
          <cell r="C325">
            <v>1494.9226670800001</v>
          </cell>
          <cell r="D325">
            <v>1493.8265848599999</v>
          </cell>
          <cell r="E325">
            <v>1507.50283233</v>
          </cell>
          <cell r="F325">
            <v>1503.26730535</v>
          </cell>
        </row>
        <row r="326">
          <cell r="B326" t="str">
            <v>TLCDO</v>
          </cell>
          <cell r="C326">
            <v>1501.3099210299999</v>
          </cell>
          <cell r="D326">
            <v>1500.2110716</v>
          </cell>
          <cell r="E326">
            <v>1512.7</v>
          </cell>
          <cell r="F326">
            <v>1509.96118422</v>
          </cell>
        </row>
        <row r="327">
          <cell r="B327" t="str">
            <v>PNZCO</v>
          </cell>
          <cell r="C327">
            <v>1471.0919609</v>
          </cell>
          <cell r="D327">
            <v>1470.04774236</v>
          </cell>
          <cell r="E327">
            <v>1485.89258187</v>
          </cell>
          <cell r="F327">
            <v>1483.62681806</v>
          </cell>
        </row>
        <row r="328">
          <cell r="B328" t="str">
            <v>OLC3O</v>
          </cell>
          <cell r="C328">
            <v>1469.6394851800001</v>
          </cell>
          <cell r="D328">
            <v>1468.59788948</v>
          </cell>
          <cell r="E328">
            <v>1483.24</v>
          </cell>
          <cell r="F328">
            <v>1477.90832639</v>
          </cell>
        </row>
        <row r="329">
          <cell r="B329" t="str">
            <v>MGCEO</v>
          </cell>
          <cell r="C329">
            <v>1434.07401615</v>
          </cell>
          <cell r="D329">
            <v>1433.0854109899999</v>
          </cell>
          <cell r="E329">
            <v>1447.04122654</v>
          </cell>
          <cell r="F329">
            <v>1448.92541585</v>
          </cell>
        </row>
        <row r="330">
          <cell r="B330" t="str">
            <v>OLC2O</v>
          </cell>
          <cell r="C330">
            <v>1418.80857186</v>
          </cell>
          <cell r="D330">
            <v>1417.8463737</v>
          </cell>
          <cell r="E330">
            <v>1429.25</v>
          </cell>
          <cell r="F330">
            <v>1434.7264678900001</v>
          </cell>
        </row>
        <row r="331">
          <cell r="B331" t="str">
            <v>MR43O</v>
          </cell>
          <cell r="C331">
            <v>454.75628999999998</v>
          </cell>
          <cell r="D331">
            <v>454.36964999999998</v>
          </cell>
          <cell r="E331">
            <v>454.17923999999999</v>
          </cell>
          <cell r="F331">
            <v>454.36964999999998</v>
          </cell>
        </row>
        <row r="332">
          <cell r="B332" t="str">
            <v>DRSAO</v>
          </cell>
          <cell r="C332">
            <v>9.9999999999999995E-8</v>
          </cell>
          <cell r="D332">
            <v>9.9999999999999995E-8</v>
          </cell>
          <cell r="E332">
            <v>9.9999999999999995E-8</v>
          </cell>
          <cell r="F332">
            <v>9.9999999999999995E-8</v>
          </cell>
        </row>
        <row r="334">
          <cell r="B334" t="str">
            <v>Fideicomisos Financieros Tamar</v>
          </cell>
        </row>
        <row r="336">
          <cell r="B336" t="str">
            <v>CO18A</v>
          </cell>
          <cell r="C336">
            <v>0.25090884000000002</v>
          </cell>
          <cell r="D336">
            <v>0.25110321000000002</v>
          </cell>
          <cell r="E336">
            <v>0.25131713999999999</v>
          </cell>
          <cell r="F336">
            <v>0.25186530000000001</v>
          </cell>
        </row>
        <row r="337">
          <cell r="B337" t="str">
            <v>CO17A</v>
          </cell>
          <cell r="C337">
            <v>0.25789625999999999</v>
          </cell>
          <cell r="D337">
            <v>0.25809604000000003</v>
          </cell>
          <cell r="E337">
            <v>0.25831591999999998</v>
          </cell>
          <cell r="F337">
            <v>0.25887936</v>
          </cell>
        </row>
        <row r="338">
          <cell r="B338" t="str">
            <v>CO19A</v>
          </cell>
          <cell r="C338">
            <v>0.88711264999999995</v>
          </cell>
          <cell r="D338">
            <v>0.88801664999999996</v>
          </cell>
          <cell r="E338">
            <v>0.88615838999999996</v>
          </cell>
          <cell r="F338">
            <v>0.88909039999999995</v>
          </cell>
        </row>
        <row r="339">
          <cell r="B339" t="str">
            <v>CO20A</v>
          </cell>
          <cell r="C339">
            <v>1.0079268400000001</v>
          </cell>
          <cell r="D339">
            <v>1.00896915</v>
          </cell>
          <cell r="E339">
            <v>1.0052874599999999</v>
          </cell>
          <cell r="F339">
            <v>1.0085335099999999</v>
          </cell>
        </row>
        <row r="340">
          <cell r="B340" t="str">
            <v>CF82A</v>
          </cell>
          <cell r="C340">
            <v>6.7369719999999994E-2</v>
          </cell>
          <cell r="D340">
            <v>6.7421930000000005E-2</v>
          </cell>
          <cell r="E340">
            <v>6.7479380000000005E-2</v>
          </cell>
          <cell r="F340">
            <v>6.7626610000000004E-2</v>
          </cell>
        </row>
        <row r="341">
          <cell r="B341" t="str">
            <v>M333A</v>
          </cell>
          <cell r="C341">
            <v>0.19060743999999999</v>
          </cell>
          <cell r="D341">
            <v>0.19076082</v>
          </cell>
          <cell r="E341">
            <v>0.19095110000000001</v>
          </cell>
          <cell r="F341">
            <v>0.19139523999999999</v>
          </cell>
        </row>
        <row r="342">
          <cell r="B342" t="str">
            <v>M331A</v>
          </cell>
          <cell r="C342">
            <v>9.6819630000000004E-2</v>
          </cell>
          <cell r="D342">
            <v>9.6897540000000004E-2</v>
          </cell>
          <cell r="E342">
            <v>9.6994200000000003E-2</v>
          </cell>
          <cell r="F342">
            <v>9.7219799999999995E-2</v>
          </cell>
        </row>
        <row r="343">
          <cell r="B343" t="str">
            <v>M327A</v>
          </cell>
          <cell r="C343">
            <v>2.6709210000000001E-2</v>
          </cell>
          <cell r="D343">
            <v>2.67307E-2</v>
          </cell>
          <cell r="E343">
            <v>2.6757369999999999E-2</v>
          </cell>
          <cell r="F343">
            <v>2.6819599999999999E-2</v>
          </cell>
        </row>
        <row r="344">
          <cell r="B344" t="str">
            <v>M329A</v>
          </cell>
          <cell r="C344">
            <v>5.927528E-2</v>
          </cell>
          <cell r="D344">
            <v>5.9322979999999997E-2</v>
          </cell>
          <cell r="E344">
            <v>5.9382160000000003E-2</v>
          </cell>
          <cell r="F344">
            <v>5.9520280000000002E-2</v>
          </cell>
        </row>
        <row r="345">
          <cell r="B345" t="str">
            <v>CF84A</v>
          </cell>
          <cell r="C345">
            <v>1.5900959999999999E-2</v>
          </cell>
          <cell r="D345">
            <v>1.5913279999999998E-2</v>
          </cell>
          <cell r="E345">
            <v>1.5926840000000001E-2</v>
          </cell>
          <cell r="F345">
            <v>1.5961590000000001E-2</v>
          </cell>
        </row>
        <row r="346">
          <cell r="B346" t="str">
            <v>M322A</v>
          </cell>
          <cell r="C346">
            <v>7.8810179999999994E-2</v>
          </cell>
          <cell r="D346">
            <v>7.8873990000000005E-2</v>
          </cell>
          <cell r="E346">
            <v>7.8954440000000001E-2</v>
          </cell>
          <cell r="F346">
            <v>7.9139920000000002E-2</v>
          </cell>
        </row>
        <row r="347">
          <cell r="B347" t="str">
            <v>M320A</v>
          </cell>
          <cell r="C347">
            <v>2.4081439999999999E-2</v>
          </cell>
          <cell r="D347">
            <v>2.4100940000000001E-2</v>
          </cell>
          <cell r="E347">
            <v>2.4125520000000001E-2</v>
          </cell>
          <cell r="F347">
            <v>2.4182200000000001E-2</v>
          </cell>
        </row>
        <row r="348">
          <cell r="B348" t="str">
            <v>CU56A</v>
          </cell>
          <cell r="C348">
            <v>3.9879240000000003E-2</v>
          </cell>
          <cell r="D348">
            <v>3.9910139999999997E-2</v>
          </cell>
          <cell r="E348">
            <v>3.9944149999999998E-2</v>
          </cell>
          <cell r="F348">
            <v>4.0031299999999999E-2</v>
          </cell>
        </row>
        <row r="349">
          <cell r="B349" t="str">
            <v>C199A</v>
          </cell>
          <cell r="C349">
            <v>2.5386100000000002E-2</v>
          </cell>
          <cell r="D349">
            <v>2.5406519999999998E-2</v>
          </cell>
          <cell r="E349">
            <v>2.5431869999999999E-2</v>
          </cell>
          <cell r="F349">
            <v>2.549102E-2</v>
          </cell>
        </row>
        <row r="350">
          <cell r="B350" t="str">
            <v>CF83A</v>
          </cell>
          <cell r="C350">
            <v>0.24853217999999999</v>
          </cell>
          <cell r="D350">
            <v>0.24872477000000001</v>
          </cell>
          <cell r="E350">
            <v>0.24893672</v>
          </cell>
          <cell r="F350">
            <v>0.24947985</v>
          </cell>
        </row>
        <row r="351">
          <cell r="B351" t="str">
            <v>CU57A</v>
          </cell>
          <cell r="C351">
            <v>0.21502315999999999</v>
          </cell>
          <cell r="D351">
            <v>0.21519680999999999</v>
          </cell>
          <cell r="E351">
            <v>0.21543802000000001</v>
          </cell>
          <cell r="F351">
            <v>0.21598149</v>
          </cell>
        </row>
        <row r="352">
          <cell r="B352" t="str">
            <v>CU58A</v>
          </cell>
          <cell r="C352">
            <v>0.30277133000000001</v>
          </cell>
          <cell r="D352">
            <v>0.30302244</v>
          </cell>
          <cell r="E352">
            <v>0.30340075999999999</v>
          </cell>
          <cell r="F352">
            <v>0.30423043</v>
          </cell>
        </row>
        <row r="353">
          <cell r="B353" t="str">
            <v>DT44A</v>
          </cell>
          <cell r="C353">
            <v>0.32175555</v>
          </cell>
          <cell r="D353">
            <v>0.16030923999999999</v>
          </cell>
          <cell r="E353">
            <v>0.16052791999999999</v>
          </cell>
          <cell r="F353">
            <v>0.16098144</v>
          </cell>
        </row>
        <row r="354">
          <cell r="B354" t="str">
            <v>DT45A</v>
          </cell>
          <cell r="C354">
            <v>0.46192144000000002</v>
          </cell>
          <cell r="D354">
            <v>0.26520081000000001</v>
          </cell>
          <cell r="E354">
            <v>0.26557682999999999</v>
          </cell>
          <cell r="F354">
            <v>0.26636841</v>
          </cell>
        </row>
        <row r="355">
          <cell r="B355" t="str">
            <v>CU59A</v>
          </cell>
          <cell r="C355">
            <v>0.63041493000000004</v>
          </cell>
          <cell r="D355">
            <v>0.63095027999999997</v>
          </cell>
          <cell r="E355">
            <v>0.63172737000000001</v>
          </cell>
          <cell r="F355">
            <v>0.63355298999999998</v>
          </cell>
        </row>
        <row r="356">
          <cell r="B356" t="str">
            <v>M341A</v>
          </cell>
          <cell r="C356">
            <v>0.23392262</v>
          </cell>
          <cell r="D356">
            <v>0.23413233</v>
          </cell>
          <cell r="E356">
            <v>0.23469999999999999</v>
          </cell>
          <cell r="F356">
            <v>0.23520160000000001</v>
          </cell>
        </row>
        <row r="357">
          <cell r="B357" t="str">
            <v>C200A</v>
          </cell>
          <cell r="C357">
            <v>0.36378385000000002</v>
          </cell>
          <cell r="D357">
            <v>0.36410178999999998</v>
          </cell>
          <cell r="E357">
            <v>0.36456897999999999</v>
          </cell>
          <cell r="F357">
            <v>0.36565166999999998</v>
          </cell>
        </row>
        <row r="358">
          <cell r="B358" t="str">
            <v>M343A</v>
          </cell>
          <cell r="C358">
            <v>0.35075334000000002</v>
          </cell>
          <cell r="D358">
            <v>0.35106135999999999</v>
          </cell>
          <cell r="E358">
            <v>0.35151437000000002</v>
          </cell>
          <cell r="F358">
            <v>0.35261068000000001</v>
          </cell>
        </row>
        <row r="359">
          <cell r="B359" t="str">
            <v>C201A</v>
          </cell>
          <cell r="C359">
            <v>0.40433445000000001</v>
          </cell>
          <cell r="D359">
            <v>0.40469168</v>
          </cell>
          <cell r="E359">
            <v>0.40520201</v>
          </cell>
          <cell r="F359">
            <v>0.40643519</v>
          </cell>
        </row>
        <row r="360">
          <cell r="B360" t="str">
            <v>CF86A</v>
          </cell>
          <cell r="C360">
            <v>0.53525060999999996</v>
          </cell>
          <cell r="D360">
            <v>0.53571482000000004</v>
          </cell>
          <cell r="E360">
            <v>0.53638481999999998</v>
          </cell>
          <cell r="F360">
            <v>0.53802231</v>
          </cell>
        </row>
        <row r="361">
          <cell r="B361" t="str">
            <v>DT46A</v>
          </cell>
          <cell r="C361">
            <v>1.0167199200000001</v>
          </cell>
          <cell r="D361">
            <v>0.62513430999999997</v>
          </cell>
          <cell r="E361">
            <v>0.62601167999999996</v>
          </cell>
          <cell r="F361">
            <v>0.62804340000000003</v>
          </cell>
        </row>
        <row r="362">
          <cell r="B362" t="str">
            <v>M345A</v>
          </cell>
          <cell r="C362">
            <v>0.42736681999999998</v>
          </cell>
          <cell r="D362">
            <v>0.42775018999999997</v>
          </cell>
          <cell r="E362">
            <v>0.42826718000000003</v>
          </cell>
          <cell r="F362">
            <v>0.42965768999999998</v>
          </cell>
        </row>
        <row r="363">
          <cell r="B363" t="str">
            <v>CU60A</v>
          </cell>
          <cell r="C363">
            <v>1.0168219300000001</v>
          </cell>
          <cell r="D363">
            <v>1.01770268</v>
          </cell>
          <cell r="E363">
            <v>1.0188719399999999</v>
          </cell>
          <cell r="F363">
            <v>1.02192569</v>
          </cell>
        </row>
        <row r="364">
          <cell r="B364" t="str">
            <v>CU61A</v>
          </cell>
          <cell r="C364">
            <v>0.99295317999999999</v>
          </cell>
          <cell r="D364">
            <v>0.99393103000000005</v>
          </cell>
          <cell r="E364">
            <v>0.99550000000000005</v>
          </cell>
          <cell r="F364">
            <v>0.99839175000000002</v>
          </cell>
        </row>
        <row r="365">
          <cell r="B365" t="str">
            <v>M347A</v>
          </cell>
          <cell r="C365">
            <v>0.52068219999999998</v>
          </cell>
          <cell r="D365">
            <v>0.52116324999999997</v>
          </cell>
          <cell r="E365">
            <v>0.52167286000000002</v>
          </cell>
          <cell r="F365">
            <v>0.52344632000000002</v>
          </cell>
        </row>
        <row r="366">
          <cell r="B366" t="str">
            <v>C202A</v>
          </cell>
          <cell r="C366">
            <v>0.71849492000000004</v>
          </cell>
          <cell r="D366">
            <v>0.71918325000000005</v>
          </cell>
          <cell r="E366">
            <v>0.71952355000000001</v>
          </cell>
          <cell r="F366">
            <v>0.72199400999999996</v>
          </cell>
        </row>
        <row r="367">
          <cell r="B367" t="str">
            <v>SK01A</v>
          </cell>
          <cell r="C367">
            <v>0.41625359000000001</v>
          </cell>
          <cell r="D367">
            <v>0.32026729999999998</v>
          </cell>
          <cell r="E367">
            <v>0.32060068000000003</v>
          </cell>
          <cell r="F367">
            <v>0.32173695000000002</v>
          </cell>
        </row>
        <row r="368">
          <cell r="B368" t="str">
            <v>DT47A</v>
          </cell>
          <cell r="C368">
            <v>1.01311522</v>
          </cell>
          <cell r="D368">
            <v>0.99341031000000002</v>
          </cell>
          <cell r="E368">
            <v>0.99454737000000004</v>
          </cell>
          <cell r="F368">
            <v>0.99799011999999998</v>
          </cell>
        </row>
        <row r="369">
          <cell r="B369" t="str">
            <v>M349A</v>
          </cell>
          <cell r="C369">
            <v>0.63130010999999997</v>
          </cell>
          <cell r="D369">
            <v>0.63189753999999998</v>
          </cell>
          <cell r="E369">
            <v>0.63228983999999999</v>
          </cell>
          <cell r="F369">
            <v>0.63448892999999995</v>
          </cell>
        </row>
        <row r="370">
          <cell r="B370" t="str">
            <v>M351A</v>
          </cell>
          <cell r="C370">
            <v>0.69363041999999997</v>
          </cell>
          <cell r="D370">
            <v>0.69429116999999996</v>
          </cell>
          <cell r="E370">
            <v>0.69463675999999996</v>
          </cell>
          <cell r="F370">
            <v>0.69706279000000004</v>
          </cell>
        </row>
        <row r="371">
          <cell r="B371" t="str">
            <v>M353A</v>
          </cell>
          <cell r="C371">
            <v>0.78849597999999999</v>
          </cell>
          <cell r="D371">
            <v>0.78925034999999999</v>
          </cell>
          <cell r="E371">
            <v>0.78953068999999998</v>
          </cell>
          <cell r="F371">
            <v>0.79228166</v>
          </cell>
        </row>
        <row r="372">
          <cell r="B372" t="str">
            <v>M355A</v>
          </cell>
          <cell r="C372">
            <v>0.91740557</v>
          </cell>
          <cell r="D372">
            <v>0.91829477999999998</v>
          </cell>
          <cell r="E372">
            <v>0.91834532000000002</v>
          </cell>
          <cell r="F372">
            <v>0.92155686999999997</v>
          </cell>
        </row>
        <row r="373">
          <cell r="B373" t="str">
            <v>DT48A</v>
          </cell>
          <cell r="C373">
            <v>1.0111099400000001</v>
          </cell>
          <cell r="D373">
            <v>0.99144527000000005</v>
          </cell>
          <cell r="E373">
            <v>0.99227204000000002</v>
          </cell>
          <cell r="F373">
            <v>0.99597301000000005</v>
          </cell>
        </row>
        <row r="374">
          <cell r="B374" t="str">
            <v>DT49A</v>
          </cell>
          <cell r="C374">
            <v>1.00904014</v>
          </cell>
          <cell r="D374">
            <v>0.98940744000000003</v>
          </cell>
          <cell r="E374">
            <v>0.98976476999999996</v>
          </cell>
          <cell r="F374">
            <v>0.99359967000000005</v>
          </cell>
        </row>
        <row r="375">
          <cell r="B375" t="str">
            <v>M357A</v>
          </cell>
          <cell r="C375">
            <v>1.04066547</v>
          </cell>
          <cell r="D375">
            <v>1.04169661</v>
          </cell>
          <cell r="E375">
            <v>1.04114968</v>
          </cell>
          <cell r="F375">
            <v>1.0448016600000001</v>
          </cell>
        </row>
        <row r="376">
          <cell r="B376" t="str">
            <v>DT50A</v>
          </cell>
          <cell r="C376">
            <v>1.00841636</v>
          </cell>
          <cell r="D376">
            <v>0.98878944999999996</v>
          </cell>
          <cell r="E376">
            <v>0.98895407999999996</v>
          </cell>
          <cell r="F376">
            <v>0.99277937999999999</v>
          </cell>
        </row>
        <row r="377">
          <cell r="B377" t="str">
            <v>WC08A</v>
          </cell>
          <cell r="C377">
            <v>0.91917406000000001</v>
          </cell>
          <cell r="D377">
            <v>0.81826155</v>
          </cell>
          <cell r="E377">
            <v>0.8171851</v>
          </cell>
          <cell r="F377">
            <v>0.82004131999999996</v>
          </cell>
        </row>
        <row r="378">
          <cell r="B378" t="str">
            <v>M359A</v>
          </cell>
          <cell r="C378">
            <v>1.0122099499999999</v>
          </cell>
          <cell r="D378">
            <v>1.01324367</v>
          </cell>
          <cell r="E378">
            <v>1.01241041</v>
          </cell>
          <cell r="F378">
            <v>1.0161020599999999</v>
          </cell>
        </row>
        <row r="379">
          <cell r="B379" t="str">
            <v>SK02A</v>
          </cell>
          <cell r="C379">
            <v>0.76983424</v>
          </cell>
          <cell r="D379">
            <v>0.69091265999999996</v>
          </cell>
          <cell r="E379">
            <v>0.68951382000000006</v>
          </cell>
          <cell r="F379">
            <v>0.69188320999999997</v>
          </cell>
        </row>
        <row r="380">
          <cell r="B380" t="str">
            <v>DT54A</v>
          </cell>
          <cell r="C380">
            <v>0.98302480000000003</v>
          </cell>
          <cell r="D380">
            <v>0.98065654000000002</v>
          </cell>
          <cell r="E380">
            <v>0.97740302999999995</v>
          </cell>
          <cell r="F380">
            <v>0.98092436999999999</v>
          </cell>
        </row>
        <row r="381">
          <cell r="B381" t="str">
            <v>DT55A</v>
          </cell>
          <cell r="E381">
            <v>0.95487200000000005</v>
          </cell>
          <cell r="F381">
            <v>0.96048602000000005</v>
          </cell>
        </row>
        <row r="383">
          <cell r="B383" t="str">
            <v>Acciones en Pesos</v>
          </cell>
        </row>
        <row r="385">
          <cell r="B385" t="str">
            <v>GGAL</v>
          </cell>
          <cell r="C385">
            <v>5940</v>
          </cell>
          <cell r="D385">
            <v>5750</v>
          </cell>
          <cell r="E385">
            <v>5900</v>
          </cell>
          <cell r="F385">
            <v>5805</v>
          </cell>
        </row>
        <row r="386">
          <cell r="B386" t="str">
            <v>TXAR</v>
          </cell>
          <cell r="C386">
            <v>702.5</v>
          </cell>
          <cell r="D386">
            <v>698.5</v>
          </cell>
          <cell r="E386">
            <v>723.5</v>
          </cell>
          <cell r="F386">
            <v>709</v>
          </cell>
        </row>
        <row r="387">
          <cell r="B387" t="str">
            <v>YPFD</v>
          </cell>
          <cell r="C387">
            <v>8330</v>
          </cell>
          <cell r="D387">
            <v>8460</v>
          </cell>
          <cell r="E387">
            <v>8270</v>
          </cell>
          <cell r="F387">
            <v>8430</v>
          </cell>
        </row>
        <row r="388">
          <cell r="B388" t="str">
            <v>PAMP</v>
          </cell>
          <cell r="C388">
            <v>5235</v>
          </cell>
          <cell r="D388">
            <v>5220</v>
          </cell>
          <cell r="E388">
            <v>5205</v>
          </cell>
          <cell r="F388">
            <v>5240</v>
          </cell>
        </row>
        <row r="389">
          <cell r="B389" t="str">
            <v>BBAR</v>
          </cell>
          <cell r="C389">
            <v>6965</v>
          </cell>
          <cell r="D389">
            <v>6760</v>
          </cell>
          <cell r="E389">
            <v>6980</v>
          </cell>
          <cell r="F389">
            <v>6950</v>
          </cell>
        </row>
        <row r="390">
          <cell r="B390" t="str">
            <v>ALUA</v>
          </cell>
          <cell r="C390">
            <v>849.5</v>
          </cell>
          <cell r="D390">
            <v>830</v>
          </cell>
          <cell r="E390">
            <v>845</v>
          </cell>
          <cell r="F390">
            <v>833</v>
          </cell>
        </row>
        <row r="391">
          <cell r="B391" t="str">
            <v>LOMA</v>
          </cell>
          <cell r="C391">
            <v>3222.5</v>
          </cell>
          <cell r="D391">
            <v>3215</v>
          </cell>
          <cell r="E391">
            <v>3257.5</v>
          </cell>
          <cell r="F391">
            <v>3257.5</v>
          </cell>
        </row>
        <row r="392">
          <cell r="B392" t="str">
            <v>CEPU</v>
          </cell>
          <cell r="C392">
            <v>2119</v>
          </cell>
          <cell r="D392">
            <v>2056</v>
          </cell>
          <cell r="E392">
            <v>2071</v>
          </cell>
          <cell r="F392">
            <v>2078</v>
          </cell>
        </row>
        <row r="393">
          <cell r="B393" t="str">
            <v>BYMA</v>
          </cell>
          <cell r="C393">
            <v>257.75</v>
          </cell>
          <cell r="D393">
            <v>256.75</v>
          </cell>
          <cell r="E393">
            <v>257.25</v>
          </cell>
          <cell r="F393">
            <v>252</v>
          </cell>
        </row>
        <row r="394">
          <cell r="B394" t="str">
            <v>SUPV</v>
          </cell>
          <cell r="C394">
            <v>2331</v>
          </cell>
          <cell r="D394">
            <v>2273</v>
          </cell>
          <cell r="E394">
            <v>2386</v>
          </cell>
          <cell r="F394">
            <v>2352</v>
          </cell>
        </row>
        <row r="395">
          <cell r="B395" t="str">
            <v>TGNO4</v>
          </cell>
          <cell r="C395">
            <v>3252.5</v>
          </cell>
          <cell r="D395">
            <v>3195</v>
          </cell>
          <cell r="E395">
            <v>3265</v>
          </cell>
          <cell r="F395">
            <v>3160</v>
          </cell>
        </row>
        <row r="396">
          <cell r="B396" t="str">
            <v>CRES</v>
          </cell>
          <cell r="C396">
            <v>1851</v>
          </cell>
          <cell r="D396">
            <v>1793</v>
          </cell>
          <cell r="E396">
            <v>1840</v>
          </cell>
          <cell r="F396">
            <v>1860</v>
          </cell>
        </row>
        <row r="397">
          <cell r="B397" t="str">
            <v>TECO2</v>
          </cell>
          <cell r="C397">
            <v>3977.5</v>
          </cell>
          <cell r="D397">
            <v>4017.5</v>
          </cell>
          <cell r="E397">
            <v>4052.5</v>
          </cell>
          <cell r="F397">
            <v>4042.5</v>
          </cell>
        </row>
        <row r="398">
          <cell r="B398" t="str">
            <v>VALO</v>
          </cell>
          <cell r="C398">
            <v>540.5</v>
          </cell>
          <cell r="D398">
            <v>529.5</v>
          </cell>
          <cell r="E398">
            <v>525</v>
          </cell>
          <cell r="F398">
            <v>529</v>
          </cell>
        </row>
        <row r="399">
          <cell r="B399" t="str">
            <v>TGSU2</v>
          </cell>
          <cell r="C399">
            <v>8415</v>
          </cell>
          <cell r="D399">
            <v>8395</v>
          </cell>
          <cell r="E399">
            <v>8370</v>
          </cell>
          <cell r="F399">
            <v>8445</v>
          </cell>
        </row>
        <row r="400">
          <cell r="B400" t="str">
            <v>AUSO</v>
          </cell>
          <cell r="C400">
            <v>2900</v>
          </cell>
          <cell r="D400">
            <v>2855</v>
          </cell>
          <cell r="E400">
            <v>2790</v>
          </cell>
          <cell r="F400">
            <v>2760</v>
          </cell>
        </row>
        <row r="401">
          <cell r="B401" t="str">
            <v>METR</v>
          </cell>
          <cell r="C401">
            <v>2358</v>
          </cell>
          <cell r="D401">
            <v>2335</v>
          </cell>
          <cell r="E401">
            <v>2351</v>
          </cell>
          <cell r="F401">
            <v>2345</v>
          </cell>
        </row>
        <row r="402">
          <cell r="B402" t="str">
            <v>ECOG</v>
          </cell>
          <cell r="C402">
            <v>2433</v>
          </cell>
          <cell r="D402">
            <v>2391</v>
          </cell>
          <cell r="E402">
            <v>2380</v>
          </cell>
          <cell r="F402">
            <v>2370</v>
          </cell>
        </row>
        <row r="403">
          <cell r="B403" t="str">
            <v>COME</v>
          </cell>
          <cell r="C403">
            <v>39.07</v>
          </cell>
          <cell r="D403">
            <v>38.43</v>
          </cell>
          <cell r="E403">
            <v>38.28</v>
          </cell>
          <cell r="F403">
            <v>37.700000000000003</v>
          </cell>
        </row>
        <row r="404">
          <cell r="B404" t="str">
            <v>MIRG</v>
          </cell>
          <cell r="C404">
            <v>1740</v>
          </cell>
          <cell r="D404">
            <v>1745</v>
          </cell>
          <cell r="E404">
            <v>1710</v>
          </cell>
          <cell r="F404">
            <v>1705</v>
          </cell>
        </row>
        <row r="405">
          <cell r="B405" t="str">
            <v>CVH</v>
          </cell>
          <cell r="C405">
            <v>9260</v>
          </cell>
          <cell r="D405">
            <v>9250</v>
          </cell>
          <cell r="E405">
            <v>9220</v>
          </cell>
          <cell r="F405">
            <v>9200</v>
          </cell>
        </row>
        <row r="406">
          <cell r="B406" t="str">
            <v>TRAN</v>
          </cell>
          <cell r="C406">
            <v>2705</v>
          </cell>
          <cell r="D406">
            <v>2682.5</v>
          </cell>
          <cell r="E406">
            <v>2700</v>
          </cell>
          <cell r="F406">
            <v>2560</v>
          </cell>
        </row>
        <row r="407">
          <cell r="B407" t="str">
            <v>HARG</v>
          </cell>
          <cell r="C407">
            <v>1330</v>
          </cell>
          <cell r="D407">
            <v>1340</v>
          </cell>
          <cell r="E407">
            <v>1320</v>
          </cell>
          <cell r="F407">
            <v>1300</v>
          </cell>
        </row>
        <row r="408">
          <cell r="B408" t="str">
            <v>EDN</v>
          </cell>
          <cell r="C408">
            <v>1653</v>
          </cell>
          <cell r="D408">
            <v>1660</v>
          </cell>
          <cell r="E408">
            <v>1672</v>
          </cell>
          <cell r="F408">
            <v>1660</v>
          </cell>
        </row>
        <row r="409">
          <cell r="B409" t="str">
            <v>MASU</v>
          </cell>
          <cell r="C409">
            <v>0.01</v>
          </cell>
          <cell r="D409">
            <v>0.01</v>
          </cell>
          <cell r="E409">
            <v>0.01</v>
          </cell>
          <cell r="F409">
            <v>0.01</v>
          </cell>
        </row>
        <row r="410">
          <cell r="B410" t="str">
            <v>INVJ</v>
          </cell>
          <cell r="C410">
            <v>389.5</v>
          </cell>
          <cell r="D410">
            <v>388</v>
          </cell>
          <cell r="E410">
            <v>385.5</v>
          </cell>
          <cell r="F410">
            <v>379</v>
          </cell>
        </row>
        <row r="411">
          <cell r="B411" t="str">
            <v>IRSA</v>
          </cell>
          <cell r="C411">
            <v>2290</v>
          </cell>
          <cell r="D411">
            <v>2225</v>
          </cell>
          <cell r="E411">
            <v>2270</v>
          </cell>
          <cell r="F411">
            <v>2285</v>
          </cell>
        </row>
        <row r="412">
          <cell r="B412" t="str">
            <v>DGCE</v>
          </cell>
          <cell r="C412">
            <v>1850</v>
          </cell>
          <cell r="D412">
            <v>1850</v>
          </cell>
          <cell r="E412">
            <v>1850</v>
          </cell>
          <cell r="F412">
            <v>1850</v>
          </cell>
        </row>
        <row r="413">
          <cell r="B413" t="str">
            <v>BHIP</v>
          </cell>
          <cell r="C413">
            <v>259</v>
          </cell>
          <cell r="D413">
            <v>251</v>
          </cell>
          <cell r="E413">
            <v>253.5</v>
          </cell>
          <cell r="F413">
            <v>246.5</v>
          </cell>
        </row>
        <row r="415">
          <cell r="B415" t="str">
            <v>Acciones en USD</v>
          </cell>
        </row>
        <row r="417">
          <cell r="B417" t="str">
            <v>YPFDD</v>
          </cell>
          <cell r="C417">
            <v>5.43</v>
          </cell>
          <cell r="D417">
            <v>5.51</v>
          </cell>
          <cell r="E417">
            <v>5.38</v>
          </cell>
          <cell r="F417">
            <v>5.48</v>
          </cell>
        </row>
        <row r="418">
          <cell r="B418" t="str">
            <v>VALOD</v>
          </cell>
          <cell r="C418">
            <v>0.34899999999999998</v>
          </cell>
          <cell r="D418">
            <v>0.34599999999999997</v>
          </cell>
          <cell r="E418">
            <v>0.34300000000000003</v>
          </cell>
          <cell r="F418">
            <v>0.34499999999999997</v>
          </cell>
        </row>
        <row r="419">
          <cell r="B419" t="str">
            <v>LOMAD</v>
          </cell>
          <cell r="C419">
            <v>2.085</v>
          </cell>
          <cell r="D419">
            <v>2.085</v>
          </cell>
          <cell r="E419">
            <v>2.1349999999999998</v>
          </cell>
          <cell r="F419">
            <v>2.1150000000000002</v>
          </cell>
        </row>
        <row r="420">
          <cell r="B420" t="str">
            <v>PAMPD</v>
          </cell>
          <cell r="C420">
            <v>3.4</v>
          </cell>
          <cell r="D420">
            <v>3.39</v>
          </cell>
          <cell r="E420">
            <v>3.4</v>
          </cell>
          <cell r="F420">
            <v>3.4049999999999998</v>
          </cell>
        </row>
        <row r="421">
          <cell r="B421" t="str">
            <v>EDND</v>
          </cell>
          <cell r="C421">
            <v>1.085</v>
          </cell>
          <cell r="D421">
            <v>1.07</v>
          </cell>
          <cell r="E421">
            <v>1.0900000000000001</v>
          </cell>
          <cell r="F421">
            <v>1.07</v>
          </cell>
        </row>
        <row r="422">
          <cell r="B422" t="str">
            <v>BBARD</v>
          </cell>
          <cell r="C422">
            <v>4.5350000000000001</v>
          </cell>
          <cell r="D422">
            <v>4.4050000000000002</v>
          </cell>
          <cell r="E422">
            <v>4.5449999999999999</v>
          </cell>
          <cell r="F422">
            <v>4.49</v>
          </cell>
        </row>
        <row r="423">
          <cell r="B423" t="str">
            <v>GGALD</v>
          </cell>
          <cell r="C423">
            <v>3.87</v>
          </cell>
          <cell r="D423">
            <v>3.75</v>
          </cell>
          <cell r="E423">
            <v>3.84</v>
          </cell>
          <cell r="F423">
            <v>3.77</v>
          </cell>
        </row>
        <row r="424">
          <cell r="B424" t="str">
            <v>SUPVD</v>
          </cell>
          <cell r="C424">
            <v>1.5349999999999999</v>
          </cell>
          <cell r="D424">
            <v>1.4850000000000001</v>
          </cell>
          <cell r="E424">
            <v>1.55</v>
          </cell>
          <cell r="F424">
            <v>1.5349999999999999</v>
          </cell>
        </row>
        <row r="426">
          <cell r="B426" t="str">
            <v>Cedears en Pesos</v>
          </cell>
        </row>
        <row r="428">
          <cell r="B428" t="str">
            <v>MELI</v>
          </cell>
          <cell r="C428">
            <v>25220</v>
          </cell>
          <cell r="D428">
            <v>24690</v>
          </cell>
          <cell r="E428">
            <v>24970</v>
          </cell>
          <cell r="F428">
            <v>24740</v>
          </cell>
        </row>
        <row r="429">
          <cell r="B429" t="str">
            <v>NU</v>
          </cell>
          <cell r="C429">
            <v>12550</v>
          </cell>
          <cell r="D429">
            <v>11990</v>
          </cell>
          <cell r="E429">
            <v>11970</v>
          </cell>
          <cell r="F429">
            <v>11820</v>
          </cell>
        </row>
        <row r="430">
          <cell r="B430" t="str">
            <v>VALE</v>
          </cell>
          <cell r="C430">
            <v>10800</v>
          </cell>
          <cell r="D430">
            <v>10710</v>
          </cell>
          <cell r="E430">
            <v>10540</v>
          </cell>
          <cell r="F430">
            <v>10590</v>
          </cell>
        </row>
        <row r="431">
          <cell r="B431" t="str">
            <v>BBDC3</v>
          </cell>
          <cell r="C431">
            <v>6100</v>
          </cell>
          <cell r="D431">
            <v>6100</v>
          </cell>
          <cell r="E431">
            <v>5995</v>
          </cell>
          <cell r="F431">
            <v>5795</v>
          </cell>
        </row>
        <row r="432">
          <cell r="B432" t="str">
            <v>VALE3</v>
          </cell>
          <cell r="C432">
            <v>21610</v>
          </cell>
          <cell r="D432">
            <v>21350</v>
          </cell>
          <cell r="E432">
            <v>21080</v>
          </cell>
          <cell r="F432">
            <v>21240</v>
          </cell>
        </row>
        <row r="433">
          <cell r="B433" t="str">
            <v>ITUB3</v>
          </cell>
          <cell r="C433">
            <v>17400</v>
          </cell>
          <cell r="D433">
            <v>17070</v>
          </cell>
          <cell r="E433">
            <v>18320</v>
          </cell>
          <cell r="F433">
            <v>16780</v>
          </cell>
        </row>
        <row r="434">
          <cell r="B434" t="str">
            <v>PETR3</v>
          </cell>
          <cell r="C434">
            <v>20480</v>
          </cell>
          <cell r="D434">
            <v>20890</v>
          </cell>
          <cell r="E434">
            <v>20780</v>
          </cell>
          <cell r="F434">
            <v>21240</v>
          </cell>
        </row>
        <row r="435">
          <cell r="B435" t="str">
            <v>SUZB3</v>
          </cell>
          <cell r="C435">
            <v>13950</v>
          </cell>
          <cell r="D435">
            <v>13830</v>
          </cell>
          <cell r="E435">
            <v>13590</v>
          </cell>
          <cell r="F435">
            <v>13590</v>
          </cell>
        </row>
        <row r="436">
          <cell r="B436" t="str">
            <v>SBSP3</v>
          </cell>
          <cell r="C436">
            <v>10520</v>
          </cell>
          <cell r="D436">
            <v>10540</v>
          </cell>
          <cell r="E436">
            <v>10280</v>
          </cell>
          <cell r="F436">
            <v>10140</v>
          </cell>
        </row>
        <row r="437">
          <cell r="B437" t="str">
            <v>ABEV3</v>
          </cell>
          <cell r="C437">
            <v>5175</v>
          </cell>
          <cell r="D437">
            <v>5320</v>
          </cell>
          <cell r="E437">
            <v>5290</v>
          </cell>
          <cell r="F437">
            <v>5390</v>
          </cell>
        </row>
        <row r="438">
          <cell r="B438" t="str">
            <v>MSFT</v>
          </cell>
          <cell r="C438">
            <v>29200</v>
          </cell>
          <cell r="D438">
            <v>28700</v>
          </cell>
          <cell r="E438">
            <v>29060</v>
          </cell>
          <cell r="F438">
            <v>28520</v>
          </cell>
        </row>
        <row r="439">
          <cell r="B439" t="str">
            <v>META</v>
          </cell>
          <cell r="C439">
            <v>51250</v>
          </cell>
          <cell r="D439">
            <v>49680</v>
          </cell>
          <cell r="E439">
            <v>49640</v>
          </cell>
          <cell r="F439">
            <v>47680</v>
          </cell>
        </row>
        <row r="440">
          <cell r="B440" t="str">
            <v>ITUB</v>
          </cell>
          <cell r="C440">
            <v>15980</v>
          </cell>
          <cell r="D440">
            <v>15640</v>
          </cell>
          <cell r="E440">
            <v>15370</v>
          </cell>
          <cell r="F440">
            <v>15310</v>
          </cell>
        </row>
        <row r="441">
          <cell r="B441" t="str">
            <v>PBR</v>
          </cell>
          <cell r="C441">
            <v>40980</v>
          </cell>
          <cell r="D441">
            <v>41800</v>
          </cell>
          <cell r="E441">
            <v>40840</v>
          </cell>
          <cell r="F441">
            <v>42160</v>
          </cell>
        </row>
        <row r="442">
          <cell r="B442" t="str">
            <v>VIST</v>
          </cell>
          <cell r="C442">
            <v>37120</v>
          </cell>
          <cell r="D442">
            <v>37700</v>
          </cell>
          <cell r="E442">
            <v>37760</v>
          </cell>
          <cell r="F442">
            <v>38900</v>
          </cell>
        </row>
        <row r="443">
          <cell r="B443" t="str">
            <v>PAGS</v>
          </cell>
          <cell r="E443">
            <v>5975</v>
          </cell>
          <cell r="F443">
            <v>5910</v>
          </cell>
        </row>
        <row r="444">
          <cell r="B444" t="str">
            <v>BBD</v>
          </cell>
          <cell r="E444">
            <v>6490</v>
          </cell>
          <cell r="F444">
            <v>6440</v>
          </cell>
        </row>
        <row r="445">
          <cell r="B445" t="str">
            <v>SID</v>
          </cell>
          <cell r="E445">
            <v>14930</v>
          </cell>
          <cell r="F445">
            <v>14440</v>
          </cell>
        </row>
        <row r="446">
          <cell r="B446" t="str">
            <v>SMH</v>
          </cell>
          <cell r="C446">
            <v>18930</v>
          </cell>
          <cell r="D446">
            <v>18320</v>
          </cell>
          <cell r="E446">
            <v>18080</v>
          </cell>
          <cell r="F446">
            <v>17510</v>
          </cell>
        </row>
        <row r="447">
          <cell r="B447" t="str">
            <v>GOOGL</v>
          </cell>
          <cell r="C447">
            <v>9870</v>
          </cell>
          <cell r="D447">
            <v>9715</v>
          </cell>
          <cell r="E447">
            <v>9755</v>
          </cell>
          <cell r="F447">
            <v>9530</v>
          </cell>
        </row>
        <row r="449">
          <cell r="B449" t="str">
            <v>Cedears en USD</v>
          </cell>
        </row>
        <row r="451">
          <cell r="B451" t="str">
            <v>VALED</v>
          </cell>
          <cell r="C451">
            <v>7.04</v>
          </cell>
          <cell r="D451">
            <v>6.95</v>
          </cell>
          <cell r="E451">
            <v>6.87</v>
          </cell>
          <cell r="F451">
            <v>6.86</v>
          </cell>
        </row>
        <row r="452">
          <cell r="B452" t="str">
            <v>PBRD</v>
          </cell>
          <cell r="C452">
            <v>26.69</v>
          </cell>
          <cell r="D452">
            <v>27.27</v>
          </cell>
          <cell r="E452">
            <v>26.61</v>
          </cell>
          <cell r="F452">
            <v>27.52</v>
          </cell>
        </row>
        <row r="453">
          <cell r="B453" t="str">
            <v>PAGSD</v>
          </cell>
          <cell r="C453">
            <v>3.855</v>
          </cell>
          <cell r="D453">
            <v>3.7749999999999999</v>
          </cell>
          <cell r="E453">
            <v>3.88</v>
          </cell>
          <cell r="F453">
            <v>3.8849999999999998</v>
          </cell>
        </row>
        <row r="454">
          <cell r="B454" t="str">
            <v>VISTD</v>
          </cell>
          <cell r="C454">
            <v>24.21</v>
          </cell>
          <cell r="D454">
            <v>24.48</v>
          </cell>
          <cell r="E454">
            <v>24.63</v>
          </cell>
          <cell r="F454">
            <v>25.39</v>
          </cell>
        </row>
        <row r="455">
          <cell r="B455" t="str">
            <v>BBDD</v>
          </cell>
          <cell r="C455">
            <v>4.3899999999999997</v>
          </cell>
          <cell r="D455">
            <v>4.33</v>
          </cell>
          <cell r="E455">
            <v>4.2300000000000004</v>
          </cell>
          <cell r="F455">
            <v>4.1900000000000004</v>
          </cell>
        </row>
        <row r="456">
          <cell r="B456" t="str">
            <v>SIDD</v>
          </cell>
          <cell r="C456">
            <v>10.6</v>
          </cell>
          <cell r="D456">
            <v>9.99</v>
          </cell>
          <cell r="E456">
            <v>9.7799999999999994</v>
          </cell>
          <cell r="F456">
            <v>9.4600000000000009</v>
          </cell>
        </row>
        <row r="458">
          <cell r="B458" t="str">
            <v>ADR</v>
          </cell>
        </row>
        <row r="460">
          <cell r="B460" t="str">
            <v>BBD US</v>
          </cell>
          <cell r="C460">
            <v>4.1900000000000004</v>
          </cell>
          <cell r="D460">
            <v>4.1399999999999997</v>
          </cell>
          <cell r="E460">
            <v>4.03</v>
          </cell>
          <cell r="F460">
            <v>3.96</v>
          </cell>
        </row>
        <row r="461">
          <cell r="B461" t="str">
            <v>PAGS US</v>
          </cell>
          <cell r="C461">
            <v>10.99</v>
          </cell>
          <cell r="D461">
            <v>10.83</v>
          </cell>
          <cell r="E461">
            <v>11.12</v>
          </cell>
          <cell r="F461">
            <v>11</v>
          </cell>
        </row>
        <row r="462">
          <cell r="B462" t="str">
            <v>NIO US</v>
          </cell>
          <cell r="C462">
            <v>3.56</v>
          </cell>
          <cell r="D462">
            <v>3.41</v>
          </cell>
          <cell r="E462">
            <v>3.5</v>
          </cell>
          <cell r="F462">
            <v>3.43</v>
          </cell>
        </row>
        <row r="463">
          <cell r="B463" t="str">
            <v>JD US</v>
          </cell>
          <cell r="C463">
            <v>26.78</v>
          </cell>
          <cell r="D463">
            <v>26.68</v>
          </cell>
          <cell r="E463">
            <v>27.39</v>
          </cell>
          <cell r="F463">
            <v>27.01</v>
          </cell>
        </row>
        <row r="464">
          <cell r="B464" t="str">
            <v>BDORY US</v>
          </cell>
          <cell r="C464">
            <v>4.92</v>
          </cell>
          <cell r="D464">
            <v>4.75</v>
          </cell>
          <cell r="E464">
            <v>4.6500000000000004</v>
          </cell>
          <cell r="F464">
            <v>4.68</v>
          </cell>
        </row>
        <row r="465">
          <cell r="B465" t="str">
            <v>GGAL US</v>
          </cell>
          <cell r="C465">
            <v>36.79</v>
          </cell>
          <cell r="D465">
            <v>35.549999999999997</v>
          </cell>
          <cell r="E465">
            <v>36.47</v>
          </cell>
          <cell r="F465">
            <v>36.020000000000003</v>
          </cell>
        </row>
        <row r="466">
          <cell r="B466" t="str">
            <v>VALE US</v>
          </cell>
          <cell r="C466">
            <v>13.37</v>
          </cell>
          <cell r="D466">
            <v>13.21</v>
          </cell>
          <cell r="E466">
            <v>13.02</v>
          </cell>
          <cell r="F466">
            <v>13.06</v>
          </cell>
        </row>
        <row r="467">
          <cell r="B467" t="str">
            <v>PBR US</v>
          </cell>
          <cell r="C467">
            <v>25.5</v>
          </cell>
          <cell r="D467">
            <v>25.94</v>
          </cell>
          <cell r="E467">
            <v>25.3</v>
          </cell>
          <cell r="F467">
            <v>26</v>
          </cell>
        </row>
        <row r="468">
          <cell r="B468" t="str">
            <v>VIST US</v>
          </cell>
          <cell r="C468">
            <v>69.02</v>
          </cell>
          <cell r="D468">
            <v>69.94</v>
          </cell>
          <cell r="E468">
            <v>69.989999999999995</v>
          </cell>
          <cell r="F468">
            <v>71.95</v>
          </cell>
        </row>
        <row r="469">
          <cell r="B469" t="str">
            <v>AMD US</v>
          </cell>
          <cell r="C469">
            <v>605.53</v>
          </cell>
          <cell r="D469">
            <v>570.82000000000005</v>
          </cell>
          <cell r="E469">
            <v>562.23</v>
          </cell>
          <cell r="F469">
            <v>528.75</v>
          </cell>
        </row>
        <row r="470">
          <cell r="B470" t="str">
            <v>SID US</v>
          </cell>
          <cell r="C470">
            <v>1.24</v>
          </cell>
          <cell r="D470">
            <v>1.21</v>
          </cell>
          <cell r="E470">
            <v>1.1499999999999999</v>
          </cell>
          <cell r="F470">
            <v>1.1100000000000001</v>
          </cell>
        </row>
        <row r="471">
          <cell r="B471" t="str">
            <v>MSFT US</v>
          </cell>
          <cell r="C471">
            <v>543.45000000000005</v>
          </cell>
          <cell r="D471">
            <v>533.69000000000005</v>
          </cell>
          <cell r="E471">
            <v>539.44000000000005</v>
          </cell>
          <cell r="F471">
            <v>529.04999999999995</v>
          </cell>
        </row>
        <row r="472">
          <cell r="B472" t="str">
            <v>NU US</v>
          </cell>
          <cell r="C472">
            <v>15.58</v>
          </cell>
          <cell r="D472">
            <v>14.93</v>
          </cell>
          <cell r="E472">
            <v>14.73</v>
          </cell>
          <cell r="F472">
            <v>14.56</v>
          </cell>
        </row>
        <row r="473">
          <cell r="B473" t="str">
            <v>YPF US</v>
          </cell>
          <cell r="C473">
            <v>51.79</v>
          </cell>
          <cell r="D473">
            <v>52.25</v>
          </cell>
          <cell r="E473">
            <v>51.11</v>
          </cell>
          <cell r="F473">
            <v>52.1</v>
          </cell>
        </row>
        <row r="474">
          <cell r="B474" t="str">
            <v>TSLA US</v>
          </cell>
          <cell r="E474">
            <v>362.44</v>
          </cell>
          <cell r="F474">
            <v>354.72</v>
          </cell>
        </row>
        <row r="476">
          <cell r="B476" t="str">
            <v>ETF</v>
          </cell>
        </row>
        <row r="478">
          <cell r="B478" t="str">
            <v>EWZ US</v>
          </cell>
          <cell r="C478">
            <v>42.87</v>
          </cell>
          <cell r="D478">
            <v>42.6</v>
          </cell>
          <cell r="E478">
            <v>41.58</v>
          </cell>
          <cell r="F478">
            <v>41.83</v>
          </cell>
        </row>
        <row r="479">
          <cell r="B479" t="str">
            <v>FLRN US</v>
          </cell>
          <cell r="C479">
            <v>30.77</v>
          </cell>
          <cell r="D479">
            <v>30.77</v>
          </cell>
          <cell r="E479">
            <v>30.78</v>
          </cell>
          <cell r="F479">
            <v>30.79</v>
          </cell>
        </row>
        <row r="480">
          <cell r="B480" t="str">
            <v>SDIA LN</v>
          </cell>
          <cell r="C480">
            <v>6.3550000000000004</v>
          </cell>
          <cell r="D480">
            <v>6.3570000000000002</v>
          </cell>
          <cell r="E480">
            <v>6.3609999999999998</v>
          </cell>
          <cell r="F480">
            <v>6.3780000000000001</v>
          </cell>
        </row>
        <row r="481">
          <cell r="B481" t="str">
            <v>EMCA LN</v>
          </cell>
          <cell r="C481">
            <v>6.6779999999999999</v>
          </cell>
          <cell r="D481">
            <v>6.6630000000000003</v>
          </cell>
          <cell r="E481">
            <v>6.6929999999999996</v>
          </cell>
          <cell r="F481">
            <v>6.7039999999999997</v>
          </cell>
        </row>
        <row r="482">
          <cell r="B482" t="str">
            <v>IGV US</v>
          </cell>
          <cell r="C482">
            <v>110.98</v>
          </cell>
          <cell r="D482">
            <v>107.65</v>
          </cell>
          <cell r="E482">
            <v>109.6</v>
          </cell>
          <cell r="F482">
            <v>104.34</v>
          </cell>
        </row>
        <row r="484">
          <cell r="B484" t="str">
            <v>Funds</v>
          </cell>
        </row>
        <row r="486">
          <cell r="B486" t="str">
            <v>MUHYIU1 LX</v>
          </cell>
          <cell r="C486">
            <v>294.52999999999997</v>
          </cell>
          <cell r="D486">
            <v>294.11</v>
          </cell>
          <cell r="E486">
            <v>293.43</v>
          </cell>
          <cell r="F486">
            <v>294.02</v>
          </cell>
        </row>
        <row r="487">
          <cell r="B487" t="str">
            <v>MGCIF1U LX</v>
          </cell>
          <cell r="C487">
            <v>151.53</v>
          </cell>
          <cell r="D487">
            <v>151.86000000000001</v>
          </cell>
          <cell r="E487">
            <v>151.75</v>
          </cell>
          <cell r="F487">
            <v>152.63</v>
          </cell>
        </row>
        <row r="489">
          <cell r="B489" t="str">
            <v>Latam</v>
          </cell>
        </row>
        <row r="491">
          <cell r="B491" t="str">
            <v>CH27</v>
          </cell>
          <cell r="C491">
            <v>1.0004427777777778</v>
          </cell>
          <cell r="D491">
            <v>1.0001991666666668</v>
          </cell>
          <cell r="E491">
            <v>1.0006355555555555</v>
          </cell>
          <cell r="F491">
            <v>1.0006147222222221</v>
          </cell>
        </row>
        <row r="492">
          <cell r="B492" t="str">
            <v>CH28</v>
          </cell>
          <cell r="C492">
            <v>0.98290499999999992</v>
          </cell>
          <cell r="D492">
            <v>0.98251499999999992</v>
          </cell>
          <cell r="E492">
            <v>0.9835299999999999</v>
          </cell>
          <cell r="F492">
            <v>0.98336000000000001</v>
          </cell>
        </row>
        <row r="493">
          <cell r="B493" t="str">
            <v>BR27</v>
          </cell>
          <cell r="C493">
            <v>1.0717412499999999</v>
          </cell>
          <cell r="D493">
            <v>1.0714174999999999</v>
          </cell>
          <cell r="E493">
            <v>1.0725087500000001</v>
          </cell>
          <cell r="F493">
            <v>1.0726475</v>
          </cell>
        </row>
        <row r="494">
          <cell r="B494" t="str">
            <v>BR28</v>
          </cell>
          <cell r="C494">
            <v>1.0082509722222222</v>
          </cell>
          <cell r="D494">
            <v>1.0080344444444445</v>
          </cell>
          <cell r="E494">
            <v>1.0086929166666665</v>
          </cell>
          <cell r="F494">
            <v>1.0087533333333334</v>
          </cell>
        </row>
        <row r="495">
          <cell r="B495" t="str">
            <v>CDEL27</v>
          </cell>
          <cell r="C495">
            <v>0.99528069444444456</v>
          </cell>
          <cell r="D495">
            <v>0.9948663888888889</v>
          </cell>
          <cell r="E495">
            <v>0.9956320833333332</v>
          </cell>
          <cell r="F495">
            <v>0.99597916666666664</v>
          </cell>
        </row>
        <row r="497">
          <cell r="B497" t="str">
            <v>Futuros</v>
          </cell>
        </row>
        <row r="499">
          <cell r="B499" t="str">
            <v>FUTDLR102026</v>
          </cell>
          <cell r="C499">
            <v>1526</v>
          </cell>
          <cell r="D499">
            <v>1527</v>
          </cell>
          <cell r="E499">
            <v>1526</v>
          </cell>
          <cell r="F499">
            <v>1531</v>
          </cell>
        </row>
        <row r="501">
          <cell r="B501" t="str">
            <v>Futuros Soja</v>
          </cell>
        </row>
        <row r="503">
          <cell r="B503" t="str">
            <v>FUTDLRMM1126</v>
          </cell>
          <cell r="C503">
            <v>565262.06846999994</v>
          </cell>
          <cell r="D503">
            <v>563115.45290000003</v>
          </cell>
          <cell r="E503">
            <v>561365.54064000002</v>
          </cell>
          <cell r="F503">
            <v>560389.23499999999</v>
          </cell>
        </row>
        <row r="504">
          <cell r="B504" t="str">
            <v>FUTDLRMM0527</v>
          </cell>
          <cell r="C504">
            <v>543888.52283999999</v>
          </cell>
          <cell r="D504">
            <v>542365.90555000002</v>
          </cell>
          <cell r="E504">
            <v>539716.33020000008</v>
          </cell>
          <cell r="F504">
            <v>537670.75249999994</v>
          </cell>
        </row>
        <row r="505">
          <cell r="B505" t="str">
            <v>FUTARSSRO1126</v>
          </cell>
          <cell r="C505">
            <v>565262.06846999994</v>
          </cell>
          <cell r="D505">
            <v>563115.45290000003</v>
          </cell>
          <cell r="E505">
            <v>561365.54064000002</v>
          </cell>
          <cell r="F505">
            <v>560389.23499999999</v>
          </cell>
        </row>
        <row r="506">
          <cell r="B506" t="str">
            <v>FUTARSSRO0127</v>
          </cell>
          <cell r="C506">
            <v>572992.92539999995</v>
          </cell>
          <cell r="D506">
            <v>570991.19349999994</v>
          </cell>
          <cell r="E506">
            <v>568783.80156000005</v>
          </cell>
          <cell r="F506">
            <v>567962.0625</v>
          </cell>
        </row>
        <row r="507">
          <cell r="B507" t="str">
            <v>FUTARSSRO0527</v>
          </cell>
          <cell r="C507">
            <v>543888.52283999999</v>
          </cell>
          <cell r="D507">
            <v>542365.90555000002</v>
          </cell>
          <cell r="E507">
            <v>539716.33020000008</v>
          </cell>
          <cell r="F507">
            <v>537670.75249999994</v>
          </cell>
        </row>
        <row r="509">
          <cell r="B509" t="str">
            <v>Treasury</v>
          </cell>
        </row>
        <row r="511">
          <cell r="B511" t="str">
            <v>US27102026</v>
          </cell>
          <cell r="C511">
            <v>0.99864495917499729</v>
          </cell>
          <cell r="D511">
            <v>0.99874719341093465</v>
          </cell>
          <cell r="E511">
            <v>0.99885496193024415</v>
          </cell>
          <cell r="F511">
            <v>0.99896455271444251</v>
          </cell>
        </row>
        <row r="512">
          <cell r="B512" t="str">
            <v>US03112026</v>
          </cell>
          <cell r="C512">
            <v>0.99787417260511158</v>
          </cell>
          <cell r="D512">
            <v>0.99799025542628228</v>
          </cell>
          <cell r="E512">
            <v>0.99810138147239569</v>
          </cell>
          <cell r="F512">
            <v>0.99820133417894741</v>
          </cell>
        </row>
        <row r="513">
          <cell r="B513" t="str">
            <v>US19112026</v>
          </cell>
          <cell r="C513">
            <v>0.99613488747114487</v>
          </cell>
          <cell r="D513">
            <v>0.99623042782501603</v>
          </cell>
          <cell r="E513">
            <v>0.9963480921621003</v>
          </cell>
          <cell r="F513">
            <v>0.99648465603234815</v>
          </cell>
        </row>
        <row r="514">
          <cell r="B514" t="str">
            <v>US01122026</v>
          </cell>
          <cell r="C514">
            <v>0.99483557684655111</v>
          </cell>
          <cell r="D514">
            <v>0.99493510430836929</v>
          </cell>
          <cell r="E514">
            <v>0.99503834081734843</v>
          </cell>
          <cell r="F514">
            <v>0.99515459229013925</v>
          </cell>
        </row>
        <row r="515">
          <cell r="B515" t="str">
            <v>US10122026</v>
          </cell>
          <cell r="C515">
            <v>0.993862536688776</v>
          </cell>
          <cell r="D515">
            <v>0.9939403081169208</v>
          </cell>
          <cell r="E515">
            <v>0.99405784899226357</v>
          </cell>
          <cell r="F515">
            <v>0.99417812558190066</v>
          </cell>
        </row>
        <row r="517">
          <cell r="B517" t="str">
            <v>Pagare $</v>
          </cell>
        </row>
        <row r="519">
          <cell r="B519" t="str">
            <v>#MAV150270009</v>
          </cell>
          <cell r="C519">
            <v>0.90965732087227413</v>
          </cell>
          <cell r="D519">
            <v>0.91031524341580217</v>
          </cell>
          <cell r="E519">
            <v>0.9109741183517609</v>
          </cell>
          <cell r="F519">
            <v>0.91295647823911952</v>
          </cell>
        </row>
        <row r="520">
          <cell r="B520" t="str">
            <v>#MAV150270010</v>
          </cell>
          <cell r="C520">
            <v>0.90965732087227413</v>
          </cell>
          <cell r="D520">
            <v>0.91031524341580217</v>
          </cell>
          <cell r="E520">
            <v>0.9109741183517609</v>
          </cell>
          <cell r="F520">
            <v>0.91295647823911952</v>
          </cell>
        </row>
        <row r="521">
          <cell r="B521" t="str">
            <v>#MAV101260047</v>
          </cell>
          <cell r="C521">
            <v>0.95908012391840725</v>
          </cell>
          <cell r="D521">
            <v>0.95975724715326793</v>
          </cell>
          <cell r="E521">
            <v>0.9604353271795304</v>
          </cell>
          <cell r="F521">
            <v>0.96247532832934057</v>
          </cell>
        </row>
        <row r="523">
          <cell r="B523" t="str">
            <v>Pagarés USD</v>
          </cell>
        </row>
        <row r="525">
          <cell r="B525" t="str">
            <v>#UMV130170010</v>
          </cell>
          <cell r="C525">
            <v>1486.1296707901279</v>
          </cell>
          <cell r="D525">
            <v>1485.1792948831612</v>
          </cell>
          <cell r="E525">
            <v>1484.870062220622</v>
          </cell>
          <cell r="F525">
            <v>1486.4332240769222</v>
          </cell>
        </row>
        <row r="526">
          <cell r="B526" t="str">
            <v>#UMV130170012</v>
          </cell>
          <cell r="C526">
            <v>1486.1296707901279</v>
          </cell>
          <cell r="D526">
            <v>1485.1792948831612</v>
          </cell>
          <cell r="E526">
            <v>1484.870062220622</v>
          </cell>
          <cell r="F526">
            <v>1486.4332240769222</v>
          </cell>
        </row>
        <row r="527">
          <cell r="B527" t="str">
            <v>#UMV150270056</v>
          </cell>
          <cell r="C527">
            <v>1476.4788343198109</v>
          </cell>
          <cell r="D527">
            <v>1475.5326092904013</v>
          </cell>
          <cell r="E527">
            <v>1475.2233639545409</v>
          </cell>
          <cell r="F527">
            <v>1476.7702953052228</v>
          </cell>
        </row>
        <row r="528">
          <cell r="B528" t="str">
            <v>#UMV150270055</v>
          </cell>
          <cell r="C528">
            <v>1476.4788343198109</v>
          </cell>
          <cell r="D528">
            <v>1475.5326092904013</v>
          </cell>
          <cell r="E528">
            <v>1475.2233639545409</v>
          </cell>
          <cell r="F528">
            <v>1476.7702953052228</v>
          </cell>
        </row>
        <row r="529">
          <cell r="B529" t="str">
            <v>#UMV150370062</v>
          </cell>
          <cell r="C529">
            <v>1467.8690572835419</v>
          </cell>
          <cell r="D529">
            <v>1466.9265576676348</v>
          </cell>
          <cell r="E529">
            <v>1466.6173233362085</v>
          </cell>
          <cell r="F529">
            <v>1468.1498421812321</v>
          </cell>
        </row>
        <row r="530">
          <cell r="B530" t="str">
            <v>#UMV150370061</v>
          </cell>
          <cell r="C530">
            <v>1467.8690572835419</v>
          </cell>
          <cell r="D530">
            <v>1466.9265576676348</v>
          </cell>
          <cell r="E530">
            <v>1466.6173233362085</v>
          </cell>
          <cell r="F530">
            <v>1468.1498421812321</v>
          </cell>
        </row>
        <row r="531">
          <cell r="B531" t="str">
            <v>#UMV150170072</v>
          </cell>
          <cell r="C531">
            <v>1484.8773182471427</v>
          </cell>
          <cell r="D531">
            <v>1483.9274794919147</v>
          </cell>
          <cell r="E531">
            <v>1483.6182436922334</v>
          </cell>
          <cell r="F531">
            <v>1485.1792948831612</v>
          </cell>
        </row>
        <row r="532">
          <cell r="B532" t="str">
            <v>#UMV150170073</v>
          </cell>
          <cell r="C532">
            <v>1484.8773182471427</v>
          </cell>
          <cell r="D532">
            <v>1483.9274794919147</v>
          </cell>
          <cell r="E532">
            <v>1483.6182436922334</v>
          </cell>
          <cell r="F532">
            <v>1485.1792948831612</v>
          </cell>
        </row>
        <row r="533">
          <cell r="B533" t="str">
            <v>#UMV150370068</v>
          </cell>
          <cell r="C533">
            <v>1467.8690572835419</v>
          </cell>
          <cell r="D533">
            <v>1466.9265576676348</v>
          </cell>
          <cell r="E533">
            <v>1466.6173233362085</v>
          </cell>
          <cell r="F533">
            <v>1468.1498421812321</v>
          </cell>
        </row>
        <row r="534">
          <cell r="B534" t="str">
            <v>#UMV150370069</v>
          </cell>
          <cell r="C534">
            <v>1467.8690572835419</v>
          </cell>
          <cell r="D534">
            <v>1466.9265576676348</v>
          </cell>
          <cell r="E534">
            <v>1466.6173233362085</v>
          </cell>
          <cell r="F534">
            <v>1468.1498421812321</v>
          </cell>
        </row>
        <row r="535">
          <cell r="B535" t="str">
            <v>#UMV080470014</v>
          </cell>
          <cell r="C535">
            <v>1460.5687708544517</v>
          </cell>
          <cell r="D535">
            <v>1459.6294465163867</v>
          </cell>
          <cell r="E535">
            <v>1459.3202379977765</v>
          </cell>
          <cell r="F535">
            <v>1460.8405860101182</v>
          </cell>
        </row>
        <row r="536">
          <cell r="B536" t="str">
            <v>#UMV110270016</v>
          </cell>
          <cell r="C536">
            <v>1477.7170543774371</v>
          </cell>
          <cell r="D536">
            <v>1476.7702953052228</v>
          </cell>
          <cell r="E536">
            <v>1476.4610501171637</v>
          </cell>
          <cell r="F536">
            <v>1478.0100594207645</v>
          </cell>
        </row>
        <row r="537">
          <cell r="B537" t="str">
            <v>#UMV150470068</v>
          </cell>
          <cell r="C537">
            <v>1458.4531790581905</v>
          </cell>
          <cell r="D537">
            <v>1457.5147777276836</v>
          </cell>
          <cell r="E537">
            <v>1457.2055795162821</v>
          </cell>
          <cell r="F537">
            <v>1458.7224089842812</v>
          </cell>
        </row>
        <row r="538">
          <cell r="B538" t="str">
            <v>#UMV250270018</v>
          </cell>
          <cell r="C538">
            <v>1473.3923436630369</v>
          </cell>
          <cell r="D538">
            <v>1472.4474517267049</v>
          </cell>
          <cell r="E538">
            <v>1472.1382079166247</v>
          </cell>
          <cell r="F538">
            <v>1473.6799652917082</v>
          </cell>
        </row>
        <row r="539">
          <cell r="B539" t="str">
            <v>#UMV290370010</v>
          </cell>
          <cell r="C539">
            <v>1463.6017138806076</v>
          </cell>
          <cell r="D539">
            <v>1462.6610685205151</v>
          </cell>
          <cell r="E539">
            <v>1462.3518474412106</v>
          </cell>
          <cell r="F539">
            <v>1463.8772463612686</v>
          </cell>
        </row>
        <row r="540">
          <cell r="B540" t="str">
            <v>#UMV040370018</v>
          </cell>
          <cell r="C540">
            <v>1471.2394670119938</v>
          </cell>
          <cell r="D540">
            <v>1470.2955065294291</v>
          </cell>
          <cell r="E540">
            <v>1469.9862653842727</v>
          </cell>
          <cell r="F540">
            <v>1471.5244186479838</v>
          </cell>
        </row>
        <row r="541">
          <cell r="B541" t="str">
            <v>#UMV110370016</v>
          </cell>
          <cell r="C541">
            <v>1469.09287261894</v>
          </cell>
          <cell r="D541">
            <v>1468.1498421812321</v>
          </cell>
          <cell r="E541">
            <v>1467.8406050029087</v>
          </cell>
          <cell r="F541">
            <v>1469.3751686156306</v>
          </cell>
        </row>
        <row r="542">
          <cell r="B542" t="str">
            <v>#UMV210170045</v>
          </cell>
          <cell r="C542">
            <v>1484.251933154761</v>
          </cell>
          <cell r="D542">
            <v>1483.3023628026283</v>
          </cell>
          <cell r="E542">
            <v>1482.9931256030027</v>
          </cell>
          <cell r="F542">
            <v>1484.5531232964263</v>
          </cell>
        </row>
        <row r="543">
          <cell r="B543" t="str">
            <v>#UMV280170011</v>
          </cell>
          <cell r="C543">
            <v>1482.0672276673426</v>
          </cell>
          <cell r="D543">
            <v>1481.118595819072</v>
          </cell>
          <cell r="E543">
            <v>1480.8093546001223</v>
          </cell>
          <cell r="F543">
            <v>1482.3656746534525</v>
          </cell>
        </row>
        <row r="544">
          <cell r="B544" t="str">
            <v>#UMV070170014</v>
          </cell>
          <cell r="C544">
            <v>1488.640724024511</v>
          </cell>
          <cell r="D544">
            <v>1487.6892724317399</v>
          </cell>
          <cell r="E544">
            <v>1487.3800474004452</v>
          </cell>
          <cell r="F544">
            <v>1488.9474453242833</v>
          </cell>
        </row>
        <row r="545">
          <cell r="B545" t="str">
            <v>#UMV010670037</v>
          </cell>
          <cell r="C545">
            <v>1443.813918927382</v>
          </cell>
          <cell r="D545">
            <v>1442.8819393240215</v>
          </cell>
          <cell r="E545">
            <v>1442.5728472412579</v>
          </cell>
          <cell r="F545">
            <v>1444.0654342320597</v>
          </cell>
        </row>
        <row r="546">
          <cell r="B546" t="str">
            <v>#UMV290670004</v>
          </cell>
          <cell r="C546">
            <v>1435.5798227861239</v>
          </cell>
          <cell r="D546">
            <v>1434.6514819058393</v>
          </cell>
          <cell r="E546">
            <v>1434.3424762428847</v>
          </cell>
          <cell r="F546">
            <v>1435.8215081132676</v>
          </cell>
        </row>
        <row r="547">
          <cell r="B547" t="str">
            <v>#UMV150470071</v>
          </cell>
          <cell r="C547">
            <v>1457.2470188672289</v>
          </cell>
          <cell r="D547">
            <v>1456.3091443383973</v>
          </cell>
          <cell r="E547">
            <v>1455.999952571982</v>
          </cell>
          <cell r="F547">
            <v>1457.5147777276836</v>
          </cell>
        </row>
        <row r="548">
          <cell r="B548" t="str">
            <v>#UMV040570009</v>
          </cell>
          <cell r="C548">
            <v>1452.1430170544913</v>
          </cell>
          <cell r="D548">
            <v>1451.207376314363</v>
          </cell>
          <cell r="E548">
            <v>1450.8982163909288</v>
          </cell>
          <cell r="F548">
            <v>1452.4045738351617</v>
          </cell>
        </row>
        <row r="549">
          <cell r="B549" t="str">
            <v>#UMV140170021</v>
          </cell>
          <cell r="C549">
            <v>1485.1902084630747</v>
          </cell>
          <cell r="D549">
            <v>1484.2402354631065</v>
          </cell>
          <cell r="E549">
            <v>1483.9310004055008</v>
          </cell>
          <cell r="F549">
            <v>1485.4925788036066</v>
          </cell>
        </row>
        <row r="550">
          <cell r="B550" t="str">
            <v>#UMV200470019</v>
          </cell>
          <cell r="C550">
            <v>1456.9457904770934</v>
          </cell>
          <cell r="D550">
            <v>1456.0080475769696</v>
          </cell>
          <cell r="E550">
            <v>1455.6988574845693</v>
          </cell>
          <cell r="F550">
            <v>1457.2131822740866</v>
          </cell>
        </row>
        <row r="551">
          <cell r="B551" t="str">
            <v>#UMV200470018</v>
          </cell>
          <cell r="C551">
            <v>1456.9457904770934</v>
          </cell>
          <cell r="D551">
            <v>1456.0080475769696</v>
          </cell>
          <cell r="E551">
            <v>1455.6988574845693</v>
          </cell>
          <cell r="F551">
            <v>1457.2131822740866</v>
          </cell>
        </row>
        <row r="552">
          <cell r="B552" t="str">
            <v>#UMV200470017</v>
          </cell>
          <cell r="C552">
            <v>1456.9457904770934</v>
          </cell>
          <cell r="D552">
            <v>1456.0080475769696</v>
          </cell>
          <cell r="E552">
            <v>1455.6988574845693</v>
          </cell>
          <cell r="F552">
            <v>1457.2131822740866</v>
          </cell>
        </row>
        <row r="553">
          <cell r="B553" t="str">
            <v>#UMV200470016</v>
          </cell>
          <cell r="C553">
            <v>1456.9457904770934</v>
          </cell>
          <cell r="D553">
            <v>1456.0080475769696</v>
          </cell>
          <cell r="E553">
            <v>1455.6988574845693</v>
          </cell>
          <cell r="F553">
            <v>1457.2131822740866</v>
          </cell>
        </row>
        <row r="554">
          <cell r="B554" t="str">
            <v>#UMV040570010</v>
          </cell>
          <cell r="C554">
            <v>1452.741631373455</v>
          </cell>
          <cell r="D554">
            <v>1451.8057282645948</v>
          </cell>
          <cell r="E554">
            <v>1451.4965642237983</v>
          </cell>
          <cell r="F554">
            <v>1453.0039136371461</v>
          </cell>
        </row>
        <row r="555">
          <cell r="B555" t="str">
            <v>#UMV180570011</v>
          </cell>
          <cell r="C555">
            <v>1448.5616654797934</v>
          </cell>
          <cell r="D555">
            <v>1447.6275965460127</v>
          </cell>
          <cell r="E555">
            <v>1447.3184633799458</v>
          </cell>
          <cell r="F555">
            <v>1448.8188925303389</v>
          </cell>
        </row>
        <row r="556">
          <cell r="B556" t="str">
            <v>#UMV010670043</v>
          </cell>
          <cell r="C556">
            <v>1444.4056845622692</v>
          </cell>
          <cell r="D556">
            <v>1443.4734441930509</v>
          </cell>
          <cell r="E556">
            <v>1443.1643466406199</v>
          </cell>
          <cell r="F556">
            <v>1444.6579100382189</v>
          </cell>
        </row>
        <row r="557">
          <cell r="B557" t="str">
            <v>#UMV220670013</v>
          </cell>
          <cell r="C557">
            <v>1438.216235360479</v>
          </cell>
          <cell r="D557">
            <v>1437.2867273318166</v>
          </cell>
          <cell r="E557">
            <v>1436.9776919046203</v>
          </cell>
          <cell r="F557">
            <v>1438.4610575809697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workbookViewId="0">
      <pane ySplit="1" topLeftCell="A131" activePane="bottomLeft" state="frozen"/>
      <selection pane="bottomLeft" activeCell="B164" sqref="B164"/>
    </sheetView>
  </sheetViews>
  <sheetFormatPr baseColWidth="10" defaultRowHeight="15" x14ac:dyDescent="0.25"/>
  <sheetData>
    <row r="1" spans="1:6" x14ac:dyDescent="0.25">
      <c r="A1" t="s">
        <v>2</v>
      </c>
      <c r="B1" t="s">
        <v>3</v>
      </c>
      <c r="C1" t="s">
        <v>4</v>
      </c>
      <c r="D1" t="s">
        <v>12</v>
      </c>
      <c r="E1" t="s">
        <v>7</v>
      </c>
      <c r="F1" t="s">
        <v>11</v>
      </c>
    </row>
    <row r="2" spans="1:6" x14ac:dyDescent="0.25">
      <c r="A2" s="8">
        <v>46072</v>
      </c>
      <c r="C2">
        <v>102.99999999941318</v>
      </c>
      <c r="E2">
        <v>121.4499999999918</v>
      </c>
      <c r="F2">
        <v>103.70000000000471</v>
      </c>
    </row>
    <row r="3" spans="1:6" x14ac:dyDescent="0.25">
      <c r="A3" s="8">
        <v>46073</v>
      </c>
      <c r="C3">
        <v>104.89999999968605</v>
      </c>
      <c r="E3">
        <v>121.79999999999124</v>
      </c>
      <c r="F3">
        <v>104.14999999893084</v>
      </c>
    </row>
    <row r="4" spans="1:6" x14ac:dyDescent="0.25">
      <c r="A4" s="8">
        <v>46076</v>
      </c>
      <c r="C4">
        <v>103.99999999937211</v>
      </c>
      <c r="E4">
        <v>121.89999999998918</v>
      </c>
      <c r="F4">
        <v>103.50000000000973</v>
      </c>
    </row>
    <row r="5" spans="1:6" x14ac:dyDescent="0.25">
      <c r="A5" s="8">
        <v>46077</v>
      </c>
      <c r="C5">
        <v>103.50000000000152</v>
      </c>
      <c r="E5">
        <v>123.55000000000049</v>
      </c>
      <c r="F5">
        <v>105.14999999930235</v>
      </c>
    </row>
    <row r="6" spans="1:6" x14ac:dyDescent="0.25">
      <c r="A6" s="8">
        <v>46078</v>
      </c>
      <c r="C6">
        <v>104.90000000000501</v>
      </c>
      <c r="E6">
        <v>123.59999999999873</v>
      </c>
      <c r="F6">
        <v>105.49999999939821</v>
      </c>
    </row>
    <row r="7" spans="1:6" x14ac:dyDescent="0.25">
      <c r="A7" s="8">
        <v>46079</v>
      </c>
      <c r="C7">
        <v>103.50000000000257</v>
      </c>
      <c r="E7">
        <v>124.14999999999895</v>
      </c>
      <c r="F7">
        <v>105.99999999950973</v>
      </c>
    </row>
    <row r="8" spans="1:6" x14ac:dyDescent="0.25">
      <c r="A8" s="8">
        <v>46080</v>
      </c>
      <c r="C8">
        <v>104.89999999999642</v>
      </c>
      <c r="E8">
        <v>124.50000000000203</v>
      </c>
      <c r="F8">
        <v>105.99999999951297</v>
      </c>
    </row>
    <row r="9" spans="1:6" x14ac:dyDescent="0.25">
      <c r="A9" s="8">
        <v>46083</v>
      </c>
      <c r="C9">
        <v>106.99999999972248</v>
      </c>
      <c r="E9">
        <v>124.79999999999687</v>
      </c>
      <c r="F9">
        <v>106.74999999965307</v>
      </c>
    </row>
    <row r="10" spans="1:6" x14ac:dyDescent="0.25">
      <c r="A10" s="8">
        <v>46084</v>
      </c>
      <c r="C10">
        <v>106.79999999978268</v>
      </c>
      <c r="E10">
        <v>124.30000000000105</v>
      </c>
      <c r="F10">
        <v>106.6999999996502</v>
      </c>
    </row>
    <row r="11" spans="1:6" x14ac:dyDescent="0.25">
      <c r="A11" s="8">
        <v>46085</v>
      </c>
      <c r="C11">
        <v>106.79999999987135</v>
      </c>
      <c r="E11">
        <v>124.59999999999923</v>
      </c>
      <c r="F11">
        <v>106.74999999964984</v>
      </c>
    </row>
    <row r="12" spans="1:6" x14ac:dyDescent="0.25">
      <c r="A12" s="8">
        <v>46086</v>
      </c>
      <c r="C12">
        <v>105.19999999983145</v>
      </c>
      <c r="E12">
        <v>124.60000000000102</v>
      </c>
      <c r="F12">
        <v>106.49999999960409</v>
      </c>
    </row>
    <row r="13" spans="1:6" x14ac:dyDescent="0.25">
      <c r="A13" s="8">
        <v>46087</v>
      </c>
      <c r="C13">
        <v>104.99999999984149</v>
      </c>
      <c r="E13">
        <v>124.64999999999526</v>
      </c>
      <c r="F13">
        <v>105.9999999995149</v>
      </c>
    </row>
    <row r="14" spans="1:6" x14ac:dyDescent="0.25">
      <c r="A14" s="8">
        <v>46090</v>
      </c>
      <c r="C14">
        <v>104.54999999980792</v>
      </c>
      <c r="E14">
        <v>124.99999999999638</v>
      </c>
      <c r="F14">
        <v>105.74999999945535</v>
      </c>
    </row>
    <row r="15" spans="1:6" x14ac:dyDescent="0.25">
      <c r="A15" s="8">
        <v>46091</v>
      </c>
      <c r="C15">
        <v>106.04999999990095</v>
      </c>
      <c r="E15">
        <v>125.50000000000064</v>
      </c>
      <c r="F15">
        <v>106.64999999963499</v>
      </c>
    </row>
    <row r="16" spans="1:6" x14ac:dyDescent="0.25">
      <c r="A16" s="8">
        <v>46092</v>
      </c>
      <c r="C16">
        <v>106.7999999999403</v>
      </c>
      <c r="E16">
        <v>126.00000000000557</v>
      </c>
      <c r="F16">
        <v>106.79999999966773</v>
      </c>
    </row>
    <row r="17" spans="1:6" x14ac:dyDescent="0.25">
      <c r="A17" s="8">
        <v>46093</v>
      </c>
      <c r="C17">
        <v>106.19999999991859</v>
      </c>
      <c r="E17">
        <v>124.49999999999011</v>
      </c>
      <c r="F17">
        <v>106.44999999960689</v>
      </c>
    </row>
    <row r="18" spans="1:6" x14ac:dyDescent="0.25">
      <c r="A18" s="8">
        <v>46094</v>
      </c>
      <c r="C18">
        <v>107.94999999996216</v>
      </c>
      <c r="E18">
        <v>125.90000000000032</v>
      </c>
      <c r="F18">
        <v>106.54999999961852</v>
      </c>
    </row>
    <row r="19" spans="1:6" x14ac:dyDescent="0.25">
      <c r="A19" s="8">
        <v>46097</v>
      </c>
      <c r="C19">
        <v>107.74999999996066</v>
      </c>
      <c r="E19">
        <v>127.15000000000043</v>
      </c>
      <c r="F19">
        <v>107.09999999969627</v>
      </c>
    </row>
    <row r="20" spans="1:6" x14ac:dyDescent="0.25">
      <c r="A20" s="8">
        <v>46098</v>
      </c>
      <c r="C20">
        <v>107.24999999994462</v>
      </c>
      <c r="E20">
        <v>127.39999999999571</v>
      </c>
      <c r="F20">
        <v>107.74999999977079</v>
      </c>
    </row>
    <row r="21" spans="1:6" x14ac:dyDescent="0.25">
      <c r="A21" s="8">
        <v>46099</v>
      </c>
      <c r="C21">
        <v>106.94999999994322</v>
      </c>
      <c r="E21">
        <v>127.60000000000218</v>
      </c>
      <c r="F21">
        <v>107.5499999997611</v>
      </c>
    </row>
    <row r="22" spans="1:6" x14ac:dyDescent="0.25">
      <c r="A22" s="8">
        <v>46100</v>
      </c>
      <c r="C22">
        <v>106.64999999994774</v>
      </c>
      <c r="E22">
        <v>128.10000000000068</v>
      </c>
      <c r="F22">
        <v>108.79999999986161</v>
      </c>
    </row>
    <row r="23" spans="1:6" x14ac:dyDescent="0.25">
      <c r="A23" s="8">
        <v>46101</v>
      </c>
      <c r="C23">
        <v>107.49999999997884</v>
      </c>
      <c r="E23">
        <v>128.15000000000097</v>
      </c>
      <c r="F23">
        <v>109.19999999988559</v>
      </c>
    </row>
    <row r="24" spans="1:6" x14ac:dyDescent="0.25">
      <c r="A24" s="8">
        <v>46104</v>
      </c>
      <c r="C24">
        <v>108.14999999998879</v>
      </c>
      <c r="E24">
        <v>128.49999999999977</v>
      </c>
      <c r="F24">
        <v>109.79999999990882</v>
      </c>
    </row>
    <row r="25" spans="1:6" x14ac:dyDescent="0.25">
      <c r="A25" s="8">
        <v>46106</v>
      </c>
      <c r="C25">
        <v>106.19999999997103</v>
      </c>
      <c r="E25">
        <v>128.65000000000057</v>
      </c>
      <c r="F25">
        <v>110.09999999992448</v>
      </c>
    </row>
    <row r="26" spans="1:6" x14ac:dyDescent="0.25">
      <c r="A26" s="8">
        <v>46107</v>
      </c>
      <c r="C26">
        <v>106.64999999998584</v>
      </c>
      <c r="E26">
        <v>130.10000000000147</v>
      </c>
      <c r="F26">
        <v>110.99999999994621</v>
      </c>
    </row>
    <row r="27" spans="1:6" x14ac:dyDescent="0.25">
      <c r="A27" s="8">
        <v>46108</v>
      </c>
      <c r="C27">
        <v>107.59999999999323</v>
      </c>
      <c r="E27">
        <v>130.60000000000019</v>
      </c>
      <c r="F27">
        <v>111.44999999995258</v>
      </c>
    </row>
    <row r="28" spans="1:6" x14ac:dyDescent="0.25">
      <c r="A28" s="8">
        <v>46111</v>
      </c>
      <c r="C28">
        <v>107.44999999998809</v>
      </c>
      <c r="E28">
        <v>129.79999999999887</v>
      </c>
      <c r="F28">
        <v>110.34999999992765</v>
      </c>
    </row>
    <row r="29" spans="1:6" x14ac:dyDescent="0.25">
      <c r="A29" s="8">
        <v>46112</v>
      </c>
      <c r="C29">
        <v>108.29999999999424</v>
      </c>
      <c r="E29">
        <v>130.300000000002</v>
      </c>
      <c r="F29">
        <v>110.29999999993643</v>
      </c>
    </row>
    <row r="30" spans="1:6" x14ac:dyDescent="0.25">
      <c r="A30" s="8">
        <v>46113</v>
      </c>
      <c r="C30">
        <v>109.10000000000069</v>
      </c>
      <c r="E30">
        <v>131.04999999999836</v>
      </c>
      <c r="F30">
        <v>110.7999999999457</v>
      </c>
    </row>
    <row r="31" spans="1:6" x14ac:dyDescent="0.25">
      <c r="A31" s="8">
        <v>46118</v>
      </c>
      <c r="C31">
        <v>109.74999999999665</v>
      </c>
      <c r="E31">
        <v>130.90000000000182</v>
      </c>
      <c r="F31">
        <v>110.89999999994644</v>
      </c>
    </row>
    <row r="32" spans="1:6" x14ac:dyDescent="0.25">
      <c r="A32" s="8">
        <v>46119</v>
      </c>
      <c r="C32">
        <v>110.25000000000263</v>
      </c>
      <c r="E32">
        <v>130.79999999999762</v>
      </c>
      <c r="F32">
        <v>110.79999999994259</v>
      </c>
    </row>
    <row r="33" spans="1:6" x14ac:dyDescent="0.25">
      <c r="A33" s="8">
        <v>46120</v>
      </c>
      <c r="C33">
        <v>109.79999999999788</v>
      </c>
      <c r="E33">
        <v>131.30000000000334</v>
      </c>
      <c r="F33">
        <v>110.89999999995108</v>
      </c>
    </row>
    <row r="34" spans="1:6" x14ac:dyDescent="0.25">
      <c r="A34" s="8">
        <v>46121</v>
      </c>
      <c r="C34">
        <v>109.44999999999936</v>
      </c>
      <c r="E34">
        <v>131.5000000000027</v>
      </c>
      <c r="F34">
        <v>111.59999999995959</v>
      </c>
    </row>
    <row r="35" spans="1:6" x14ac:dyDescent="0.25">
      <c r="A35" s="8">
        <v>46122</v>
      </c>
      <c r="C35">
        <v>109.49999999999973</v>
      </c>
      <c r="E35">
        <v>131.79999999999504</v>
      </c>
      <c r="F35">
        <v>112.39999999997204</v>
      </c>
    </row>
    <row r="36" spans="1:6" x14ac:dyDescent="0.25">
      <c r="A36" s="8">
        <v>46125</v>
      </c>
      <c r="C36">
        <v>109.54999999999784</v>
      </c>
      <c r="E36">
        <v>132.19999999999791</v>
      </c>
      <c r="F36">
        <v>112.94999999998629</v>
      </c>
    </row>
    <row r="37" spans="1:6" x14ac:dyDescent="0.25">
      <c r="A37" s="8">
        <v>46126</v>
      </c>
      <c r="C37">
        <v>109.30000000000398</v>
      </c>
      <c r="E37">
        <v>132.7500000000073</v>
      </c>
      <c r="F37">
        <v>113.29999999998589</v>
      </c>
    </row>
    <row r="38" spans="1:6" x14ac:dyDescent="0.25">
      <c r="A38" s="8">
        <v>46127</v>
      </c>
      <c r="C38">
        <v>109.00000000000314</v>
      </c>
      <c r="E38">
        <v>133.99999999999946</v>
      </c>
      <c r="F38">
        <v>114.59999999998804</v>
      </c>
    </row>
    <row r="39" spans="1:6" x14ac:dyDescent="0.25">
      <c r="A39" s="8">
        <v>46128</v>
      </c>
      <c r="C39">
        <v>109.24999999999714</v>
      </c>
      <c r="E39">
        <v>134.04999999999671</v>
      </c>
      <c r="F39">
        <v>114.74999999999494</v>
      </c>
    </row>
    <row r="40" spans="1:6" x14ac:dyDescent="0.25">
      <c r="A40" s="8">
        <v>46129</v>
      </c>
      <c r="C40">
        <v>110.19999999999675</v>
      </c>
      <c r="E40">
        <v>135.29999999999822</v>
      </c>
      <c r="F40">
        <v>115.74999999999098</v>
      </c>
    </row>
    <row r="41" spans="1:6" x14ac:dyDescent="0.25">
      <c r="A41" s="8">
        <v>46132</v>
      </c>
      <c r="C41">
        <v>110.40000000000272</v>
      </c>
      <c r="E41">
        <v>136.04999999999694</v>
      </c>
      <c r="F41">
        <v>115.84999999999677</v>
      </c>
    </row>
    <row r="42" spans="1:6" x14ac:dyDescent="0.25">
      <c r="A42" s="8">
        <v>46133</v>
      </c>
      <c r="C42">
        <v>110.50000000000686</v>
      </c>
      <c r="E42">
        <v>135.69999999999905</v>
      </c>
      <c r="F42">
        <v>116.09999999999697</v>
      </c>
    </row>
    <row r="43" spans="1:6" x14ac:dyDescent="0.25">
      <c r="A43" s="8">
        <v>46134</v>
      </c>
      <c r="C43">
        <v>110.79999999999932</v>
      </c>
      <c r="E43">
        <v>135.99999999999736</v>
      </c>
      <c r="F43">
        <v>115.94999999999833</v>
      </c>
    </row>
    <row r="44" spans="1:6" x14ac:dyDescent="0.25">
      <c r="A44" s="8">
        <v>46135</v>
      </c>
      <c r="C44">
        <v>110.69999999999899</v>
      </c>
      <c r="E44">
        <v>135.29999999999785</v>
      </c>
      <c r="F44">
        <v>115.64999999999405</v>
      </c>
    </row>
    <row r="45" spans="1:6" x14ac:dyDescent="0.25">
      <c r="A45" s="8">
        <v>46136</v>
      </c>
      <c r="C45">
        <v>110.29999999999556</v>
      </c>
      <c r="E45">
        <v>135.25000000000549</v>
      </c>
      <c r="F45">
        <v>115.49999999999206</v>
      </c>
    </row>
    <row r="46" spans="1:6" x14ac:dyDescent="0.25">
      <c r="A46" s="8">
        <v>46139</v>
      </c>
      <c r="C46">
        <v>110.4999999999927</v>
      </c>
      <c r="E46">
        <v>134.50000000000492</v>
      </c>
      <c r="F46">
        <v>115.2499999999949</v>
      </c>
    </row>
    <row r="47" spans="1:6" x14ac:dyDescent="0.25">
      <c r="A47" s="8">
        <v>46140</v>
      </c>
      <c r="C47">
        <v>110.29999999999545</v>
      </c>
      <c r="E47">
        <v>135.00000000000173</v>
      </c>
      <c r="F47">
        <v>115.44999999999435</v>
      </c>
    </row>
    <row r="48" spans="1:6" x14ac:dyDescent="0.25">
      <c r="A48" s="8">
        <v>46141</v>
      </c>
      <c r="C48">
        <v>110.4000000000002</v>
      </c>
      <c r="E48">
        <v>134.39000000000016</v>
      </c>
      <c r="F48">
        <v>115.34999999999246</v>
      </c>
    </row>
    <row r="49" spans="1:6" x14ac:dyDescent="0.25">
      <c r="A49" s="8">
        <v>46142</v>
      </c>
      <c r="C49">
        <v>110.99999999999972</v>
      </c>
      <c r="E49">
        <v>134.99999999999784</v>
      </c>
      <c r="F49">
        <v>116.39999999999311</v>
      </c>
    </row>
    <row r="50" spans="1:6" x14ac:dyDescent="0.25">
      <c r="A50" s="8">
        <v>46146</v>
      </c>
      <c r="C50">
        <v>110.44999999999776</v>
      </c>
      <c r="E50">
        <v>135.28999999999888</v>
      </c>
      <c r="F50">
        <v>115.94999999999341</v>
      </c>
    </row>
    <row r="51" spans="1:6" x14ac:dyDescent="0.25">
      <c r="A51" s="8">
        <v>46147</v>
      </c>
      <c r="C51">
        <v>110.7999999999989</v>
      </c>
      <c r="E51">
        <v>135.14000000000161</v>
      </c>
      <c r="F51">
        <v>115.40999999998883</v>
      </c>
    </row>
    <row r="52" spans="1:6" x14ac:dyDescent="0.25">
      <c r="A52" s="8">
        <v>46148</v>
      </c>
      <c r="C52">
        <v>110.90000000000208</v>
      </c>
      <c r="E52">
        <v>135.70000000000155</v>
      </c>
      <c r="F52">
        <v>115.79999999999897</v>
      </c>
    </row>
    <row r="53" spans="1:6" x14ac:dyDescent="0.25">
      <c r="A53" s="8">
        <v>46149</v>
      </c>
      <c r="C53">
        <v>111.15000000000531</v>
      </c>
      <c r="E53">
        <v>136.19999999999476</v>
      </c>
      <c r="F53">
        <v>116.4999999999971</v>
      </c>
    </row>
    <row r="54" spans="1:6" x14ac:dyDescent="0.25">
      <c r="A54" s="8">
        <v>46150</v>
      </c>
      <c r="C54">
        <v>111.50000000000003</v>
      </c>
      <c r="E54">
        <v>136.59999999999917</v>
      </c>
      <c r="F54">
        <v>116.89999999999712</v>
      </c>
    </row>
    <row r="55" spans="1:6" x14ac:dyDescent="0.25">
      <c r="A55" s="8">
        <v>46153</v>
      </c>
      <c r="C55">
        <v>111.80000000000103</v>
      </c>
      <c r="E55">
        <v>137.1300000000023</v>
      </c>
      <c r="F55">
        <v>117.2799999999897</v>
      </c>
    </row>
    <row r="56" spans="1:6" x14ac:dyDescent="0.25">
      <c r="A56" s="8">
        <v>46154</v>
      </c>
      <c r="C56">
        <v>112.20000000000037</v>
      </c>
      <c r="E56">
        <v>137.11000000000124</v>
      </c>
      <c r="F56">
        <v>117.19999999999644</v>
      </c>
    </row>
    <row r="57" spans="1:6" x14ac:dyDescent="0.25">
      <c r="A57" s="8">
        <v>46155</v>
      </c>
      <c r="C57">
        <v>112.15000000000126</v>
      </c>
      <c r="E57">
        <v>137.4979999999918</v>
      </c>
      <c r="F57">
        <v>117.49999999999643</v>
      </c>
    </row>
    <row r="58" spans="1:6" x14ac:dyDescent="0.25">
      <c r="A58" s="8">
        <v>46156</v>
      </c>
      <c r="C58">
        <v>112.60000000000352</v>
      </c>
      <c r="E58">
        <v>138.00000000000119</v>
      </c>
      <c r="F58">
        <v>118.48000000000083</v>
      </c>
    </row>
    <row r="59" spans="1:6" x14ac:dyDescent="0.25">
      <c r="A59" s="8">
        <v>46157</v>
      </c>
      <c r="C59">
        <v>112.6499999999979</v>
      </c>
      <c r="E59">
        <v>138.10000000000443</v>
      </c>
      <c r="F59">
        <v>118.64999999999289</v>
      </c>
    </row>
    <row r="60" spans="1:6" x14ac:dyDescent="0.25">
      <c r="A60" s="8">
        <v>46160</v>
      </c>
      <c r="C60">
        <v>112.84999999999911</v>
      </c>
      <c r="E60">
        <v>138.4000000000035</v>
      </c>
      <c r="F60">
        <v>118.4499999999957</v>
      </c>
    </row>
    <row r="61" spans="1:6" x14ac:dyDescent="0.25">
      <c r="A61" s="8">
        <v>46161</v>
      </c>
      <c r="C61">
        <v>112.95000000000435</v>
      </c>
      <c r="E61">
        <v>138.41199999999841</v>
      </c>
      <c r="F61">
        <v>118.54999999999771</v>
      </c>
    </row>
    <row r="62" spans="1:6" x14ac:dyDescent="0.25">
      <c r="A62" s="8">
        <v>46162</v>
      </c>
      <c r="C62">
        <v>113.44999999999901</v>
      </c>
      <c r="E62">
        <v>138.47000000000398</v>
      </c>
      <c r="F62">
        <v>118.49999999999639</v>
      </c>
    </row>
    <row r="63" spans="1:6" x14ac:dyDescent="0.25">
      <c r="A63" s="8">
        <v>46163</v>
      </c>
      <c r="C63">
        <v>113.99999999999595</v>
      </c>
      <c r="E63">
        <v>138.61800000000457</v>
      </c>
      <c r="F63">
        <v>118.14999999999787</v>
      </c>
    </row>
    <row r="64" spans="1:6" x14ac:dyDescent="0.25">
      <c r="A64" s="8">
        <v>46164</v>
      </c>
      <c r="C64">
        <v>114.35000000000058</v>
      </c>
      <c r="E64">
        <v>138.94999999999541</v>
      </c>
      <c r="F64">
        <v>118.7989999999967</v>
      </c>
    </row>
    <row r="65" spans="1:6" x14ac:dyDescent="0.25">
      <c r="A65" s="8">
        <v>46168</v>
      </c>
      <c r="C65">
        <v>114.50000000000176</v>
      </c>
      <c r="E65">
        <v>139.18599999999876</v>
      </c>
      <c r="F65">
        <v>118.94999999999614</v>
      </c>
    </row>
    <row r="66" spans="1:6" x14ac:dyDescent="0.25">
      <c r="A66" s="8">
        <v>46169</v>
      </c>
      <c r="C66">
        <v>114.6000000000034</v>
      </c>
      <c r="E66">
        <v>138.88000000000235</v>
      </c>
      <c r="F66">
        <v>119.19999999999833</v>
      </c>
    </row>
    <row r="67" spans="1:6" x14ac:dyDescent="0.25">
      <c r="A67" s="8">
        <v>46170</v>
      </c>
      <c r="C67">
        <v>114.55000000000256</v>
      </c>
      <c r="E67">
        <v>139.53999999999965</v>
      </c>
      <c r="F67">
        <v>119.1899999999993</v>
      </c>
    </row>
    <row r="68" spans="1:6" x14ac:dyDescent="0.25">
      <c r="A68" s="8">
        <v>46171</v>
      </c>
      <c r="C68">
        <v>114.8499999999985</v>
      </c>
      <c r="E68">
        <v>139.8499999999988</v>
      </c>
      <c r="F68">
        <v>119.89000000000529</v>
      </c>
    </row>
    <row r="69" spans="1:6" x14ac:dyDescent="0.25">
      <c r="A69" s="8">
        <v>46174</v>
      </c>
      <c r="C69">
        <v>115.09999999999874</v>
      </c>
      <c r="E69">
        <v>139.99000000000018</v>
      </c>
      <c r="F69">
        <v>119.83999999999679</v>
      </c>
    </row>
    <row r="70" spans="1:6" x14ac:dyDescent="0.25">
      <c r="A70" s="8">
        <v>46175</v>
      </c>
      <c r="C70">
        <v>115.10000000000218</v>
      </c>
      <c r="E70">
        <v>139.74999999999656</v>
      </c>
      <c r="F70">
        <v>119.60500000000064</v>
      </c>
    </row>
    <row r="71" spans="1:6" x14ac:dyDescent="0.25">
      <c r="A71" s="8">
        <v>46176</v>
      </c>
      <c r="C71">
        <v>114.84999999999847</v>
      </c>
      <c r="E71">
        <v>138.8509999999967</v>
      </c>
      <c r="F71">
        <v>119.18000000000302</v>
      </c>
    </row>
    <row r="72" spans="1:6" x14ac:dyDescent="0.25">
      <c r="A72" s="8">
        <v>46177</v>
      </c>
      <c r="C72">
        <v>114.79999999999721</v>
      </c>
      <c r="E72">
        <v>139.34999999999917</v>
      </c>
      <c r="F72">
        <v>119.5000000000032</v>
      </c>
    </row>
    <row r="73" spans="1:6" x14ac:dyDescent="0.25">
      <c r="A73" s="8">
        <v>46178</v>
      </c>
      <c r="C73">
        <v>114.99999999999977</v>
      </c>
      <c r="E73">
        <v>139.60000000000204</v>
      </c>
      <c r="F73">
        <v>119.74999999999282</v>
      </c>
    </row>
    <row r="74" spans="1:6" x14ac:dyDescent="0.25">
      <c r="A74" s="8">
        <v>46181</v>
      </c>
      <c r="C74">
        <v>115.10000000000066</v>
      </c>
      <c r="E74">
        <v>139.64999999999506</v>
      </c>
      <c r="F74">
        <v>119.90000000000431</v>
      </c>
    </row>
    <row r="75" spans="1:6" x14ac:dyDescent="0.25">
      <c r="A75" s="8">
        <v>46182</v>
      </c>
      <c r="C75">
        <v>115.09999999999559</v>
      </c>
      <c r="E75">
        <v>140.34899999999513</v>
      </c>
      <c r="F75">
        <v>120.35000000000215</v>
      </c>
    </row>
    <row r="76" spans="1:6" x14ac:dyDescent="0.25">
      <c r="A76" s="8">
        <v>46183</v>
      </c>
      <c r="C76">
        <v>114.95000000000061</v>
      </c>
      <c r="E76">
        <v>140.9499999999947</v>
      </c>
      <c r="F76">
        <v>120.64899999999818</v>
      </c>
    </row>
    <row r="77" spans="1:6" x14ac:dyDescent="0.25">
      <c r="A77" s="8">
        <v>46184</v>
      </c>
      <c r="C77">
        <v>115.10000000000477</v>
      </c>
      <c r="E77">
        <v>141.50900000000058</v>
      </c>
      <c r="F77">
        <v>120.95999999999762</v>
      </c>
    </row>
    <row r="78" spans="1:6" x14ac:dyDescent="0.25">
      <c r="A78" s="8">
        <v>46185</v>
      </c>
      <c r="C78">
        <v>115.30000000000229</v>
      </c>
      <c r="E78">
        <v>141.94999999999959</v>
      </c>
      <c r="F78">
        <v>121.34999999999832</v>
      </c>
    </row>
    <row r="79" spans="1:6" x14ac:dyDescent="0.25">
      <c r="A79" s="8">
        <v>46189</v>
      </c>
      <c r="C79">
        <v>115.35000000000197</v>
      </c>
      <c r="E79">
        <v>141.76200000000665</v>
      </c>
      <c r="F79">
        <v>121.79999999999784</v>
      </c>
    </row>
    <row r="80" spans="1:6" x14ac:dyDescent="0.25">
      <c r="A80" s="8">
        <v>46190</v>
      </c>
      <c r="C80">
        <v>115.5000000000004</v>
      </c>
      <c r="E80">
        <v>141.75000000000176</v>
      </c>
      <c r="F80">
        <v>121.65599999999712</v>
      </c>
    </row>
    <row r="81" spans="1:6" x14ac:dyDescent="0.25">
      <c r="A81" s="8">
        <v>46191</v>
      </c>
      <c r="C81">
        <v>115.8499999999955</v>
      </c>
      <c r="E81">
        <v>141.9799999999982</v>
      </c>
      <c r="F81">
        <v>121.74999999999589</v>
      </c>
    </row>
    <row r="82" spans="1:6" x14ac:dyDescent="0.25">
      <c r="A82" s="8">
        <v>46192</v>
      </c>
      <c r="C82">
        <v>115.99999999999871</v>
      </c>
      <c r="E82">
        <v>142.20000000000212</v>
      </c>
      <c r="F82">
        <v>122.0999999999971</v>
      </c>
    </row>
    <row r="83" spans="1:6" x14ac:dyDescent="0.25">
      <c r="A83" s="8">
        <v>46195</v>
      </c>
      <c r="C83">
        <v>115.89999999999915</v>
      </c>
      <c r="E83">
        <v>141.9000000000014</v>
      </c>
      <c r="F83">
        <v>122.21000000000063</v>
      </c>
    </row>
    <row r="84" spans="1:6" x14ac:dyDescent="0.25">
      <c r="A84" s="8">
        <v>46196</v>
      </c>
      <c r="C84">
        <v>115.79999999999939</v>
      </c>
      <c r="E84">
        <v>141.51899999999259</v>
      </c>
      <c r="F84">
        <v>121.49999999999996</v>
      </c>
    </row>
    <row r="85" spans="1:6" x14ac:dyDescent="0.25">
      <c r="A85" s="8">
        <v>46197</v>
      </c>
      <c r="C85">
        <v>115.85000000000105</v>
      </c>
      <c r="E85">
        <v>141.34999999999647</v>
      </c>
      <c r="F85">
        <v>121.52400000000232</v>
      </c>
    </row>
    <row r="86" spans="1:6" x14ac:dyDescent="0.25">
      <c r="A86" s="8">
        <v>46198</v>
      </c>
      <c r="C86">
        <v>115.90000000000144</v>
      </c>
      <c r="E86">
        <v>141.19999999999828</v>
      </c>
      <c r="F86">
        <v>121.79000000000353</v>
      </c>
    </row>
    <row r="87" spans="1:6" x14ac:dyDescent="0.25">
      <c r="A87" s="8">
        <v>46199</v>
      </c>
      <c r="C87">
        <v>116.19999999999844</v>
      </c>
      <c r="E87">
        <v>141.60000000000085</v>
      </c>
      <c r="F87">
        <v>122.80000000000007</v>
      </c>
    </row>
    <row r="88" spans="1:6" x14ac:dyDescent="0.25">
      <c r="A88" s="8">
        <v>46202</v>
      </c>
      <c r="C88">
        <v>116.19999999999891</v>
      </c>
      <c r="E88">
        <v>142.25000000000114</v>
      </c>
      <c r="F88">
        <v>122.85000000000015</v>
      </c>
    </row>
    <row r="89" spans="1:6" x14ac:dyDescent="0.25">
      <c r="A89" s="8">
        <v>46203</v>
      </c>
      <c r="C89">
        <v>116.49999999999818</v>
      </c>
      <c r="D89">
        <v>101.69999999999537</v>
      </c>
      <c r="E89">
        <v>142.84000000000216</v>
      </c>
      <c r="F89">
        <v>123.05999999999922</v>
      </c>
    </row>
    <row r="90" spans="1:6" x14ac:dyDescent="0.25">
      <c r="A90" s="8">
        <v>46204</v>
      </c>
      <c r="C90">
        <v>116.14999999999726</v>
      </c>
      <c r="D90">
        <v>101.59999999998949</v>
      </c>
      <c r="E90">
        <v>143.00000000000205</v>
      </c>
      <c r="F90">
        <v>123.69999999999912</v>
      </c>
    </row>
    <row r="91" spans="1:6" x14ac:dyDescent="0.25">
      <c r="A91" s="8">
        <v>46205</v>
      </c>
      <c r="C91">
        <v>116.20000000000172</v>
      </c>
      <c r="D91">
        <v>101.69999999998738</v>
      </c>
      <c r="E91">
        <v>143.24899999999764</v>
      </c>
      <c r="F91">
        <v>123.44999999999722</v>
      </c>
    </row>
    <row r="92" spans="1:6" x14ac:dyDescent="0.25">
      <c r="A92" s="8">
        <v>46206</v>
      </c>
      <c r="C92">
        <v>116.54999999999748</v>
      </c>
      <c r="D92">
        <v>102.29999999999512</v>
      </c>
      <c r="E92">
        <v>143.99999999999963</v>
      </c>
      <c r="F92">
        <v>123.609999999994</v>
      </c>
    </row>
    <row r="93" spans="1:6" x14ac:dyDescent="0.25">
      <c r="A93" s="8">
        <v>46209</v>
      </c>
      <c r="C93">
        <v>116.60000000000039</v>
      </c>
      <c r="D93">
        <v>102.49999999999355</v>
      </c>
      <c r="E93">
        <v>143.20000000000056</v>
      </c>
      <c r="F93">
        <v>123.99900000000123</v>
      </c>
    </row>
    <row r="94" spans="1:6" x14ac:dyDescent="0.25">
      <c r="A94" s="8">
        <v>46210</v>
      </c>
      <c r="C94">
        <v>116.64999999999654</v>
      </c>
      <c r="D94">
        <v>102.79999999999593</v>
      </c>
      <c r="E94">
        <v>144.1999999999997</v>
      </c>
      <c r="F94">
        <v>124.49999999999707</v>
      </c>
    </row>
    <row r="95" spans="1:6" x14ac:dyDescent="0.25">
      <c r="A95" s="8">
        <v>46211</v>
      </c>
      <c r="C95">
        <v>117.04999999999713</v>
      </c>
      <c r="D95">
        <v>102.89999999999743</v>
      </c>
      <c r="E95">
        <v>143.9999999999992</v>
      </c>
      <c r="F95">
        <v>124.70100000000406</v>
      </c>
    </row>
    <row r="96" spans="1:6" x14ac:dyDescent="0.25">
      <c r="A96" s="8">
        <v>46213</v>
      </c>
      <c r="C96">
        <v>118.95000000000233</v>
      </c>
      <c r="D96">
        <v>103.99999999999206</v>
      </c>
      <c r="E96">
        <v>144.39999999999878</v>
      </c>
      <c r="F96">
        <v>125.99999999999356</v>
      </c>
    </row>
    <row r="97" spans="1:6" x14ac:dyDescent="0.25">
      <c r="A97" s="8">
        <v>46216</v>
      </c>
      <c r="C97">
        <v>117.00000000000126</v>
      </c>
      <c r="D97">
        <v>102.8999999999991</v>
      </c>
      <c r="E97">
        <v>144.31999999999823</v>
      </c>
      <c r="F97">
        <v>124.50000000000504</v>
      </c>
    </row>
    <row r="98" spans="1:6" x14ac:dyDescent="0.25">
      <c r="A98" s="8">
        <v>46217</v>
      </c>
      <c r="C98">
        <v>117.10000000000029</v>
      </c>
      <c r="D98">
        <v>103.00000000000003</v>
      </c>
      <c r="E98">
        <v>144.04999999999967</v>
      </c>
      <c r="F98">
        <v>124.43900000000487</v>
      </c>
    </row>
    <row r="99" spans="1:6" x14ac:dyDescent="0.25">
      <c r="A99" s="8">
        <v>46218</v>
      </c>
      <c r="C99">
        <v>117.10000000000097</v>
      </c>
      <c r="D99">
        <v>103.75000000000189</v>
      </c>
      <c r="E99">
        <v>144.35000000000323</v>
      </c>
      <c r="F99">
        <v>124.44999999999176</v>
      </c>
    </row>
    <row r="100" spans="1:6" x14ac:dyDescent="0.25">
      <c r="A100" s="8">
        <v>46219</v>
      </c>
      <c r="C100">
        <v>116.95000000000159</v>
      </c>
      <c r="D100">
        <v>103.29999999999767</v>
      </c>
      <c r="E100">
        <v>143.79999999999671</v>
      </c>
      <c r="F100">
        <v>124.31999999999903</v>
      </c>
    </row>
    <row r="101" spans="1:6" x14ac:dyDescent="0.25">
      <c r="A101" s="8">
        <v>46220</v>
      </c>
      <c r="C101">
        <v>117.19999999999719</v>
      </c>
      <c r="D101">
        <v>103.09999999999906</v>
      </c>
      <c r="E101">
        <v>144.34000000000395</v>
      </c>
      <c r="F101">
        <v>124.45000000000191</v>
      </c>
    </row>
    <row r="102" spans="1:6" x14ac:dyDescent="0.25">
      <c r="A102" s="8">
        <v>46223</v>
      </c>
      <c r="C102">
        <v>117.20000000000171</v>
      </c>
      <c r="D102">
        <v>103.15000000000003</v>
      </c>
      <c r="E102">
        <v>144.20000000000377</v>
      </c>
      <c r="F102">
        <v>124.3700000000004</v>
      </c>
    </row>
    <row r="103" spans="1:6" x14ac:dyDescent="0.25">
      <c r="A103" s="8">
        <v>46224</v>
      </c>
      <c r="C103">
        <v>117.39999999999964</v>
      </c>
      <c r="D103">
        <v>103.19999999999251</v>
      </c>
      <c r="E103">
        <v>143.99999999999886</v>
      </c>
      <c r="F103">
        <v>124.28999999999924</v>
      </c>
    </row>
    <row r="104" spans="1:6" x14ac:dyDescent="0.25">
      <c r="A104" s="8">
        <v>46225</v>
      </c>
      <c r="C104">
        <v>117.39999999999702</v>
      </c>
      <c r="D104">
        <v>103.39999999999921</v>
      </c>
      <c r="E104">
        <v>144.09999999999738</v>
      </c>
      <c r="F104">
        <v>124.0989999999983</v>
      </c>
    </row>
    <row r="105" spans="1:6" x14ac:dyDescent="0.25">
      <c r="A105" s="8">
        <v>46226</v>
      </c>
      <c r="C105">
        <v>117.59999999999798</v>
      </c>
      <c r="D105">
        <v>103.40000000000072</v>
      </c>
      <c r="E105">
        <v>144.13899999999774</v>
      </c>
      <c r="F105">
        <v>123.90000000000185</v>
      </c>
    </row>
    <row r="106" spans="1:6" x14ac:dyDescent="0.25">
      <c r="A106" s="8">
        <v>46227</v>
      </c>
      <c r="C106">
        <v>117.84999999999715</v>
      </c>
      <c r="D106">
        <v>103.79999999999725</v>
      </c>
      <c r="E106">
        <v>144.19999999999993</v>
      </c>
      <c r="F106">
        <v>123.85000000000007</v>
      </c>
    </row>
    <row r="107" spans="1:6" x14ac:dyDescent="0.25">
      <c r="A107" s="8">
        <v>46230</v>
      </c>
      <c r="C107">
        <v>117.80000000000182</v>
      </c>
      <c r="D107">
        <v>103.94999999999808</v>
      </c>
      <c r="E107">
        <v>144.51899999999969</v>
      </c>
      <c r="F107">
        <v>124.04999999999802</v>
      </c>
    </row>
    <row r="108" spans="1:6" x14ac:dyDescent="0.25">
      <c r="A108" s="8">
        <v>46231</v>
      </c>
      <c r="C108">
        <v>118.35000000000147</v>
      </c>
      <c r="D108">
        <v>104.24999999999976</v>
      </c>
      <c r="E108">
        <v>144.19999999999581</v>
      </c>
      <c r="F108">
        <v>123.94999999999739</v>
      </c>
    </row>
    <row r="109" spans="1:6" x14ac:dyDescent="0.25">
      <c r="A109" s="8">
        <v>46232</v>
      </c>
      <c r="C109">
        <v>118.20000000000171</v>
      </c>
      <c r="D109">
        <v>103.74999999999976</v>
      </c>
      <c r="E109">
        <v>144.69500000000309</v>
      </c>
      <c r="F109">
        <v>123.84999999999707</v>
      </c>
    </row>
    <row r="110" spans="1:6" x14ac:dyDescent="0.25">
      <c r="A110" s="8">
        <v>46233</v>
      </c>
      <c r="C110">
        <v>118.04999999999643</v>
      </c>
      <c r="D110">
        <v>103.69999999999958</v>
      </c>
      <c r="E110">
        <v>143.70000000000095</v>
      </c>
      <c r="F110">
        <v>123.69999999999722</v>
      </c>
    </row>
    <row r="111" spans="1:6" x14ac:dyDescent="0.25">
      <c r="A111" s="8">
        <v>46234</v>
      </c>
      <c r="C111">
        <v>117.90000000000389</v>
      </c>
      <c r="D111">
        <v>103.9999999999972</v>
      </c>
      <c r="E111">
        <v>144.49999999999986</v>
      </c>
      <c r="F111">
        <v>123.58999999999905</v>
      </c>
    </row>
    <row r="112" spans="1:6" x14ac:dyDescent="0.25">
      <c r="A112" s="8">
        <v>46237</v>
      </c>
      <c r="C112">
        <v>118.54999999999949</v>
      </c>
      <c r="D112">
        <v>104.49999999999635</v>
      </c>
      <c r="E112">
        <v>144.85999999999999</v>
      </c>
      <c r="F112">
        <v>123.90000000000416</v>
      </c>
    </row>
    <row r="113" spans="1:6" x14ac:dyDescent="0.25">
      <c r="A113" s="8">
        <v>46238</v>
      </c>
      <c r="C113">
        <v>118.45000000000134</v>
      </c>
      <c r="D113">
        <v>104.54999999999426</v>
      </c>
      <c r="E113">
        <v>144.89999999999725</v>
      </c>
      <c r="F113">
        <v>123.74899999999943</v>
      </c>
    </row>
    <row r="114" spans="1:6" x14ac:dyDescent="0.25">
      <c r="A114" s="8">
        <v>46239</v>
      </c>
      <c r="C114">
        <v>117.99999999999756</v>
      </c>
      <c r="D114">
        <v>104.2499999999946</v>
      </c>
      <c r="E114">
        <v>144.20700000000176</v>
      </c>
      <c r="F114">
        <v>123.79999999999546</v>
      </c>
    </row>
    <row r="115" spans="1:6" x14ac:dyDescent="0.25">
      <c r="A115" s="8">
        <v>46240</v>
      </c>
      <c r="C115">
        <v>118.25000000000043</v>
      </c>
      <c r="D115">
        <v>104.39999999999765</v>
      </c>
      <c r="E115">
        <v>144.23999999999538</v>
      </c>
      <c r="F115">
        <v>123.24900000000399</v>
      </c>
    </row>
    <row r="116" spans="1:6" x14ac:dyDescent="0.25">
      <c r="A116" s="8">
        <v>46241</v>
      </c>
      <c r="C116">
        <v>118.74999999999885</v>
      </c>
      <c r="D116">
        <v>104.54999999999815</v>
      </c>
      <c r="E116">
        <v>144.19900000000206</v>
      </c>
      <c r="F116">
        <v>123.19999999999898</v>
      </c>
    </row>
    <row r="117" spans="1:6" x14ac:dyDescent="0.25">
      <c r="A117" s="8">
        <v>46244</v>
      </c>
      <c r="C117">
        <v>118.84999999999852</v>
      </c>
      <c r="D117">
        <v>104.74999999999784</v>
      </c>
      <c r="E117">
        <v>144.39999999999887</v>
      </c>
      <c r="F117">
        <v>123.44999999999322</v>
      </c>
    </row>
    <row r="118" spans="1:6" x14ac:dyDescent="0.25">
      <c r="A118" s="8">
        <v>46245</v>
      </c>
      <c r="C118">
        <v>119.05000000000476</v>
      </c>
      <c r="D118">
        <v>104.79999999999995</v>
      </c>
      <c r="E118">
        <v>144.45099999999795</v>
      </c>
      <c r="F118">
        <v>123.24999999999895</v>
      </c>
    </row>
    <row r="119" spans="1:6" x14ac:dyDescent="0.25">
      <c r="A119" s="8">
        <v>46246</v>
      </c>
      <c r="C119">
        <v>119.09999999999854</v>
      </c>
      <c r="D119">
        <v>105.2000000000002</v>
      </c>
      <c r="E119">
        <v>144.55000000000055</v>
      </c>
      <c r="F119">
        <v>123.29999999999902</v>
      </c>
    </row>
    <row r="120" spans="1:6" x14ac:dyDescent="0.25">
      <c r="A120" s="8">
        <v>46247</v>
      </c>
      <c r="C120">
        <v>119.15000000000187</v>
      </c>
      <c r="D120">
        <v>104.99999999999901</v>
      </c>
      <c r="E120">
        <v>144.64999999999978</v>
      </c>
      <c r="F120">
        <v>123.60000000000073</v>
      </c>
    </row>
    <row r="121" spans="1:6" x14ac:dyDescent="0.25">
      <c r="A121" s="8">
        <v>46248</v>
      </c>
      <c r="C121">
        <v>119.25000000000017</v>
      </c>
      <c r="D121">
        <v>105.19999999999993</v>
      </c>
      <c r="E121">
        <v>145.30000000000427</v>
      </c>
      <c r="F121">
        <v>123.87999999999832</v>
      </c>
    </row>
    <row r="122" spans="1:6" x14ac:dyDescent="0.25">
      <c r="A122" s="8">
        <v>46252</v>
      </c>
      <c r="C122">
        <v>118.04999999999799</v>
      </c>
      <c r="D122">
        <v>105.00000000000014</v>
      </c>
      <c r="E122">
        <v>144.65000000000356</v>
      </c>
      <c r="F122">
        <v>122.50999999999712</v>
      </c>
    </row>
    <row r="123" spans="1:6" x14ac:dyDescent="0.25">
      <c r="A123" s="8">
        <v>46253</v>
      </c>
      <c r="C123">
        <v>118.64999999999756</v>
      </c>
      <c r="D123">
        <v>104.8999999999951</v>
      </c>
      <c r="E123">
        <v>144.2000000000032</v>
      </c>
      <c r="F123">
        <v>122.49999999999768</v>
      </c>
    </row>
    <row r="124" spans="1:6" x14ac:dyDescent="0.25">
      <c r="A124" s="8">
        <v>46254</v>
      </c>
      <c r="C124">
        <v>119.44999999999813</v>
      </c>
      <c r="D124">
        <v>105.19999999999841</v>
      </c>
      <c r="E124">
        <v>145.10000000000193</v>
      </c>
      <c r="F124">
        <v>124.09999999999457</v>
      </c>
    </row>
    <row r="125" spans="1:6" x14ac:dyDescent="0.25">
      <c r="A125" s="8">
        <v>46255</v>
      </c>
      <c r="C125">
        <v>120.0000000000025</v>
      </c>
      <c r="D125">
        <v>105.44999999999209</v>
      </c>
      <c r="E125">
        <v>145.70000000000258</v>
      </c>
      <c r="F125">
        <v>124.34999999999815</v>
      </c>
    </row>
    <row r="126" spans="1:6" x14ac:dyDescent="0.25">
      <c r="A126" s="8">
        <v>46258</v>
      </c>
      <c r="C126">
        <v>120.24999999999876</v>
      </c>
      <c r="D126">
        <v>105.24999999999255</v>
      </c>
      <c r="E126">
        <v>146.07999999999939</v>
      </c>
      <c r="F126">
        <v>124.62999999999937</v>
      </c>
    </row>
    <row r="127" spans="1:6" x14ac:dyDescent="0.25">
      <c r="A127" s="8">
        <v>46259</v>
      </c>
      <c r="C127">
        <v>120.14999999999768</v>
      </c>
      <c r="D127">
        <v>105.29999999999787</v>
      </c>
      <c r="E127">
        <v>145.65199999999894</v>
      </c>
      <c r="F127">
        <v>124.54999999999868</v>
      </c>
    </row>
    <row r="128" spans="1:6" x14ac:dyDescent="0.25">
      <c r="A128" s="8">
        <v>46260</v>
      </c>
      <c r="C128">
        <v>120.35000000000178</v>
      </c>
      <c r="D128">
        <v>105.39999999999398</v>
      </c>
      <c r="E128">
        <v>145.45000000000346</v>
      </c>
      <c r="F128">
        <v>124.15000000000636</v>
      </c>
    </row>
    <row r="129" spans="1:6" x14ac:dyDescent="0.25">
      <c r="A129" s="8">
        <v>46261</v>
      </c>
      <c r="C129">
        <v>120.59999999999744</v>
      </c>
      <c r="D129">
        <v>105.44999999999767</v>
      </c>
      <c r="E129">
        <v>145.74999999999631</v>
      </c>
      <c r="F129">
        <v>123.99000000000112</v>
      </c>
    </row>
    <row r="130" spans="1:6" x14ac:dyDescent="0.25">
      <c r="A130" s="8">
        <v>46262</v>
      </c>
      <c r="C130">
        <v>120.80000000000022</v>
      </c>
      <c r="D130">
        <v>105.79999999999833</v>
      </c>
      <c r="E130">
        <v>146.45000000000482</v>
      </c>
      <c r="F130">
        <v>124.45000000000319</v>
      </c>
    </row>
    <row r="131" spans="1:6" x14ac:dyDescent="0.25">
      <c r="A131" s="4">
        <v>46265</v>
      </c>
      <c r="B131" s="10"/>
      <c r="C131">
        <v>121.15</v>
      </c>
      <c r="D131">
        <v>106.84999999999238</v>
      </c>
      <c r="E131">
        <v>146.94000000000119</v>
      </c>
      <c r="F131">
        <v>124.85000000000053</v>
      </c>
    </row>
    <row r="132" spans="1:6" x14ac:dyDescent="0.25">
      <c r="A132" s="4">
        <v>46266</v>
      </c>
      <c r="B132">
        <v>1.00906037</v>
      </c>
      <c r="C132" s="5">
        <v>1.2130007899999999</v>
      </c>
      <c r="D132">
        <v>1.06900032</v>
      </c>
      <c r="E132">
        <v>1.47186796</v>
      </c>
      <c r="F132">
        <v>1.2513122999999999</v>
      </c>
    </row>
    <row r="133" spans="1:6" x14ac:dyDescent="0.25">
      <c r="A133" s="4">
        <v>46267</v>
      </c>
      <c r="B133">
        <v>1.0100603500000001</v>
      </c>
      <c r="C133" s="5">
        <v>1.2147051099999999</v>
      </c>
      <c r="D133">
        <v>1.0690074300000001</v>
      </c>
      <c r="E133">
        <v>1.47201179</v>
      </c>
      <c r="F133">
        <v>1.2529571399999999</v>
      </c>
    </row>
    <row r="134" spans="1:6" x14ac:dyDescent="0.25">
      <c r="A134" s="4">
        <v>46268</v>
      </c>
      <c r="B134">
        <v>1.01084299</v>
      </c>
      <c r="C134" s="5">
        <v>1.2157256599999999</v>
      </c>
      <c r="D134">
        <v>1.0687348400000001</v>
      </c>
      <c r="E134">
        <v>1.47362075</v>
      </c>
      <c r="F134">
        <v>1.25421118</v>
      </c>
    </row>
    <row r="135" spans="1:6" x14ac:dyDescent="0.25">
      <c r="A135" s="4">
        <v>46269</v>
      </c>
      <c r="B135">
        <v>1.0127881299999999</v>
      </c>
      <c r="C135" s="5">
        <v>1.2178138199999999</v>
      </c>
      <c r="D135">
        <v>1.0742336400000001</v>
      </c>
      <c r="E135">
        <v>1.4765107900000001</v>
      </c>
      <c r="F135">
        <v>1.2585695299999999</v>
      </c>
    </row>
    <row r="136" spans="1:6" x14ac:dyDescent="0.25">
      <c r="A136" s="4">
        <v>46272</v>
      </c>
      <c r="B136">
        <v>1.0133567299999999</v>
      </c>
      <c r="C136" s="5">
        <v>1.2177763699999999</v>
      </c>
      <c r="D136">
        <v>1.0713623999999999</v>
      </c>
      <c r="E136">
        <v>1.46987329</v>
      </c>
      <c r="F136">
        <v>1.2595068899999999</v>
      </c>
    </row>
    <row r="137" spans="1:6" x14ac:dyDescent="0.25">
      <c r="A137" s="4">
        <v>46273</v>
      </c>
      <c r="B137">
        <v>1.01323655</v>
      </c>
      <c r="C137" s="5">
        <v>1.2177810499999999</v>
      </c>
      <c r="D137">
        <v>1.0716682</v>
      </c>
      <c r="E137">
        <v>1.4748975499999999</v>
      </c>
      <c r="F137">
        <v>1.2577613400000001</v>
      </c>
    </row>
    <row r="138" spans="1:6" x14ac:dyDescent="0.25">
      <c r="A138" s="4">
        <v>46274</v>
      </c>
      <c r="B138">
        <v>1.0115057599999999</v>
      </c>
      <c r="C138" s="5">
        <v>1.21875841</v>
      </c>
      <c r="D138">
        <v>1.0749949999999999</v>
      </c>
      <c r="E138">
        <v>1.4749056899999999</v>
      </c>
      <c r="F138">
        <v>1.25681132</v>
      </c>
    </row>
    <row r="139" spans="1:6" x14ac:dyDescent="0.25">
      <c r="A139" s="4">
        <v>46275</v>
      </c>
      <c r="B139">
        <v>1.0156021799999999</v>
      </c>
      <c r="C139" s="5">
        <v>1.2171409900000001</v>
      </c>
      <c r="D139">
        <v>1.07449996</v>
      </c>
      <c r="E139">
        <v>1.47846571</v>
      </c>
      <c r="F139">
        <v>1.2607528299999999</v>
      </c>
    </row>
    <row r="140" spans="1:6" x14ac:dyDescent="0.25">
      <c r="A140" s="4">
        <v>46276</v>
      </c>
      <c r="B140">
        <v>1.0171820300000001</v>
      </c>
      <c r="C140" s="5">
        <v>1.22005713</v>
      </c>
      <c r="D140">
        <v>1.0730103600000001</v>
      </c>
      <c r="E140">
        <v>1.48303425</v>
      </c>
      <c r="F140">
        <v>1.2616848199999999</v>
      </c>
    </row>
    <row r="141" spans="1:6" x14ac:dyDescent="0.25">
      <c r="A141" s="4">
        <v>46279</v>
      </c>
      <c r="B141">
        <v>1.0194176500000001</v>
      </c>
      <c r="C141" s="5">
        <v>1.22405823</v>
      </c>
      <c r="D141">
        <v>1.0804226100000001</v>
      </c>
      <c r="E141">
        <v>1.48588655</v>
      </c>
      <c r="F141">
        <v>1.2666343</v>
      </c>
    </row>
    <row r="142" spans="1:6" x14ac:dyDescent="0.25">
      <c r="A142" s="4">
        <v>46280</v>
      </c>
      <c r="B142">
        <v>1.02044128</v>
      </c>
      <c r="C142" s="5">
        <v>1.2258720400000001</v>
      </c>
      <c r="D142">
        <v>1.0821337499999999</v>
      </c>
      <c r="E142">
        <v>1.48790837</v>
      </c>
      <c r="F142">
        <v>1.26531796</v>
      </c>
    </row>
    <row r="143" spans="1:6" x14ac:dyDescent="0.25">
      <c r="A143" s="4">
        <v>46281</v>
      </c>
      <c r="B143">
        <v>1.02140539</v>
      </c>
      <c r="C143" s="5">
        <v>1.22719931</v>
      </c>
      <c r="D143">
        <v>1.08499287</v>
      </c>
      <c r="E143">
        <v>1.4886435099999999</v>
      </c>
      <c r="F143">
        <v>1.2667624900000001</v>
      </c>
    </row>
    <row r="144" spans="1:6" x14ac:dyDescent="0.25">
      <c r="A144" s="4">
        <v>46282</v>
      </c>
      <c r="B144">
        <v>1.0235362400000001</v>
      </c>
      <c r="C144" s="5">
        <v>1.22855866</v>
      </c>
      <c r="D144">
        <v>1.08743849</v>
      </c>
      <c r="E144">
        <v>1.49184129</v>
      </c>
      <c r="F144">
        <v>1.26914003</v>
      </c>
    </row>
    <row r="145" spans="1:6" x14ac:dyDescent="0.25">
      <c r="A145" s="4">
        <v>46283</v>
      </c>
      <c r="B145">
        <v>1.0260089699999999</v>
      </c>
      <c r="C145" s="5">
        <v>1.23204487</v>
      </c>
      <c r="D145">
        <v>1.09631334</v>
      </c>
      <c r="E145">
        <v>1.49517514</v>
      </c>
      <c r="F145">
        <v>1.2733092399999999</v>
      </c>
    </row>
    <row r="146" spans="1:6" x14ac:dyDescent="0.25">
      <c r="A146" s="4">
        <v>46286</v>
      </c>
      <c r="B146">
        <v>1.0249857200000001</v>
      </c>
      <c r="C146" s="5">
        <v>1.2316546799999999</v>
      </c>
      <c r="D146">
        <v>1.0946988600000001</v>
      </c>
      <c r="E146">
        <v>1.49389584</v>
      </c>
      <c r="F146">
        <v>1.2723530999999999</v>
      </c>
    </row>
    <row r="147" spans="1:6" x14ac:dyDescent="0.25">
      <c r="A147" s="4">
        <v>46287</v>
      </c>
      <c r="B147">
        <v>1.0253491100000001</v>
      </c>
      <c r="C147" s="5">
        <v>1.2316048500000001</v>
      </c>
      <c r="D147">
        <v>1.08999808</v>
      </c>
      <c r="E147">
        <v>1.4940571</v>
      </c>
      <c r="F147">
        <v>1.2718339400000001</v>
      </c>
    </row>
    <row r="148" spans="1:6" x14ac:dyDescent="0.25">
      <c r="A148" s="4">
        <v>46288</v>
      </c>
      <c r="B148">
        <v>1.0240504800000001</v>
      </c>
      <c r="C148" s="5">
        <v>1.2308570400000001</v>
      </c>
      <c r="D148">
        <v>1.09026702</v>
      </c>
      <c r="E148">
        <v>1.4939936199999999</v>
      </c>
      <c r="F148">
        <v>1.26972865</v>
      </c>
    </row>
    <row r="149" spans="1:6" x14ac:dyDescent="0.25">
      <c r="A149" s="4">
        <v>46289</v>
      </c>
      <c r="B149">
        <v>1.02456668</v>
      </c>
      <c r="C149" s="5">
        <v>1.23299767</v>
      </c>
      <c r="D149">
        <v>1.0917816499999999</v>
      </c>
      <c r="E149">
        <v>1.49460317</v>
      </c>
      <c r="F149">
        <v>1.2679350199999999</v>
      </c>
    </row>
    <row r="150" spans="1:6" x14ac:dyDescent="0.25">
      <c r="A150" s="4">
        <v>46290</v>
      </c>
      <c r="B150">
        <v>1.0266372500000001</v>
      </c>
      <c r="C150" s="5">
        <v>1.23756672</v>
      </c>
      <c r="D150">
        <v>1.09202855</v>
      </c>
      <c r="E150">
        <v>1.4954674699999999</v>
      </c>
      <c r="F150">
        <v>1.26970279</v>
      </c>
    </row>
    <row r="151" spans="1:6" x14ac:dyDescent="0.25">
      <c r="A151" s="4">
        <f>+WORKDAY(A150,1,Feriados!$A$2:$A$38)</f>
        <v>46293</v>
      </c>
      <c r="B151">
        <v>1.0268137500000001</v>
      </c>
      <c r="C151" s="5">
        <v>1.2389035100000001</v>
      </c>
      <c r="D151">
        <v>1.0912433500000001</v>
      </c>
      <c r="E151">
        <v>1.4964230700000001</v>
      </c>
      <c r="F151">
        <v>1.2672363799999999</v>
      </c>
    </row>
    <row r="152" spans="1:6" x14ac:dyDescent="0.25">
      <c r="A152" s="4">
        <f>+WORKDAY(A151,1,Feriados!$A$2:$A$38)</f>
        <v>46294</v>
      </c>
      <c r="B152">
        <v>1.02808225</v>
      </c>
      <c r="C152" s="5">
        <v>1.2374037200000001</v>
      </c>
      <c r="D152">
        <v>1.08950003</v>
      </c>
      <c r="E152">
        <v>1.49537925</v>
      </c>
      <c r="F152">
        <v>1.2681650499999999</v>
      </c>
    </row>
    <row r="153" spans="1:6" x14ac:dyDescent="0.25">
      <c r="A153" s="4">
        <f>+WORKDAY(A152,1,Feriados!$A$2:$A$38)</f>
        <v>46295</v>
      </c>
      <c r="B153">
        <v>1.0294134500000001</v>
      </c>
      <c r="C153" s="5">
        <v>1.2382487799999999</v>
      </c>
      <c r="D153">
        <v>1.09140441</v>
      </c>
      <c r="E153">
        <v>1.4983319500000001</v>
      </c>
      <c r="F153">
        <v>1.2717833300000001</v>
      </c>
    </row>
    <row r="154" spans="1:6" x14ac:dyDescent="0.25">
      <c r="A154" s="4">
        <f>+WORKDAY(A153,1,Feriados!$A$2:$A$38)</f>
        <v>46296</v>
      </c>
      <c r="B154">
        <v>1.03125109</v>
      </c>
      <c r="C154" s="5">
        <v>1.2417132399999999</v>
      </c>
      <c r="D154">
        <v>1.093718</v>
      </c>
      <c r="E154">
        <v>1.5004969800000001</v>
      </c>
      <c r="F154">
        <v>1.2719944599999999</v>
      </c>
    </row>
    <row r="155" spans="1:6" x14ac:dyDescent="0.25">
      <c r="A155" s="4">
        <f>+WORKDAY(A154,1,Feriados!$A$2:$A$38)</f>
        <v>46297</v>
      </c>
      <c r="B155">
        <v>1.034098</v>
      </c>
      <c r="C155" s="5">
        <v>1.24830782</v>
      </c>
      <c r="D155">
        <v>1.09451115</v>
      </c>
      <c r="E155">
        <v>1.50454106</v>
      </c>
      <c r="F155">
        <v>1.2774154</v>
      </c>
    </row>
    <row r="156" spans="1:6" x14ac:dyDescent="0.25">
      <c r="A156" s="4">
        <f>+WORKDAY(A155,1,Feriados!$A$2:$A$38)</f>
        <v>46300</v>
      </c>
      <c r="B156">
        <v>1.0356566199999999</v>
      </c>
      <c r="C156" s="5">
        <v>1.2505858299999999</v>
      </c>
      <c r="D156">
        <v>1.0940564699999999</v>
      </c>
      <c r="E156">
        <v>1.5063051999999999</v>
      </c>
      <c r="F156">
        <v>1.2804176300000001</v>
      </c>
    </row>
    <row r="157" spans="1:6" x14ac:dyDescent="0.25">
      <c r="A157" s="4">
        <f>+WORKDAY(A156,1,Feriados!$A$2:$A$38)</f>
        <v>46301</v>
      </c>
      <c r="B157">
        <v>1.03645627</v>
      </c>
      <c r="C157">
        <v>1.2508325600000001</v>
      </c>
      <c r="D157">
        <v>1.09775508</v>
      </c>
      <c r="E157">
        <v>1.5070904899999999</v>
      </c>
      <c r="F157">
        <v>1.2822477234033001</v>
      </c>
    </row>
    <row r="158" spans="1:6" x14ac:dyDescent="0.25">
      <c r="A158" s="4">
        <f>+WORKDAY(A157,1,Feriados!$A$2:$A$38)</f>
        <v>46302</v>
      </c>
      <c r="B158">
        <v>1.0368340300000001</v>
      </c>
      <c r="C158">
        <v>1.24982745</v>
      </c>
      <c r="D158">
        <v>1.10071407</v>
      </c>
      <c r="E158">
        <v>1.5086614</v>
      </c>
      <c r="F158">
        <v>1.2838353899999999</v>
      </c>
    </row>
    <row r="159" spans="1:6" x14ac:dyDescent="0.25">
      <c r="A159" s="4">
        <f>+WORKDAY(A158,1,Feriados!$A$2:$A$38)</f>
        <v>46303</v>
      </c>
      <c r="B159">
        <v>1.0378953</v>
      </c>
      <c r="C159">
        <v>1.25065581</v>
      </c>
      <c r="D159">
        <v>1.1008573500000001</v>
      </c>
      <c r="E159">
        <v>1.5098224</v>
      </c>
      <c r="F159">
        <v>1.284648</v>
      </c>
    </row>
    <row r="160" spans="1:6" x14ac:dyDescent="0.25">
      <c r="A160" s="4">
        <f>+WORKDAY(A159,1,Feriados!$A$2:$A$38)</f>
        <v>46304</v>
      </c>
      <c r="B160">
        <v>1.0415968799999999</v>
      </c>
      <c r="C160">
        <v>1.2552227199999999</v>
      </c>
      <c r="D160">
        <v>1.10295125</v>
      </c>
      <c r="E160">
        <v>1.51388945</v>
      </c>
      <c r="F160">
        <v>1.2905880999999999</v>
      </c>
    </row>
    <row r="161" spans="1:6" x14ac:dyDescent="0.25">
      <c r="A161" s="4">
        <f>+WORKDAY(A160,1,Feriados!$A$2:$A$38)</f>
        <v>46308</v>
      </c>
      <c r="B161">
        <v>1.0406137799999999</v>
      </c>
      <c r="C161">
        <v>1.25371196</v>
      </c>
      <c r="D161">
        <v>1.1039651500000001</v>
      </c>
      <c r="E161">
        <v>1.51469338</v>
      </c>
      <c r="F161">
        <v>1.2911038800000001</v>
      </c>
    </row>
    <row r="162" spans="1:6" x14ac:dyDescent="0.25">
      <c r="A162" s="4">
        <f>+WORKDAY(A161,1,Feriados!$A$2:$A$38)</f>
        <v>46309</v>
      </c>
      <c r="B162">
        <f>INDEX('[1]Precios historicos'!$A:$AZ,MATCH(B$1,'[1]Precios historicos'!$A:$A,0),MATCH($A162,'[1]Precios historicos'!$7:$7,0))</f>
        <v>1.04013471</v>
      </c>
      <c r="C162">
        <f>INDEX('[1]Precios historicos'!$A:$AZ,MATCH(C$1,'[1]Precios historicos'!$A:$A,0),MATCH($A162,'[1]Precios historicos'!$7:$7,0))</f>
        <v>1.25551919</v>
      </c>
      <c r="D162">
        <f>INDEX('[1]Precios historicos'!$A:$AZ,MATCH(D$1,'[1]Precios historicos'!$A:$A,0),MATCH($A162,'[1]Precios historicos'!$7:$7,0))</f>
        <v>1.1058990500000001</v>
      </c>
      <c r="E162">
        <f>INDEX('[1]Precios historicos'!$A:$AZ,MATCH(E$1,'[1]Precios historicos'!$A:$A,0),MATCH($A162,'[1]Precios historicos'!$7:$7,0))</f>
        <v>1.51396376</v>
      </c>
      <c r="F162">
        <f>INDEX('[1]Precios historicos'!$A:$AZ,MATCH(F$1,'[1]Precios historicos'!$A:$A,0),MATCH($A162,'[1]Precios historicos'!$7:$7,0))</f>
        <v>1.291304</v>
      </c>
    </row>
    <row r="163" spans="1:6" x14ac:dyDescent="0.25">
      <c r="A163" s="4">
        <f>+WORKDAY(A162,1,Feriados!$A$2:$A$38)</f>
        <v>46310</v>
      </c>
      <c r="B163">
        <f>INDEX('[1]Precios historicos'!$A:$AZ,MATCH(B$1,'[1]Precios historicos'!$A:$A,0),MATCH($A163,'[1]Precios historicos'!$7:$7,0))</f>
        <v>1.0380406799999999</v>
      </c>
      <c r="C163">
        <f>INDEX('[1]Precios historicos'!$A:$AZ,MATCH(C$1,'[1]Precios historicos'!$A:$A,0),MATCH($A163,'[1]Precios historicos'!$7:$7,0))</f>
        <v>1.2569410700000001</v>
      </c>
      <c r="D163">
        <f>INDEX('[1]Precios historicos'!$A:$AZ,MATCH(D$1,'[1]Precios historicos'!$A:$A,0),MATCH($A163,'[1]Precios historicos'!$7:$7,0))</f>
        <v>1.11006571</v>
      </c>
      <c r="E163">
        <f>INDEX('[1]Precios historicos'!$A:$AZ,MATCH(E$1,'[1]Precios historicos'!$A:$A,0),MATCH($A163,'[1]Precios historicos'!$7:$7,0))</f>
        <v>1.51818404</v>
      </c>
      <c r="F163">
        <f>INDEX('[1]Precios historicos'!$A:$AZ,MATCH(F$1,'[1]Precios historicos'!$A:$A,0),MATCH($A163,'[1]Precios historicos'!$7:$7,0))</f>
        <v>1.29516952</v>
      </c>
    </row>
    <row r="164" spans="1:6" x14ac:dyDescent="0.25">
      <c r="A164" s="4">
        <f>+WORKDAY(A163,1,Feriados!$A$2:$A$38)</f>
        <v>46311</v>
      </c>
      <c r="B164">
        <f>INDEX('[4]Precios Históricos'!$A:$AZ,MATCH(B$1,'[4]Precios Históricos'!$B:$B,0),MATCH($A164,'[4]Precios Históricos'!$6:$6,0))</f>
        <v>1.0465052399999999</v>
      </c>
      <c r="C164">
        <f>INDEX('[4]Precios Históricos'!$A:$AZ,MATCH(C$1,'[4]Precios Históricos'!$B:$B,0),MATCH($A164,'[4]Precios Históricos'!$6:$6,0))</f>
        <v>1.2600124800000001</v>
      </c>
      <c r="D164">
        <f>INDEX('[4]Precios Históricos'!$A:$AZ,MATCH(D$1,'[4]Precios Históricos'!$B:$B,0),MATCH($A164,'[4]Precios Históricos'!$6:$6,0))</f>
        <v>1.1138335500000001</v>
      </c>
      <c r="E164">
        <f>INDEX('[4]Precios Históricos'!$A:$AZ,MATCH(E$1,'[4]Precios Históricos'!$B:$B,0),MATCH($A164,'[4]Precios Históricos'!$6:$6,0))</f>
        <v>1.5226219299999999</v>
      </c>
      <c r="F164">
        <f>INDEX('[4]Precios Históricos'!$A:$AZ,MATCH(F$1,'[4]Precios Históricos'!$B:$B,0),MATCH($A164,'[4]Precios Históricos'!$6:$6,0))</f>
        <v>1.29837176</v>
      </c>
    </row>
    <row r="165" spans="1:6" x14ac:dyDescent="0.25">
      <c r="A165" s="4"/>
      <c r="C165" s="5"/>
    </row>
    <row r="166" spans="1:6" x14ac:dyDescent="0.25">
      <c r="A166" s="4"/>
      <c r="C16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8"/>
  <sheetViews>
    <sheetView topLeftCell="A409" workbookViewId="0">
      <selection activeCell="B435" sqref="B435"/>
    </sheetView>
  </sheetViews>
  <sheetFormatPr baseColWidth="10" defaultRowHeight="15" x14ac:dyDescent="0.25"/>
  <cols>
    <col min="1" max="1" width="11.42578125" style="2"/>
    <col min="2" max="2" width="11.42578125" style="3"/>
  </cols>
  <sheetData>
    <row r="1" spans="1:2" x14ac:dyDescent="0.25">
      <c r="A1" s="2" t="s">
        <v>2</v>
      </c>
      <c r="B1" s="3" t="s">
        <v>1</v>
      </c>
    </row>
    <row r="2" spans="1:2" x14ac:dyDescent="0.25">
      <c r="A2" s="2">
        <v>45659</v>
      </c>
      <c r="B2" s="3">
        <v>34.3125</v>
      </c>
    </row>
    <row r="3" spans="1:2" x14ac:dyDescent="0.25">
      <c r="A3" s="2">
        <v>45660</v>
      </c>
      <c r="B3" s="3">
        <v>34.5</v>
      </c>
    </row>
    <row r="4" spans="1:2" x14ac:dyDescent="0.25">
      <c r="A4" s="2">
        <v>45663</v>
      </c>
      <c r="B4" s="3">
        <v>34.75</v>
      </c>
    </row>
    <row r="5" spans="1:2" x14ac:dyDescent="0.25">
      <c r="A5" s="2">
        <v>45664</v>
      </c>
      <c r="B5" s="3">
        <v>34.8125</v>
      </c>
    </row>
    <row r="6" spans="1:2" x14ac:dyDescent="0.25">
      <c r="A6" s="2">
        <v>45665</v>
      </c>
      <c r="B6" s="3">
        <v>33.9375</v>
      </c>
    </row>
    <row r="7" spans="1:2" x14ac:dyDescent="0.25">
      <c r="A7" s="2">
        <v>45666</v>
      </c>
      <c r="B7" s="3">
        <v>34.1875</v>
      </c>
    </row>
    <row r="8" spans="1:2" x14ac:dyDescent="0.25">
      <c r="A8" s="2">
        <v>45667</v>
      </c>
      <c r="B8" s="3">
        <v>34.1875</v>
      </c>
    </row>
    <row r="9" spans="1:2" x14ac:dyDescent="0.25">
      <c r="A9" s="2">
        <v>45670</v>
      </c>
      <c r="B9" s="3">
        <v>34.25</v>
      </c>
    </row>
    <row r="10" spans="1:2" x14ac:dyDescent="0.25">
      <c r="A10" s="2">
        <v>45671</v>
      </c>
      <c r="B10" s="3">
        <v>34.5625</v>
      </c>
    </row>
    <row r="11" spans="1:2" x14ac:dyDescent="0.25">
      <c r="A11" s="2">
        <v>45672</v>
      </c>
      <c r="B11" s="3">
        <v>32.875</v>
      </c>
    </row>
    <row r="12" spans="1:2" x14ac:dyDescent="0.25">
      <c r="A12" s="2">
        <v>45673</v>
      </c>
      <c r="B12" s="3">
        <v>33.1875</v>
      </c>
    </row>
    <row r="13" spans="1:2" x14ac:dyDescent="0.25">
      <c r="A13" s="2">
        <v>45674</v>
      </c>
      <c r="B13" s="3">
        <v>32.5625</v>
      </c>
    </row>
    <row r="14" spans="1:2" x14ac:dyDescent="0.25">
      <c r="A14" s="2">
        <v>45677</v>
      </c>
      <c r="B14" s="3">
        <v>32.8125</v>
      </c>
    </row>
    <row r="15" spans="1:2" x14ac:dyDescent="0.25">
      <c r="A15" s="2">
        <v>45678</v>
      </c>
      <c r="B15" s="3">
        <v>33.1875</v>
      </c>
    </row>
    <row r="16" spans="1:2" x14ac:dyDescent="0.25">
      <c r="A16" s="2">
        <v>45679</v>
      </c>
      <c r="B16" s="3">
        <v>33.1875</v>
      </c>
    </row>
    <row r="17" spans="1:2" x14ac:dyDescent="0.25">
      <c r="A17" s="2">
        <v>45680</v>
      </c>
      <c r="B17" s="3">
        <v>33.3125</v>
      </c>
    </row>
    <row r="18" spans="1:2" x14ac:dyDescent="0.25">
      <c r="A18" s="2">
        <v>45681</v>
      </c>
      <c r="B18" s="3">
        <v>33.9375</v>
      </c>
    </row>
    <row r="19" spans="1:2" x14ac:dyDescent="0.25">
      <c r="A19" s="2">
        <v>45684</v>
      </c>
      <c r="B19" s="3">
        <v>32.75</v>
      </c>
    </row>
    <row r="20" spans="1:2" x14ac:dyDescent="0.25">
      <c r="A20" s="2">
        <v>45685</v>
      </c>
      <c r="B20" s="3">
        <v>33.875</v>
      </c>
    </row>
    <row r="21" spans="1:2" x14ac:dyDescent="0.25">
      <c r="A21" s="2">
        <v>45686</v>
      </c>
      <c r="B21" s="3">
        <v>33.8125</v>
      </c>
    </row>
    <row r="22" spans="1:2" x14ac:dyDescent="0.25">
      <c r="A22" s="2">
        <v>45687</v>
      </c>
      <c r="B22" s="3">
        <v>33.5</v>
      </c>
    </row>
    <row r="23" spans="1:2" x14ac:dyDescent="0.25">
      <c r="A23" s="2">
        <v>45688</v>
      </c>
      <c r="B23" s="3">
        <v>30.625</v>
      </c>
    </row>
    <row r="24" spans="1:2" x14ac:dyDescent="0.25">
      <c r="A24" s="2">
        <v>45691</v>
      </c>
      <c r="B24" s="3">
        <v>30.4375</v>
      </c>
    </row>
    <row r="25" spans="1:2" x14ac:dyDescent="0.25">
      <c r="A25" s="2">
        <v>45692</v>
      </c>
      <c r="B25" s="3">
        <v>30.6875</v>
      </c>
    </row>
    <row r="26" spans="1:2" x14ac:dyDescent="0.25">
      <c r="A26" s="2">
        <v>45693</v>
      </c>
      <c r="B26" s="3">
        <v>30.8125</v>
      </c>
    </row>
    <row r="27" spans="1:2" x14ac:dyDescent="0.25">
      <c r="A27" s="2">
        <v>45694</v>
      </c>
      <c r="B27" s="3">
        <v>30.625</v>
      </c>
    </row>
    <row r="28" spans="1:2" x14ac:dyDescent="0.25">
      <c r="A28" s="2">
        <v>45695</v>
      </c>
      <c r="B28" s="3">
        <v>30.5</v>
      </c>
    </row>
    <row r="29" spans="1:2" x14ac:dyDescent="0.25">
      <c r="A29" s="2">
        <v>45698</v>
      </c>
      <c r="B29" s="3">
        <v>30.4375</v>
      </c>
    </row>
    <row r="30" spans="1:2" x14ac:dyDescent="0.25">
      <c r="A30" s="2">
        <v>45699</v>
      </c>
      <c r="B30" s="3">
        <v>30.375</v>
      </c>
    </row>
    <row r="31" spans="1:2" x14ac:dyDescent="0.25">
      <c r="A31" s="2">
        <v>45700</v>
      </c>
      <c r="B31" s="3">
        <v>30.1875</v>
      </c>
    </row>
    <row r="32" spans="1:2" x14ac:dyDescent="0.25">
      <c r="A32" s="2">
        <v>45701</v>
      </c>
      <c r="B32" s="3">
        <v>30.25</v>
      </c>
    </row>
    <row r="33" spans="1:2" x14ac:dyDescent="0.25">
      <c r="A33" s="2">
        <v>45702</v>
      </c>
      <c r="B33" s="3">
        <v>30.1875</v>
      </c>
    </row>
    <row r="34" spans="1:2" x14ac:dyDescent="0.25">
      <c r="A34" s="2">
        <v>45705</v>
      </c>
      <c r="B34" s="3">
        <v>30.3125</v>
      </c>
    </row>
    <row r="35" spans="1:2" x14ac:dyDescent="0.25">
      <c r="A35" s="2">
        <v>45706</v>
      </c>
      <c r="B35" s="3">
        <v>30.125</v>
      </c>
    </row>
    <row r="36" spans="1:2" x14ac:dyDescent="0.25">
      <c r="A36" s="2">
        <v>45707</v>
      </c>
      <c r="B36" s="3">
        <v>29.9375</v>
      </c>
    </row>
    <row r="37" spans="1:2" x14ac:dyDescent="0.25">
      <c r="A37" s="2">
        <v>45708</v>
      </c>
      <c r="B37" s="3">
        <v>28.25</v>
      </c>
    </row>
    <row r="38" spans="1:2" x14ac:dyDescent="0.25">
      <c r="A38" s="2">
        <v>45709</v>
      </c>
      <c r="B38" s="3">
        <v>29.4375</v>
      </c>
    </row>
    <row r="39" spans="1:2" x14ac:dyDescent="0.25">
      <c r="A39" s="2">
        <v>45712</v>
      </c>
      <c r="B39" s="3">
        <v>29.0625</v>
      </c>
    </row>
    <row r="40" spans="1:2" x14ac:dyDescent="0.25">
      <c r="A40" s="2">
        <v>45713</v>
      </c>
      <c r="B40" s="3">
        <v>29.0625</v>
      </c>
    </row>
    <row r="41" spans="1:2" x14ac:dyDescent="0.25">
      <c r="A41" s="2">
        <v>45714</v>
      </c>
      <c r="B41" s="3">
        <v>29.375</v>
      </c>
    </row>
    <row r="42" spans="1:2" x14ac:dyDescent="0.25">
      <c r="A42" s="2">
        <v>45715</v>
      </c>
      <c r="B42" s="3">
        <v>29.5625</v>
      </c>
    </row>
    <row r="43" spans="1:2" x14ac:dyDescent="0.25">
      <c r="A43" s="2">
        <v>45716</v>
      </c>
      <c r="B43" s="3">
        <v>29.625</v>
      </c>
    </row>
    <row r="44" spans="1:2" x14ac:dyDescent="0.25">
      <c r="A44" s="2">
        <v>45721</v>
      </c>
      <c r="B44" s="3">
        <v>29.5625</v>
      </c>
    </row>
    <row r="45" spans="1:2" x14ac:dyDescent="0.25">
      <c r="A45" s="2">
        <v>45722</v>
      </c>
      <c r="B45" s="3">
        <v>29.8125</v>
      </c>
    </row>
    <row r="46" spans="1:2" x14ac:dyDescent="0.25">
      <c r="A46" s="2">
        <v>45723</v>
      </c>
      <c r="B46" s="3">
        <v>29.875</v>
      </c>
    </row>
    <row r="47" spans="1:2" x14ac:dyDescent="0.25">
      <c r="A47" s="2">
        <v>45726</v>
      </c>
      <c r="B47" s="3">
        <v>29.875</v>
      </c>
    </row>
    <row r="48" spans="1:2" x14ac:dyDescent="0.25">
      <c r="A48" s="2">
        <v>45727</v>
      </c>
      <c r="B48" s="3">
        <v>29.9375</v>
      </c>
    </row>
    <row r="49" spans="1:2" x14ac:dyDescent="0.25">
      <c r="A49" s="2">
        <v>45728</v>
      </c>
      <c r="B49" s="3">
        <v>30.125</v>
      </c>
    </row>
    <row r="50" spans="1:2" x14ac:dyDescent="0.25">
      <c r="A50" s="2">
        <v>45729</v>
      </c>
      <c r="B50" s="3">
        <v>30.1875</v>
      </c>
    </row>
    <row r="51" spans="1:2" x14ac:dyDescent="0.25">
      <c r="A51" s="2">
        <v>45730</v>
      </c>
      <c r="B51" s="3">
        <v>30.625</v>
      </c>
    </row>
    <row r="52" spans="1:2" x14ac:dyDescent="0.25">
      <c r="A52" s="2">
        <v>45733</v>
      </c>
      <c r="B52" s="3">
        <v>30.8125</v>
      </c>
    </row>
    <row r="53" spans="1:2" x14ac:dyDescent="0.25">
      <c r="A53" s="2">
        <v>45734</v>
      </c>
      <c r="B53" s="3">
        <v>31.0625</v>
      </c>
    </row>
    <row r="54" spans="1:2" x14ac:dyDescent="0.25">
      <c r="A54" s="2">
        <v>45735</v>
      </c>
      <c r="B54" s="3">
        <v>31.375</v>
      </c>
    </row>
    <row r="55" spans="1:2" x14ac:dyDescent="0.25">
      <c r="A55" s="2">
        <v>45736</v>
      </c>
      <c r="B55" s="3">
        <v>31.625</v>
      </c>
    </row>
    <row r="56" spans="1:2" x14ac:dyDescent="0.25">
      <c r="A56" s="2">
        <v>45737</v>
      </c>
      <c r="B56" s="3">
        <v>31.5</v>
      </c>
    </row>
    <row r="57" spans="1:2" x14ac:dyDescent="0.25">
      <c r="A57" s="2">
        <v>45741</v>
      </c>
      <c r="B57" s="3">
        <v>31.3125</v>
      </c>
    </row>
    <row r="58" spans="1:2" x14ac:dyDescent="0.25">
      <c r="A58" s="2">
        <v>45742</v>
      </c>
      <c r="B58" s="3">
        <v>31.875</v>
      </c>
    </row>
    <row r="59" spans="1:2" x14ac:dyDescent="0.25">
      <c r="A59" s="2">
        <v>45743</v>
      </c>
      <c r="B59" s="3">
        <v>31.6875</v>
      </c>
    </row>
    <row r="60" spans="1:2" x14ac:dyDescent="0.25">
      <c r="A60" s="2">
        <v>45744</v>
      </c>
      <c r="B60" s="3">
        <v>31.875</v>
      </c>
    </row>
    <row r="61" spans="1:2" x14ac:dyDescent="0.25">
      <c r="A61" s="2">
        <v>45747</v>
      </c>
      <c r="B61" s="3">
        <v>32.0625</v>
      </c>
    </row>
    <row r="62" spans="1:2" x14ac:dyDescent="0.25">
      <c r="A62" s="2">
        <v>45748</v>
      </c>
      <c r="B62" s="3">
        <v>32.625</v>
      </c>
    </row>
    <row r="63" spans="1:2" x14ac:dyDescent="0.25">
      <c r="A63" s="2">
        <v>45750</v>
      </c>
      <c r="B63" s="3">
        <v>32.9375</v>
      </c>
    </row>
    <row r="64" spans="1:2" x14ac:dyDescent="0.25">
      <c r="A64" s="2">
        <v>45751</v>
      </c>
      <c r="B64" s="3">
        <v>32.4375</v>
      </c>
    </row>
    <row r="65" spans="1:2" x14ac:dyDescent="0.25">
      <c r="A65" s="2">
        <v>45754</v>
      </c>
      <c r="B65" s="3">
        <v>33.25</v>
      </c>
    </row>
    <row r="66" spans="1:2" x14ac:dyDescent="0.25">
      <c r="A66" s="2">
        <v>45755</v>
      </c>
      <c r="B66" s="3">
        <v>32.8125</v>
      </c>
    </row>
    <row r="67" spans="1:2" x14ac:dyDescent="0.25">
      <c r="A67" s="2">
        <v>45756</v>
      </c>
      <c r="B67" s="3">
        <v>32.875</v>
      </c>
    </row>
    <row r="68" spans="1:2" x14ac:dyDescent="0.25">
      <c r="A68" s="2">
        <v>45757</v>
      </c>
      <c r="B68" s="3">
        <v>33.875</v>
      </c>
    </row>
    <row r="69" spans="1:2" x14ac:dyDescent="0.25">
      <c r="A69" s="2">
        <v>45758</v>
      </c>
      <c r="B69" s="3">
        <v>34.1875</v>
      </c>
    </row>
    <row r="70" spans="1:2" x14ac:dyDescent="0.25">
      <c r="A70" s="2">
        <v>45761</v>
      </c>
      <c r="B70" s="3">
        <v>39.1875</v>
      </c>
    </row>
    <row r="71" spans="1:2" x14ac:dyDescent="0.25">
      <c r="A71" s="2">
        <v>45762</v>
      </c>
      <c r="B71" s="3">
        <v>36.5</v>
      </c>
    </row>
    <row r="72" spans="1:2" x14ac:dyDescent="0.25">
      <c r="A72" s="2">
        <v>45763</v>
      </c>
      <c r="B72" s="3">
        <v>39.125</v>
      </c>
    </row>
    <row r="73" spans="1:2" x14ac:dyDescent="0.25">
      <c r="A73" s="2">
        <v>45768</v>
      </c>
      <c r="B73" s="3">
        <v>36.5</v>
      </c>
    </row>
    <row r="74" spans="1:2" x14ac:dyDescent="0.25">
      <c r="A74" s="2">
        <v>45769</v>
      </c>
      <c r="B74" s="3">
        <v>35.6875</v>
      </c>
    </row>
    <row r="75" spans="1:2" x14ac:dyDescent="0.25">
      <c r="A75" s="2">
        <v>45770</v>
      </c>
      <c r="B75" s="3">
        <v>35.625</v>
      </c>
    </row>
    <row r="76" spans="1:2" x14ac:dyDescent="0.25">
      <c r="A76" s="2">
        <v>45771</v>
      </c>
      <c r="B76" s="3">
        <v>35.0625</v>
      </c>
    </row>
    <row r="77" spans="1:2" x14ac:dyDescent="0.25">
      <c r="A77" s="2">
        <v>45772</v>
      </c>
      <c r="B77" s="3">
        <v>34.875</v>
      </c>
    </row>
    <row r="78" spans="1:2" x14ac:dyDescent="0.25">
      <c r="A78" s="2">
        <v>45775</v>
      </c>
      <c r="B78" s="3">
        <v>34.8125</v>
      </c>
    </row>
    <row r="79" spans="1:2" x14ac:dyDescent="0.25">
      <c r="A79" s="2">
        <v>45776</v>
      </c>
      <c r="B79" s="3">
        <v>34.0625</v>
      </c>
    </row>
    <row r="80" spans="1:2" x14ac:dyDescent="0.25">
      <c r="A80" s="2">
        <v>45777</v>
      </c>
      <c r="B80" s="3">
        <v>34.625</v>
      </c>
    </row>
    <row r="81" spans="1:2" x14ac:dyDescent="0.25">
      <c r="A81" s="2">
        <v>45782</v>
      </c>
      <c r="B81" s="3">
        <v>33.4375</v>
      </c>
    </row>
    <row r="82" spans="1:2" x14ac:dyDescent="0.25">
      <c r="A82" s="2">
        <v>45783</v>
      </c>
      <c r="B82" s="3">
        <v>35.3125</v>
      </c>
    </row>
    <row r="83" spans="1:2" x14ac:dyDescent="0.25">
      <c r="A83" s="2">
        <v>45784</v>
      </c>
      <c r="B83" s="3">
        <v>34.8125</v>
      </c>
    </row>
    <row r="84" spans="1:2" x14ac:dyDescent="0.25">
      <c r="A84" s="2">
        <v>45785</v>
      </c>
      <c r="B84" s="3">
        <v>34.5</v>
      </c>
    </row>
    <row r="85" spans="1:2" x14ac:dyDescent="0.25">
      <c r="A85" s="2">
        <v>45786</v>
      </c>
      <c r="B85" s="3">
        <v>34.25</v>
      </c>
    </row>
    <row r="86" spans="1:2" x14ac:dyDescent="0.25">
      <c r="A86" s="2">
        <v>45789</v>
      </c>
      <c r="B86" s="3">
        <v>33.8125</v>
      </c>
    </row>
    <row r="87" spans="1:2" x14ac:dyDescent="0.25">
      <c r="A87" s="2">
        <v>45790</v>
      </c>
      <c r="B87" s="3">
        <v>34.875</v>
      </c>
    </row>
    <row r="88" spans="1:2" x14ac:dyDescent="0.25">
      <c r="A88" s="2">
        <v>45791</v>
      </c>
      <c r="B88" s="3">
        <v>34.5</v>
      </c>
    </row>
    <row r="89" spans="1:2" x14ac:dyDescent="0.25">
      <c r="A89" s="2">
        <v>45792</v>
      </c>
      <c r="B89" s="3">
        <v>34.5625</v>
      </c>
    </row>
    <row r="90" spans="1:2" x14ac:dyDescent="0.25">
      <c r="A90" s="2">
        <v>45793</v>
      </c>
      <c r="B90" s="3">
        <v>32.0625</v>
      </c>
    </row>
    <row r="91" spans="1:2" x14ac:dyDescent="0.25">
      <c r="A91" s="2">
        <v>45796</v>
      </c>
      <c r="B91" s="3">
        <v>34.6875</v>
      </c>
    </row>
    <row r="92" spans="1:2" x14ac:dyDescent="0.25">
      <c r="A92" s="2">
        <v>45797</v>
      </c>
      <c r="B92" s="3">
        <v>34.6875</v>
      </c>
    </row>
    <row r="93" spans="1:2" x14ac:dyDescent="0.25">
      <c r="A93" s="2">
        <v>45798</v>
      </c>
      <c r="B93" s="3">
        <v>34.125</v>
      </c>
    </row>
    <row r="94" spans="1:2" x14ac:dyDescent="0.25">
      <c r="A94" s="2">
        <v>45799</v>
      </c>
      <c r="B94" s="3">
        <v>34.0625</v>
      </c>
    </row>
    <row r="95" spans="1:2" x14ac:dyDescent="0.25">
      <c r="A95" s="2">
        <v>45800</v>
      </c>
      <c r="B95" s="3">
        <v>34.5625</v>
      </c>
    </row>
    <row r="96" spans="1:2" x14ac:dyDescent="0.25">
      <c r="A96" s="2">
        <v>45803</v>
      </c>
      <c r="B96" s="3">
        <v>33.6875</v>
      </c>
    </row>
    <row r="97" spans="1:2" x14ac:dyDescent="0.25">
      <c r="A97" s="2">
        <v>45804</v>
      </c>
      <c r="B97" s="3">
        <v>34.1875</v>
      </c>
    </row>
    <row r="98" spans="1:2" x14ac:dyDescent="0.25">
      <c r="A98" s="2">
        <v>45805</v>
      </c>
      <c r="B98" s="3">
        <v>33.875</v>
      </c>
    </row>
    <row r="99" spans="1:2" x14ac:dyDescent="0.25">
      <c r="A99" s="2">
        <v>45806</v>
      </c>
      <c r="B99" s="3">
        <v>34.0625</v>
      </c>
    </row>
    <row r="100" spans="1:2" x14ac:dyDescent="0.25">
      <c r="A100" s="2">
        <v>45807</v>
      </c>
      <c r="B100" s="3">
        <v>33.1875</v>
      </c>
    </row>
    <row r="101" spans="1:2" x14ac:dyDescent="0.25">
      <c r="A101" s="2">
        <v>45810</v>
      </c>
      <c r="B101" s="3">
        <v>34.25</v>
      </c>
    </row>
    <row r="102" spans="1:2" x14ac:dyDescent="0.25">
      <c r="A102" s="2">
        <v>45811</v>
      </c>
      <c r="B102" s="3">
        <v>34.4375</v>
      </c>
    </row>
    <row r="103" spans="1:2" x14ac:dyDescent="0.25">
      <c r="A103" s="2">
        <v>45812</v>
      </c>
      <c r="B103" s="3">
        <v>33</v>
      </c>
    </row>
    <row r="104" spans="1:2" x14ac:dyDescent="0.25">
      <c r="A104" s="2">
        <v>45813</v>
      </c>
      <c r="B104" s="3">
        <v>33.5625</v>
      </c>
    </row>
    <row r="105" spans="1:2" x14ac:dyDescent="0.25">
      <c r="A105" s="2">
        <v>45814</v>
      </c>
      <c r="B105" s="3">
        <v>34.0625</v>
      </c>
    </row>
    <row r="106" spans="1:2" x14ac:dyDescent="0.25">
      <c r="A106" s="2">
        <v>45817</v>
      </c>
      <c r="B106" s="3">
        <v>32.9375</v>
      </c>
    </row>
    <row r="107" spans="1:2" x14ac:dyDescent="0.25">
      <c r="A107" s="2">
        <v>45818</v>
      </c>
      <c r="B107" s="3">
        <v>34</v>
      </c>
    </row>
    <row r="108" spans="1:2" x14ac:dyDescent="0.25">
      <c r="A108" s="2">
        <v>45819</v>
      </c>
      <c r="B108" s="3">
        <v>33.75</v>
      </c>
    </row>
    <row r="109" spans="1:2" x14ac:dyDescent="0.25">
      <c r="A109" s="2">
        <v>45820</v>
      </c>
      <c r="B109" s="3">
        <v>33.8125</v>
      </c>
    </row>
    <row r="110" spans="1:2" x14ac:dyDescent="0.25">
      <c r="A110" s="2">
        <v>45821</v>
      </c>
      <c r="B110" s="3">
        <v>33.5625</v>
      </c>
    </row>
    <row r="111" spans="1:2" x14ac:dyDescent="0.25">
      <c r="A111" s="2">
        <v>45825</v>
      </c>
      <c r="B111" s="3">
        <v>33.9375</v>
      </c>
    </row>
    <row r="112" spans="1:2" x14ac:dyDescent="0.25">
      <c r="A112" s="2">
        <v>45826</v>
      </c>
      <c r="B112" s="3">
        <v>32.375</v>
      </c>
    </row>
    <row r="113" spans="1:2" x14ac:dyDescent="0.25">
      <c r="A113" s="2">
        <v>45827</v>
      </c>
      <c r="B113" s="3">
        <v>34.0625</v>
      </c>
    </row>
    <row r="114" spans="1:2" x14ac:dyDescent="0.25">
      <c r="A114" s="2">
        <v>45831</v>
      </c>
      <c r="B114" s="3">
        <v>33.25</v>
      </c>
    </row>
    <row r="115" spans="1:2" x14ac:dyDescent="0.25">
      <c r="A115" s="2">
        <v>45832</v>
      </c>
      <c r="B115" s="3">
        <v>34.25</v>
      </c>
    </row>
    <row r="116" spans="1:2" x14ac:dyDescent="0.25">
      <c r="A116" s="2">
        <v>45833</v>
      </c>
      <c r="B116" s="3">
        <v>34</v>
      </c>
    </row>
    <row r="117" spans="1:2" x14ac:dyDescent="0.25">
      <c r="A117" s="2">
        <v>45834</v>
      </c>
      <c r="B117" s="3">
        <v>33.25</v>
      </c>
    </row>
    <row r="118" spans="1:2" x14ac:dyDescent="0.25">
      <c r="A118" s="2">
        <v>45835</v>
      </c>
      <c r="B118" s="3">
        <v>34.3125</v>
      </c>
    </row>
    <row r="119" spans="1:2" x14ac:dyDescent="0.25">
      <c r="A119" s="2">
        <v>45838</v>
      </c>
      <c r="B119" s="3">
        <v>33.625</v>
      </c>
    </row>
    <row r="120" spans="1:2" x14ac:dyDescent="0.25">
      <c r="A120" s="2">
        <v>45839</v>
      </c>
      <c r="B120" s="3">
        <v>34.1875</v>
      </c>
    </row>
    <row r="121" spans="1:2" x14ac:dyDescent="0.25">
      <c r="A121" s="2">
        <v>45840</v>
      </c>
      <c r="B121" s="3">
        <v>34.1875</v>
      </c>
    </row>
    <row r="122" spans="1:2" x14ac:dyDescent="0.25">
      <c r="A122" s="2">
        <v>45841</v>
      </c>
      <c r="B122" s="3">
        <v>34.0625</v>
      </c>
    </row>
    <row r="123" spans="1:2" x14ac:dyDescent="0.25">
      <c r="A123" s="2">
        <v>45842</v>
      </c>
      <c r="B123" s="3">
        <v>33.75</v>
      </c>
    </row>
    <row r="124" spans="1:2" x14ac:dyDescent="0.25">
      <c r="A124" s="2">
        <v>45845</v>
      </c>
      <c r="B124" s="3">
        <v>33.625</v>
      </c>
    </row>
    <row r="125" spans="1:2" x14ac:dyDescent="0.25">
      <c r="A125" s="2">
        <v>45846</v>
      </c>
      <c r="B125" s="3">
        <v>33.5</v>
      </c>
    </row>
    <row r="126" spans="1:2" x14ac:dyDescent="0.25">
      <c r="A126" s="2">
        <v>45848</v>
      </c>
      <c r="B126" s="3">
        <v>32.8125</v>
      </c>
    </row>
    <row r="127" spans="1:2" x14ac:dyDescent="0.25">
      <c r="A127" s="2">
        <v>45849</v>
      </c>
      <c r="B127" s="3">
        <v>31.125</v>
      </c>
    </row>
    <row r="128" spans="1:2" x14ac:dyDescent="0.25">
      <c r="A128" s="2">
        <v>45852</v>
      </c>
      <c r="B128" s="3">
        <v>29.1875</v>
      </c>
    </row>
    <row r="129" spans="1:2" x14ac:dyDescent="0.25">
      <c r="A129" s="2">
        <v>45853</v>
      </c>
      <c r="B129" s="3">
        <v>29.5</v>
      </c>
    </row>
    <row r="130" spans="1:2" x14ac:dyDescent="0.25">
      <c r="A130" s="2">
        <v>45854</v>
      </c>
      <c r="B130" s="3">
        <v>31.25</v>
      </c>
    </row>
    <row r="131" spans="1:2" x14ac:dyDescent="0.25">
      <c r="A131" s="2">
        <v>45855</v>
      </c>
      <c r="B131" s="3">
        <v>32.375</v>
      </c>
    </row>
    <row r="132" spans="1:2" x14ac:dyDescent="0.25">
      <c r="A132" s="2">
        <v>45856</v>
      </c>
      <c r="B132" s="3">
        <v>33.3125</v>
      </c>
    </row>
    <row r="133" spans="1:2" x14ac:dyDescent="0.25">
      <c r="A133" s="2">
        <v>45859</v>
      </c>
      <c r="B133" s="3">
        <v>34.1875</v>
      </c>
    </row>
    <row r="134" spans="1:2" x14ac:dyDescent="0.25">
      <c r="A134" s="2">
        <v>45860</v>
      </c>
      <c r="B134" s="3">
        <v>37.875</v>
      </c>
    </row>
    <row r="135" spans="1:2" x14ac:dyDescent="0.25">
      <c r="A135" s="2">
        <v>45861</v>
      </c>
      <c r="B135" s="3">
        <v>36.875</v>
      </c>
    </row>
    <row r="136" spans="1:2" x14ac:dyDescent="0.25">
      <c r="A136" s="2">
        <v>45862</v>
      </c>
      <c r="B136" s="3">
        <v>37</v>
      </c>
    </row>
    <row r="137" spans="1:2" x14ac:dyDescent="0.25">
      <c r="A137" s="2">
        <v>45863</v>
      </c>
      <c r="B137" s="3">
        <v>35.625</v>
      </c>
    </row>
    <row r="138" spans="1:2" x14ac:dyDescent="0.25">
      <c r="A138" s="2">
        <v>45866</v>
      </c>
      <c r="B138" s="3">
        <v>35.25</v>
      </c>
    </row>
    <row r="139" spans="1:2" x14ac:dyDescent="0.25">
      <c r="A139" s="2">
        <v>45867</v>
      </c>
      <c r="B139" s="3">
        <v>38</v>
      </c>
    </row>
    <row r="140" spans="1:2" x14ac:dyDescent="0.25">
      <c r="A140" s="2">
        <v>45868</v>
      </c>
      <c r="B140" s="3">
        <v>39.125</v>
      </c>
    </row>
    <row r="141" spans="1:2" x14ac:dyDescent="0.25">
      <c r="A141" s="2">
        <v>45869</v>
      </c>
      <c r="B141" s="3">
        <v>40.25</v>
      </c>
    </row>
    <row r="142" spans="1:2" x14ac:dyDescent="0.25">
      <c r="A142" s="2">
        <v>45870</v>
      </c>
      <c r="B142" s="3">
        <v>41.75</v>
      </c>
    </row>
    <row r="143" spans="1:2" x14ac:dyDescent="0.25">
      <c r="A143" s="2">
        <v>45873</v>
      </c>
      <c r="B143" s="3">
        <v>42.1875</v>
      </c>
    </row>
    <row r="144" spans="1:2" x14ac:dyDescent="0.25">
      <c r="A144" s="2">
        <v>45874</v>
      </c>
      <c r="B144" s="3">
        <v>42.625</v>
      </c>
    </row>
    <row r="145" spans="1:2" x14ac:dyDescent="0.25">
      <c r="A145" s="2">
        <v>45875</v>
      </c>
      <c r="B145" s="3">
        <v>41.75</v>
      </c>
    </row>
    <row r="146" spans="1:2" x14ac:dyDescent="0.25">
      <c r="A146" s="2">
        <v>45876</v>
      </c>
      <c r="B146" s="3">
        <v>43.75</v>
      </c>
    </row>
    <row r="147" spans="1:2" x14ac:dyDescent="0.25">
      <c r="A147" s="2">
        <v>45877</v>
      </c>
      <c r="B147" s="3">
        <v>45.375</v>
      </c>
    </row>
    <row r="148" spans="1:2" x14ac:dyDescent="0.25">
      <c r="A148" s="2">
        <v>45880</v>
      </c>
      <c r="B148" s="3">
        <v>47.75</v>
      </c>
    </row>
    <row r="149" spans="1:2" x14ac:dyDescent="0.25">
      <c r="A149" s="2">
        <v>45881</v>
      </c>
      <c r="B149" s="3">
        <v>49.75</v>
      </c>
    </row>
    <row r="150" spans="1:2" x14ac:dyDescent="0.25">
      <c r="A150" s="2">
        <v>45882</v>
      </c>
      <c r="B150" s="3">
        <v>49.9375</v>
      </c>
    </row>
    <row r="151" spans="1:2" x14ac:dyDescent="0.25">
      <c r="A151" s="2">
        <v>45883</v>
      </c>
      <c r="B151" s="3">
        <v>52.5625</v>
      </c>
    </row>
    <row r="152" spans="1:2" x14ac:dyDescent="0.25">
      <c r="A152" s="2">
        <v>45887</v>
      </c>
      <c r="B152" s="3">
        <v>56.5625</v>
      </c>
    </row>
    <row r="153" spans="1:2" x14ac:dyDescent="0.25">
      <c r="A153" s="2">
        <v>45888</v>
      </c>
      <c r="B153" s="3">
        <v>58.3125</v>
      </c>
    </row>
    <row r="154" spans="1:2" x14ac:dyDescent="0.25">
      <c r="A154" s="2">
        <v>45889</v>
      </c>
      <c r="B154" s="3">
        <v>58.8125</v>
      </c>
    </row>
    <row r="155" spans="1:2" x14ac:dyDescent="0.25">
      <c r="A155" s="2">
        <v>45890</v>
      </c>
      <c r="B155" s="3">
        <v>59.25</v>
      </c>
    </row>
    <row r="156" spans="1:2" x14ac:dyDescent="0.25">
      <c r="A156" s="2">
        <v>45891</v>
      </c>
      <c r="B156" s="3">
        <v>59.8125</v>
      </c>
    </row>
    <row r="157" spans="1:2" x14ac:dyDescent="0.25">
      <c r="A157" s="2">
        <v>45894</v>
      </c>
      <c r="B157" s="3">
        <v>60.25</v>
      </c>
    </row>
    <row r="158" spans="1:2" x14ac:dyDescent="0.25">
      <c r="A158" s="2">
        <v>45895</v>
      </c>
      <c r="B158" s="3">
        <v>64.125</v>
      </c>
    </row>
    <row r="159" spans="1:2" x14ac:dyDescent="0.25">
      <c r="A159" s="2">
        <v>45896</v>
      </c>
      <c r="B159" s="3">
        <v>61.1875</v>
      </c>
    </row>
    <row r="160" spans="1:2" x14ac:dyDescent="0.25">
      <c r="A160" s="2">
        <v>45897</v>
      </c>
      <c r="B160" s="3">
        <v>66.125</v>
      </c>
    </row>
    <row r="161" spans="1:2" x14ac:dyDescent="0.25">
      <c r="A161" s="2">
        <v>45898</v>
      </c>
      <c r="B161" s="3">
        <v>66.1875</v>
      </c>
    </row>
    <row r="162" spans="1:2" x14ac:dyDescent="0.25">
      <c r="A162" s="2">
        <v>45901</v>
      </c>
      <c r="B162" s="3">
        <v>67</v>
      </c>
    </row>
    <row r="163" spans="1:2" x14ac:dyDescent="0.25">
      <c r="A163" s="2">
        <v>45902</v>
      </c>
      <c r="B163" s="3">
        <v>58.4375</v>
      </c>
    </row>
    <row r="164" spans="1:2" x14ac:dyDescent="0.25">
      <c r="A164" s="2">
        <v>45903</v>
      </c>
      <c r="B164" s="3">
        <v>66</v>
      </c>
    </row>
    <row r="165" spans="1:2" x14ac:dyDescent="0.25">
      <c r="A165" s="2">
        <v>45904</v>
      </c>
      <c r="B165" s="3">
        <v>65.9375</v>
      </c>
    </row>
    <row r="166" spans="1:2" x14ac:dyDescent="0.25">
      <c r="A166" s="2">
        <v>45905</v>
      </c>
      <c r="B166" s="3">
        <v>64.0625</v>
      </c>
    </row>
    <row r="167" spans="1:2" x14ac:dyDescent="0.25">
      <c r="A167" s="2">
        <v>45908</v>
      </c>
      <c r="B167" s="3">
        <v>63.5</v>
      </c>
    </row>
    <row r="168" spans="1:2" x14ac:dyDescent="0.25">
      <c r="A168" s="2">
        <v>45909</v>
      </c>
      <c r="B168" s="3">
        <v>64.9375</v>
      </c>
    </row>
    <row r="169" spans="1:2" x14ac:dyDescent="0.25">
      <c r="A169" s="2">
        <v>45910</v>
      </c>
      <c r="B169" s="3">
        <v>59</v>
      </c>
    </row>
    <row r="170" spans="1:2" x14ac:dyDescent="0.25">
      <c r="A170" s="2">
        <v>45911</v>
      </c>
      <c r="B170" s="3">
        <v>52.5</v>
      </c>
    </row>
    <row r="171" spans="1:2" x14ac:dyDescent="0.25">
      <c r="A171" s="2">
        <v>45912</v>
      </c>
      <c r="B171" s="3">
        <v>47.6875</v>
      </c>
    </row>
    <row r="172" spans="1:2" x14ac:dyDescent="0.25">
      <c r="A172" s="2">
        <v>45915</v>
      </c>
      <c r="B172" s="3">
        <v>45.9375</v>
      </c>
    </row>
    <row r="173" spans="1:2" x14ac:dyDescent="0.25">
      <c r="A173" s="2">
        <v>45916</v>
      </c>
      <c r="B173" s="3">
        <v>43.6875</v>
      </c>
    </row>
    <row r="174" spans="1:2" x14ac:dyDescent="0.25">
      <c r="A174" s="2">
        <v>45917</v>
      </c>
      <c r="B174" s="3">
        <v>45.125</v>
      </c>
    </row>
    <row r="175" spans="1:2" x14ac:dyDescent="0.25">
      <c r="A175" s="2">
        <v>45918</v>
      </c>
      <c r="B175" s="3">
        <v>46.375</v>
      </c>
    </row>
    <row r="176" spans="1:2" x14ac:dyDescent="0.25">
      <c r="A176" s="2">
        <v>45919</v>
      </c>
      <c r="B176" s="3">
        <v>47.5625</v>
      </c>
    </row>
    <row r="177" spans="1:2" x14ac:dyDescent="0.25">
      <c r="A177" s="2">
        <v>45922</v>
      </c>
      <c r="B177" s="3">
        <v>48.1875</v>
      </c>
    </row>
    <row r="178" spans="1:2" x14ac:dyDescent="0.25">
      <c r="A178" s="2">
        <v>45923</v>
      </c>
      <c r="B178" s="3">
        <v>48.8125</v>
      </c>
    </row>
    <row r="179" spans="1:2" x14ac:dyDescent="0.25">
      <c r="A179" s="2">
        <v>45924</v>
      </c>
      <c r="B179" s="3">
        <v>44.1875</v>
      </c>
    </row>
    <row r="180" spans="1:2" x14ac:dyDescent="0.25">
      <c r="A180" s="2">
        <v>45925</v>
      </c>
      <c r="B180" s="3">
        <v>41.625</v>
      </c>
    </row>
    <row r="181" spans="1:2" x14ac:dyDescent="0.25">
      <c r="A181" s="2">
        <v>45926</v>
      </c>
      <c r="B181" s="3">
        <v>41</v>
      </c>
    </row>
    <row r="182" spans="1:2" x14ac:dyDescent="0.25">
      <c r="A182" s="2">
        <v>45929</v>
      </c>
      <c r="B182" s="3">
        <v>41.5</v>
      </c>
    </row>
    <row r="183" spans="1:2" x14ac:dyDescent="0.25">
      <c r="A183" s="2">
        <v>45930</v>
      </c>
      <c r="B183" s="3">
        <v>42.375</v>
      </c>
    </row>
    <row r="184" spans="1:2" x14ac:dyDescent="0.25">
      <c r="A184" s="2">
        <v>45931</v>
      </c>
      <c r="B184" s="3">
        <v>42.875</v>
      </c>
    </row>
    <row r="185" spans="1:2" x14ac:dyDescent="0.25">
      <c r="A185" s="2">
        <v>45932</v>
      </c>
      <c r="B185" s="3">
        <v>42</v>
      </c>
    </row>
    <row r="186" spans="1:2" x14ac:dyDescent="0.25">
      <c r="A186" s="2">
        <v>45933</v>
      </c>
      <c r="B186" s="3">
        <v>44.125</v>
      </c>
    </row>
    <row r="187" spans="1:2" x14ac:dyDescent="0.25">
      <c r="A187" s="2">
        <v>45936</v>
      </c>
      <c r="B187" s="3">
        <v>44.75</v>
      </c>
    </row>
    <row r="188" spans="1:2" x14ac:dyDescent="0.25">
      <c r="A188" s="2">
        <v>45937</v>
      </c>
      <c r="B188" s="3">
        <v>47.125</v>
      </c>
    </row>
    <row r="189" spans="1:2" x14ac:dyDescent="0.25">
      <c r="A189" s="2">
        <v>45938</v>
      </c>
      <c r="B189" s="3">
        <v>50.1875</v>
      </c>
    </row>
    <row r="190" spans="1:2" x14ac:dyDescent="0.25">
      <c r="A190" s="2">
        <v>45939</v>
      </c>
      <c r="B190" s="3">
        <v>54.375</v>
      </c>
    </row>
    <row r="191" spans="1:2" x14ac:dyDescent="0.25">
      <c r="A191" s="2">
        <v>45940</v>
      </c>
      <c r="B191" s="3">
        <v>54.375</v>
      </c>
    </row>
    <row r="192" spans="1:2" x14ac:dyDescent="0.25">
      <c r="A192" s="2">
        <v>45943</v>
      </c>
      <c r="B192" s="3">
        <v>53.75</v>
      </c>
    </row>
    <row r="193" spans="1:2" x14ac:dyDescent="0.25">
      <c r="A193" s="2">
        <v>45944</v>
      </c>
      <c r="B193" s="3">
        <v>59.125</v>
      </c>
    </row>
    <row r="194" spans="1:2" x14ac:dyDescent="0.25">
      <c r="A194" s="2">
        <v>45945</v>
      </c>
      <c r="B194" s="3">
        <v>66</v>
      </c>
    </row>
    <row r="195" spans="1:2" x14ac:dyDescent="0.25">
      <c r="A195" s="2">
        <v>45946</v>
      </c>
      <c r="B195" s="3">
        <v>60.125</v>
      </c>
    </row>
    <row r="196" spans="1:2" x14ac:dyDescent="0.25">
      <c r="A196" s="2">
        <v>45947</v>
      </c>
      <c r="B196" s="3">
        <v>57.9375</v>
      </c>
    </row>
    <row r="197" spans="1:2" x14ac:dyDescent="0.25">
      <c r="A197" s="2">
        <v>45950</v>
      </c>
      <c r="B197" s="3">
        <v>53.0625</v>
      </c>
    </row>
    <row r="198" spans="1:2" x14ac:dyDescent="0.25">
      <c r="A198" s="2">
        <v>45951</v>
      </c>
      <c r="B198" s="3">
        <v>52.8125</v>
      </c>
    </row>
    <row r="199" spans="1:2" x14ac:dyDescent="0.25">
      <c r="A199" s="2">
        <v>45952</v>
      </c>
      <c r="B199" s="3">
        <v>53.6875</v>
      </c>
    </row>
    <row r="200" spans="1:2" x14ac:dyDescent="0.25">
      <c r="A200" s="2">
        <v>45953</v>
      </c>
      <c r="B200" s="3">
        <v>54.875</v>
      </c>
    </row>
    <row r="201" spans="1:2" x14ac:dyDescent="0.25">
      <c r="A201" s="2">
        <v>45954</v>
      </c>
      <c r="B201" s="3">
        <v>58.5</v>
      </c>
    </row>
    <row r="202" spans="1:2" x14ac:dyDescent="0.25">
      <c r="A202" s="2">
        <v>45957</v>
      </c>
      <c r="B202" s="3">
        <v>45.9375</v>
      </c>
    </row>
    <row r="203" spans="1:2" x14ac:dyDescent="0.25">
      <c r="A203" s="2">
        <v>45958</v>
      </c>
      <c r="B203" s="3">
        <v>49.1875</v>
      </c>
    </row>
    <row r="204" spans="1:2" x14ac:dyDescent="0.25">
      <c r="A204" s="2">
        <v>45959</v>
      </c>
      <c r="B204" s="3">
        <v>44.625</v>
      </c>
    </row>
    <row r="205" spans="1:2" x14ac:dyDescent="0.25">
      <c r="A205" s="2">
        <v>45960</v>
      </c>
      <c r="B205" s="3">
        <v>43.375</v>
      </c>
    </row>
    <row r="206" spans="1:2" x14ac:dyDescent="0.25">
      <c r="A206" s="2">
        <v>45961</v>
      </c>
      <c r="B206" s="3">
        <v>38.3125</v>
      </c>
    </row>
    <row r="207" spans="1:2" x14ac:dyDescent="0.25">
      <c r="A207" s="2">
        <v>45964</v>
      </c>
      <c r="B207" s="3">
        <v>36.75</v>
      </c>
    </row>
    <row r="208" spans="1:2" x14ac:dyDescent="0.25">
      <c r="A208" s="2">
        <v>45965</v>
      </c>
      <c r="B208" s="3">
        <v>37.5625</v>
      </c>
    </row>
    <row r="209" spans="1:2" x14ac:dyDescent="0.25">
      <c r="A209" s="2">
        <v>45966</v>
      </c>
      <c r="B209" s="3">
        <v>36.3125</v>
      </c>
    </row>
    <row r="210" spans="1:2" x14ac:dyDescent="0.25">
      <c r="A210" s="2">
        <v>45968</v>
      </c>
      <c r="B210" s="3">
        <v>34.8125</v>
      </c>
    </row>
    <row r="211" spans="1:2" x14ac:dyDescent="0.25">
      <c r="A211" s="2">
        <v>45971</v>
      </c>
      <c r="B211" s="3">
        <v>34.75</v>
      </c>
    </row>
    <row r="212" spans="1:2" x14ac:dyDescent="0.25">
      <c r="A212" s="2">
        <v>45972</v>
      </c>
      <c r="B212" s="3">
        <v>35</v>
      </c>
    </row>
    <row r="213" spans="1:2" x14ac:dyDescent="0.25">
      <c r="A213" s="2">
        <v>45973</v>
      </c>
      <c r="B213" s="3">
        <v>34.625</v>
      </c>
    </row>
    <row r="214" spans="1:2" x14ac:dyDescent="0.25">
      <c r="A214" s="2">
        <v>45974</v>
      </c>
      <c r="B214" s="3">
        <v>33.9375</v>
      </c>
    </row>
    <row r="215" spans="1:2" x14ac:dyDescent="0.25">
      <c r="A215" s="2">
        <v>45975</v>
      </c>
      <c r="B215" s="3">
        <v>33.4375</v>
      </c>
    </row>
    <row r="216" spans="1:2" x14ac:dyDescent="0.25">
      <c r="A216" s="2">
        <v>45978</v>
      </c>
      <c r="B216" s="3">
        <v>33</v>
      </c>
    </row>
    <row r="217" spans="1:2" x14ac:dyDescent="0.25">
      <c r="A217" s="2">
        <v>45979</v>
      </c>
      <c r="B217" s="3">
        <v>33.5</v>
      </c>
    </row>
    <row r="218" spans="1:2" x14ac:dyDescent="0.25">
      <c r="A218" s="2">
        <v>45980</v>
      </c>
      <c r="B218" s="3">
        <v>33.8125</v>
      </c>
    </row>
    <row r="219" spans="1:2" x14ac:dyDescent="0.25">
      <c r="A219" s="2">
        <v>45981</v>
      </c>
      <c r="B219" s="3">
        <v>31.6875</v>
      </c>
    </row>
    <row r="220" spans="1:2" x14ac:dyDescent="0.25">
      <c r="A220" s="2">
        <v>45986</v>
      </c>
      <c r="B220" s="3">
        <v>32.0625</v>
      </c>
    </row>
    <row r="221" spans="1:2" x14ac:dyDescent="0.25">
      <c r="A221" s="2">
        <v>45987</v>
      </c>
      <c r="B221" s="3">
        <v>31.6875</v>
      </c>
    </row>
    <row r="222" spans="1:2" x14ac:dyDescent="0.25">
      <c r="A222" s="2">
        <v>45988</v>
      </c>
      <c r="B222" s="3">
        <v>31.75</v>
      </c>
    </row>
    <row r="223" spans="1:2" x14ac:dyDescent="0.25">
      <c r="A223" s="2">
        <v>45989</v>
      </c>
      <c r="B223" s="3">
        <v>31.4375</v>
      </c>
    </row>
    <row r="224" spans="1:2" x14ac:dyDescent="0.25">
      <c r="A224" s="2">
        <v>45992</v>
      </c>
      <c r="B224" s="3">
        <v>30.9375</v>
      </c>
    </row>
    <row r="225" spans="1:2" x14ac:dyDescent="0.25">
      <c r="A225" s="2">
        <v>45993</v>
      </c>
      <c r="B225" s="3">
        <v>29.6875</v>
      </c>
    </row>
    <row r="226" spans="1:2" x14ac:dyDescent="0.25">
      <c r="A226" s="2">
        <v>45994</v>
      </c>
      <c r="B226" s="3">
        <v>27.8125</v>
      </c>
    </row>
    <row r="227" spans="1:2" x14ac:dyDescent="0.25">
      <c r="A227" s="2">
        <v>45995</v>
      </c>
      <c r="B227" s="3">
        <v>26.625</v>
      </c>
    </row>
    <row r="228" spans="1:2" x14ac:dyDescent="0.25">
      <c r="A228" s="2">
        <v>45996</v>
      </c>
      <c r="B228" s="3">
        <v>26.8125</v>
      </c>
    </row>
    <row r="229" spans="1:2" x14ac:dyDescent="0.25">
      <c r="A229" s="2">
        <v>46000</v>
      </c>
      <c r="B229" s="3">
        <v>26.4375</v>
      </c>
    </row>
    <row r="230" spans="1:2" x14ac:dyDescent="0.25">
      <c r="A230" s="2">
        <v>46001</v>
      </c>
      <c r="B230" s="3">
        <v>26.6875</v>
      </c>
    </row>
    <row r="231" spans="1:2" x14ac:dyDescent="0.25">
      <c r="A231" s="2">
        <v>46002</v>
      </c>
      <c r="B231" s="3">
        <v>26.75</v>
      </c>
    </row>
    <row r="232" spans="1:2" x14ac:dyDescent="0.25">
      <c r="A232" s="2">
        <v>46003</v>
      </c>
      <c r="B232" s="3">
        <v>26.75</v>
      </c>
    </row>
    <row r="233" spans="1:2" x14ac:dyDescent="0.25">
      <c r="A233" s="2">
        <v>46006</v>
      </c>
      <c r="B233" s="3">
        <v>26.75</v>
      </c>
    </row>
    <row r="234" spans="1:2" x14ac:dyDescent="0.25">
      <c r="A234" s="2">
        <v>46007</v>
      </c>
      <c r="B234" s="3">
        <v>27.125</v>
      </c>
    </row>
    <row r="235" spans="1:2" x14ac:dyDescent="0.25">
      <c r="A235" s="2">
        <v>46008</v>
      </c>
      <c r="B235" s="3">
        <v>27.375</v>
      </c>
    </row>
    <row r="236" spans="1:2" x14ac:dyDescent="0.25">
      <c r="A236" s="2">
        <v>46009</v>
      </c>
      <c r="B236" s="3">
        <v>27.3125</v>
      </c>
    </row>
    <row r="237" spans="1:2" x14ac:dyDescent="0.25">
      <c r="A237" s="2">
        <v>46010</v>
      </c>
      <c r="B237" s="3">
        <v>28.25</v>
      </c>
    </row>
    <row r="238" spans="1:2" x14ac:dyDescent="0.25">
      <c r="A238" s="2">
        <v>46013</v>
      </c>
      <c r="B238" s="3">
        <v>28.375</v>
      </c>
    </row>
    <row r="239" spans="1:2" x14ac:dyDescent="0.25">
      <c r="A239" s="2">
        <v>46014</v>
      </c>
      <c r="B239" s="3">
        <v>29.4375</v>
      </c>
    </row>
    <row r="240" spans="1:2" x14ac:dyDescent="0.25">
      <c r="A240" s="2">
        <v>46017</v>
      </c>
      <c r="B240" s="3">
        <v>28.6875</v>
      </c>
    </row>
    <row r="241" spans="1:3" x14ac:dyDescent="0.25">
      <c r="A241" s="2">
        <v>46020</v>
      </c>
      <c r="B241" s="3">
        <v>27.9375</v>
      </c>
    </row>
    <row r="242" spans="1:3" x14ac:dyDescent="0.25">
      <c r="A242" s="2">
        <v>46021</v>
      </c>
      <c r="B242" s="3">
        <v>28.875</v>
      </c>
    </row>
    <row r="243" spans="1:3" x14ac:dyDescent="0.25">
      <c r="A243" s="2">
        <v>46024</v>
      </c>
      <c r="B243" s="3">
        <v>29.375</v>
      </c>
    </row>
    <row r="244" spans="1:3" x14ac:dyDescent="0.25">
      <c r="A244" s="2">
        <v>46027</v>
      </c>
      <c r="B244" s="3">
        <v>28.75</v>
      </c>
    </row>
    <row r="245" spans="1:3" x14ac:dyDescent="0.25">
      <c r="A245" s="2">
        <v>46028</v>
      </c>
      <c r="B245" s="3">
        <v>29.375</v>
      </c>
    </row>
    <row r="246" spans="1:3" x14ac:dyDescent="0.25">
      <c r="A246" s="2">
        <v>46029</v>
      </c>
      <c r="B246" s="3">
        <v>31.75</v>
      </c>
    </row>
    <row r="247" spans="1:3" x14ac:dyDescent="0.25">
      <c r="A247" s="2">
        <v>46030</v>
      </c>
      <c r="B247" s="3">
        <v>33.125</v>
      </c>
    </row>
    <row r="248" spans="1:3" x14ac:dyDescent="0.25">
      <c r="A248" s="2">
        <v>46031</v>
      </c>
      <c r="B248" s="3">
        <v>32.625</v>
      </c>
    </row>
    <row r="249" spans="1:3" x14ac:dyDescent="0.25">
      <c r="A249" s="2">
        <v>46034</v>
      </c>
      <c r="B249" s="3">
        <v>32.4375</v>
      </c>
    </row>
    <row r="250" spans="1:3" x14ac:dyDescent="0.25">
      <c r="A250" s="2">
        <v>46035</v>
      </c>
      <c r="B250" s="3">
        <v>34.4375</v>
      </c>
    </row>
    <row r="251" spans="1:3" x14ac:dyDescent="0.25">
      <c r="A251" s="2">
        <v>46036</v>
      </c>
      <c r="B251" s="3">
        <v>34.9375</v>
      </c>
    </row>
    <row r="252" spans="1:3" x14ac:dyDescent="0.25">
      <c r="A252" s="2">
        <v>46037</v>
      </c>
      <c r="B252" s="3">
        <v>35.6875</v>
      </c>
    </row>
    <row r="253" spans="1:3" x14ac:dyDescent="0.25">
      <c r="A253" s="2">
        <v>46038</v>
      </c>
      <c r="B253" s="3">
        <v>35.5625</v>
      </c>
    </row>
    <row r="254" spans="1:3" x14ac:dyDescent="0.25">
      <c r="A254" s="2">
        <v>46041</v>
      </c>
      <c r="B254" s="3">
        <v>36.6875</v>
      </c>
    </row>
    <row r="255" spans="1:3" x14ac:dyDescent="0.25">
      <c r="A255" s="2">
        <v>46042</v>
      </c>
      <c r="B255" s="3">
        <v>36.6875</v>
      </c>
    </row>
    <row r="256" spans="1:3" x14ac:dyDescent="0.25">
      <c r="A256" s="2">
        <v>46043</v>
      </c>
      <c r="B256" s="3">
        <v>36.9375</v>
      </c>
      <c r="C256" t="s">
        <v>5</v>
      </c>
    </row>
    <row r="257" spans="1:3" x14ac:dyDescent="0.25">
      <c r="A257" s="2">
        <v>46044</v>
      </c>
      <c r="B257" s="3">
        <v>38.0625</v>
      </c>
    </row>
    <row r="258" spans="1:3" x14ac:dyDescent="0.25">
      <c r="A258" s="2">
        <v>46045</v>
      </c>
      <c r="B258" s="3">
        <v>37.8125</v>
      </c>
    </row>
    <row r="259" spans="1:3" x14ac:dyDescent="0.25">
      <c r="A259" s="2">
        <v>46048</v>
      </c>
      <c r="B259" s="3">
        <v>35.625</v>
      </c>
    </row>
    <row r="260" spans="1:3" x14ac:dyDescent="0.25">
      <c r="A260" s="2">
        <v>46049</v>
      </c>
      <c r="B260" s="3">
        <v>34.5</v>
      </c>
    </row>
    <row r="261" spans="1:3" x14ac:dyDescent="0.25">
      <c r="A261" s="2">
        <v>46050</v>
      </c>
      <c r="B261" s="3">
        <v>32.625</v>
      </c>
    </row>
    <row r="262" spans="1:3" x14ac:dyDescent="0.25">
      <c r="A262" s="2">
        <v>46051</v>
      </c>
      <c r="B262" s="3">
        <v>31.75</v>
      </c>
    </row>
    <row r="263" spans="1:3" x14ac:dyDescent="0.25">
      <c r="A263" s="2">
        <v>46052</v>
      </c>
      <c r="B263" s="3">
        <v>32.9375</v>
      </c>
      <c r="C263" t="s">
        <v>5</v>
      </c>
    </row>
    <row r="264" spans="1:3" x14ac:dyDescent="0.25">
      <c r="A264" s="2">
        <v>46055</v>
      </c>
      <c r="B264" s="3">
        <v>32.6875</v>
      </c>
    </row>
    <row r="265" spans="1:3" x14ac:dyDescent="0.25">
      <c r="A265" s="2">
        <v>46056</v>
      </c>
      <c r="B265" s="3">
        <v>34</v>
      </c>
    </row>
    <row r="266" spans="1:3" x14ac:dyDescent="0.25">
      <c r="A266" s="2">
        <v>46057</v>
      </c>
      <c r="B266" s="3">
        <v>32.5625</v>
      </c>
    </row>
    <row r="267" spans="1:3" x14ac:dyDescent="0.25">
      <c r="A267" s="2">
        <v>46058</v>
      </c>
      <c r="B267" s="3">
        <v>32.1875</v>
      </c>
    </row>
    <row r="268" spans="1:3" x14ac:dyDescent="0.25">
      <c r="A268" s="2">
        <v>46059</v>
      </c>
      <c r="B268" s="3">
        <v>31.8125</v>
      </c>
    </row>
    <row r="269" spans="1:3" x14ac:dyDescent="0.25">
      <c r="A269" s="2">
        <v>46062</v>
      </c>
      <c r="B269" s="3">
        <v>31.1875</v>
      </c>
    </row>
    <row r="270" spans="1:3" x14ac:dyDescent="0.25">
      <c r="A270" s="2">
        <v>46063</v>
      </c>
      <c r="B270" s="3">
        <v>31.375</v>
      </c>
    </row>
    <row r="271" spans="1:3" x14ac:dyDescent="0.25">
      <c r="A271" s="2">
        <v>46064</v>
      </c>
      <c r="B271" s="3">
        <v>31.5625</v>
      </c>
    </row>
    <row r="272" spans="1:3" x14ac:dyDescent="0.25">
      <c r="A272" s="2">
        <v>46065</v>
      </c>
      <c r="B272" s="3">
        <v>32.375</v>
      </c>
    </row>
    <row r="273" spans="1:2" x14ac:dyDescent="0.25">
      <c r="A273" s="2">
        <v>46066</v>
      </c>
      <c r="B273" s="3">
        <v>33.4375</v>
      </c>
    </row>
    <row r="274" spans="1:2" x14ac:dyDescent="0.25">
      <c r="A274" s="2">
        <v>46071</v>
      </c>
      <c r="B274" s="3">
        <v>33.6875</v>
      </c>
    </row>
    <row r="275" spans="1:2" x14ac:dyDescent="0.25">
      <c r="A275" s="2">
        <v>46072</v>
      </c>
      <c r="B275" s="3">
        <v>34.625</v>
      </c>
    </row>
    <row r="276" spans="1:2" x14ac:dyDescent="0.25">
      <c r="A276" s="2">
        <v>46073</v>
      </c>
      <c r="B276" s="3">
        <v>34.875</v>
      </c>
    </row>
    <row r="277" spans="1:2" x14ac:dyDescent="0.25">
      <c r="A277" s="2">
        <v>46076</v>
      </c>
      <c r="B277" s="3">
        <v>36.5</v>
      </c>
    </row>
    <row r="278" spans="1:2" x14ac:dyDescent="0.25">
      <c r="A278" s="2">
        <v>46077</v>
      </c>
      <c r="B278" s="3">
        <v>35.625</v>
      </c>
    </row>
    <row r="279" spans="1:2" x14ac:dyDescent="0.25">
      <c r="A279" s="2">
        <v>46078</v>
      </c>
      <c r="B279" s="3">
        <v>33.25</v>
      </c>
    </row>
    <row r="280" spans="1:2" x14ac:dyDescent="0.25">
      <c r="A280" s="2">
        <v>46079</v>
      </c>
      <c r="B280" s="3">
        <v>31.25</v>
      </c>
    </row>
    <row r="281" spans="1:2" x14ac:dyDescent="0.25">
      <c r="A281" s="2">
        <v>46080</v>
      </c>
      <c r="B281" s="3">
        <v>31.0625</v>
      </c>
    </row>
    <row r="282" spans="1:2" x14ac:dyDescent="0.25">
      <c r="A282" s="2">
        <v>46083</v>
      </c>
      <c r="B282" s="3">
        <v>30.75</v>
      </c>
    </row>
    <row r="283" spans="1:2" x14ac:dyDescent="0.25">
      <c r="A283" s="2">
        <v>46084</v>
      </c>
      <c r="B283" s="3">
        <v>31</v>
      </c>
    </row>
    <row r="284" spans="1:2" x14ac:dyDescent="0.25">
      <c r="A284" s="2">
        <v>46085</v>
      </c>
      <c r="B284" s="3">
        <v>31</v>
      </c>
    </row>
    <row r="285" spans="1:2" x14ac:dyDescent="0.25">
      <c r="A285" s="2">
        <v>46086</v>
      </c>
      <c r="B285" s="3">
        <v>31.25</v>
      </c>
    </row>
    <row r="286" spans="1:2" x14ac:dyDescent="0.25">
      <c r="A286" s="2">
        <v>46087</v>
      </c>
      <c r="B286" s="3">
        <v>30.875</v>
      </c>
    </row>
    <row r="287" spans="1:2" x14ac:dyDescent="0.25">
      <c r="A287" s="2">
        <v>46090</v>
      </c>
      <c r="B287" s="3">
        <v>30.875</v>
      </c>
    </row>
    <row r="288" spans="1:2" x14ac:dyDescent="0.25">
      <c r="A288" s="2">
        <v>46091</v>
      </c>
      <c r="B288" s="3">
        <v>31.0625</v>
      </c>
    </row>
    <row r="289" spans="1:2" x14ac:dyDescent="0.25">
      <c r="A289" s="2">
        <v>46092</v>
      </c>
      <c r="B289" s="3">
        <v>31</v>
      </c>
    </row>
    <row r="290" spans="1:2" x14ac:dyDescent="0.25">
      <c r="A290" s="2">
        <v>46093</v>
      </c>
      <c r="B290" s="3">
        <v>31</v>
      </c>
    </row>
    <row r="291" spans="1:2" x14ac:dyDescent="0.25">
      <c r="A291" s="2">
        <v>46094</v>
      </c>
      <c r="B291" s="3">
        <v>31.0625</v>
      </c>
    </row>
    <row r="292" spans="1:2" x14ac:dyDescent="0.25">
      <c r="A292" s="2">
        <v>46097</v>
      </c>
      <c r="B292" s="3">
        <v>30.625</v>
      </c>
    </row>
    <row r="293" spans="1:2" x14ac:dyDescent="0.25">
      <c r="A293" s="2">
        <v>46098</v>
      </c>
      <c r="B293" s="3">
        <v>28.8125</v>
      </c>
    </row>
    <row r="294" spans="1:2" x14ac:dyDescent="0.25">
      <c r="A294" s="2">
        <v>46099</v>
      </c>
      <c r="B294" s="3">
        <v>27.1875</v>
      </c>
    </row>
    <row r="295" spans="1:2" x14ac:dyDescent="0.25">
      <c r="A295" s="2">
        <v>46100</v>
      </c>
      <c r="B295" s="3">
        <v>26.5625</v>
      </c>
    </row>
    <row r="296" spans="1:2" x14ac:dyDescent="0.25">
      <c r="A296" s="2">
        <v>46101</v>
      </c>
      <c r="B296" s="3">
        <v>26.75</v>
      </c>
    </row>
    <row r="297" spans="1:2" x14ac:dyDescent="0.25">
      <c r="A297" s="2">
        <v>46106</v>
      </c>
      <c r="B297" s="3">
        <v>26.4375</v>
      </c>
    </row>
    <row r="298" spans="1:2" x14ac:dyDescent="0.25">
      <c r="A298" s="2">
        <v>46107</v>
      </c>
      <c r="B298" s="3">
        <v>26.3125</v>
      </c>
    </row>
    <row r="299" spans="1:2" x14ac:dyDescent="0.25">
      <c r="A299" s="2">
        <v>46108</v>
      </c>
      <c r="B299" s="3">
        <v>26.125</v>
      </c>
    </row>
    <row r="300" spans="1:2" x14ac:dyDescent="0.25">
      <c r="A300" s="2">
        <v>46111</v>
      </c>
      <c r="B300" s="3">
        <v>26.1875</v>
      </c>
    </row>
    <row r="301" spans="1:2" x14ac:dyDescent="0.25">
      <c r="A301" s="2">
        <v>46112</v>
      </c>
      <c r="B301" s="3">
        <v>26.3125</v>
      </c>
    </row>
    <row r="302" spans="1:2" x14ac:dyDescent="0.25">
      <c r="A302" s="2">
        <v>46113</v>
      </c>
      <c r="B302" s="3">
        <v>26.25</v>
      </c>
    </row>
    <row r="303" spans="1:2" x14ac:dyDescent="0.25">
      <c r="A303" s="2">
        <v>46118</v>
      </c>
      <c r="B303" s="3">
        <v>26.125</v>
      </c>
    </row>
    <row r="304" spans="1:2" x14ac:dyDescent="0.25">
      <c r="A304" s="2">
        <v>46119</v>
      </c>
      <c r="B304" s="3">
        <v>26.1875</v>
      </c>
    </row>
    <row r="305" spans="1:2" x14ac:dyDescent="0.25">
      <c r="A305" s="2">
        <v>46120</v>
      </c>
      <c r="B305" s="3">
        <v>25.625</v>
      </c>
    </row>
    <row r="306" spans="1:2" x14ac:dyDescent="0.25">
      <c r="A306" s="2">
        <v>46121</v>
      </c>
      <c r="B306" s="3">
        <v>23.4375</v>
      </c>
    </row>
    <row r="307" spans="1:2" x14ac:dyDescent="0.25">
      <c r="A307" s="2">
        <v>46122</v>
      </c>
      <c r="B307" s="3">
        <v>22.8125</v>
      </c>
    </row>
    <row r="308" spans="1:2" x14ac:dyDescent="0.25">
      <c r="A308" s="2">
        <v>46125</v>
      </c>
      <c r="B308" s="3">
        <v>22.5</v>
      </c>
    </row>
    <row r="309" spans="1:2" x14ac:dyDescent="0.25">
      <c r="A309" s="2">
        <v>46126</v>
      </c>
      <c r="B309" s="3">
        <v>23.0625</v>
      </c>
    </row>
    <row r="310" spans="1:2" x14ac:dyDescent="0.25">
      <c r="A310" s="2">
        <v>46127</v>
      </c>
      <c r="B310" s="3">
        <v>22.875</v>
      </c>
    </row>
    <row r="311" spans="1:2" x14ac:dyDescent="0.25">
      <c r="A311" s="2">
        <v>46128</v>
      </c>
      <c r="B311" s="3">
        <v>23.125</v>
      </c>
    </row>
    <row r="312" spans="1:2" x14ac:dyDescent="0.25">
      <c r="A312" s="2">
        <v>46129</v>
      </c>
      <c r="B312" s="3">
        <v>22.75</v>
      </c>
    </row>
    <row r="313" spans="1:2" x14ac:dyDescent="0.25">
      <c r="A313" s="2">
        <v>46132</v>
      </c>
      <c r="B313" s="3">
        <v>22.3125</v>
      </c>
    </row>
    <row r="314" spans="1:2" x14ac:dyDescent="0.25">
      <c r="A314" s="2">
        <v>46133</v>
      </c>
      <c r="B314" s="3">
        <v>22.4375</v>
      </c>
    </row>
    <row r="315" spans="1:2" x14ac:dyDescent="0.25">
      <c r="A315" s="2">
        <v>46134</v>
      </c>
      <c r="B315" s="3">
        <v>22.5</v>
      </c>
    </row>
    <row r="316" spans="1:2" x14ac:dyDescent="0.25">
      <c r="A316" s="2">
        <v>46135</v>
      </c>
      <c r="B316" s="3">
        <v>22.5625</v>
      </c>
    </row>
    <row r="317" spans="1:2" x14ac:dyDescent="0.25">
      <c r="A317" s="2">
        <v>46136</v>
      </c>
      <c r="B317" s="3">
        <v>22.4375</v>
      </c>
    </row>
    <row r="318" spans="1:2" x14ac:dyDescent="0.25">
      <c r="A318" s="2">
        <v>46139</v>
      </c>
      <c r="B318" s="3">
        <v>22.3125</v>
      </c>
    </row>
    <row r="319" spans="1:2" x14ac:dyDescent="0.25">
      <c r="A319" s="2">
        <v>46140</v>
      </c>
      <c r="B319" s="3">
        <v>22.625</v>
      </c>
    </row>
    <row r="320" spans="1:2" x14ac:dyDescent="0.25">
      <c r="A320" s="2">
        <v>46141</v>
      </c>
      <c r="B320" s="3">
        <v>22.625</v>
      </c>
    </row>
    <row r="321" spans="1:2" x14ac:dyDescent="0.25">
      <c r="A321" s="2">
        <v>46142</v>
      </c>
      <c r="B321" s="3">
        <v>23.125</v>
      </c>
    </row>
    <row r="322" spans="1:2" x14ac:dyDescent="0.25">
      <c r="A322" s="2">
        <v>46146</v>
      </c>
      <c r="B322" s="3">
        <v>23.125</v>
      </c>
    </row>
    <row r="323" spans="1:2" x14ac:dyDescent="0.25">
      <c r="A323" s="2">
        <v>46147</v>
      </c>
      <c r="B323" s="3">
        <v>23.4375</v>
      </c>
    </row>
    <row r="324" spans="1:2" x14ac:dyDescent="0.25">
      <c r="A324" s="2">
        <v>46148</v>
      </c>
      <c r="B324" s="3">
        <v>22.75</v>
      </c>
    </row>
    <row r="325" spans="1:2" x14ac:dyDescent="0.25">
      <c r="A325" s="2">
        <v>46149</v>
      </c>
      <c r="B325" s="3">
        <v>22.8125</v>
      </c>
    </row>
    <row r="326" spans="1:2" x14ac:dyDescent="0.25">
      <c r="A326" s="2">
        <v>46150</v>
      </c>
      <c r="B326" s="3">
        <v>22.5625</v>
      </c>
    </row>
    <row r="327" spans="1:2" x14ac:dyDescent="0.25">
      <c r="A327" s="2">
        <v>46153</v>
      </c>
      <c r="B327" s="3">
        <v>22.75</v>
      </c>
    </row>
    <row r="328" spans="1:2" x14ac:dyDescent="0.25">
      <c r="A328" s="2">
        <v>46154</v>
      </c>
      <c r="B328" s="3">
        <v>22.625</v>
      </c>
    </row>
    <row r="329" spans="1:2" x14ac:dyDescent="0.25">
      <c r="A329" s="2">
        <v>46155</v>
      </c>
      <c r="B329" s="3">
        <v>22.5</v>
      </c>
    </row>
    <row r="330" spans="1:2" x14ac:dyDescent="0.25">
      <c r="A330" s="2">
        <v>46156</v>
      </c>
      <c r="B330" s="3">
        <v>22.8125</v>
      </c>
    </row>
    <row r="331" spans="1:2" x14ac:dyDescent="0.25">
      <c r="A331" s="2">
        <v>46157</v>
      </c>
      <c r="B331" s="3">
        <v>22.8125</v>
      </c>
    </row>
    <row r="332" spans="1:2" x14ac:dyDescent="0.25">
      <c r="A332" s="2">
        <v>46160</v>
      </c>
      <c r="B332" s="3">
        <v>22.8125</v>
      </c>
    </row>
    <row r="333" spans="1:2" x14ac:dyDescent="0.25">
      <c r="A333" s="2">
        <v>46161</v>
      </c>
      <c r="B333" s="3">
        <v>22.9375</v>
      </c>
    </row>
    <row r="334" spans="1:2" x14ac:dyDescent="0.25">
      <c r="A334" s="2">
        <v>46162</v>
      </c>
      <c r="B334" s="3">
        <v>22.75</v>
      </c>
    </row>
    <row r="335" spans="1:2" x14ac:dyDescent="0.25">
      <c r="A335" s="2">
        <v>46163</v>
      </c>
      <c r="B335" s="3">
        <v>22.9375</v>
      </c>
    </row>
    <row r="336" spans="1:2" x14ac:dyDescent="0.25">
      <c r="A336" s="2">
        <v>46164</v>
      </c>
      <c r="B336" s="3">
        <v>22.9375</v>
      </c>
    </row>
    <row r="337" spans="1:2" x14ac:dyDescent="0.25">
      <c r="A337" s="2">
        <v>46168</v>
      </c>
      <c r="B337" s="3">
        <v>22.8125</v>
      </c>
    </row>
    <row r="338" spans="1:2" x14ac:dyDescent="0.25">
      <c r="A338" s="2">
        <v>46169</v>
      </c>
      <c r="B338" s="3">
        <v>22.8125</v>
      </c>
    </row>
    <row r="339" spans="1:2" x14ac:dyDescent="0.25">
      <c r="A339" s="2">
        <v>46170</v>
      </c>
      <c r="B339" s="3">
        <v>23</v>
      </c>
    </row>
    <row r="340" spans="1:2" x14ac:dyDescent="0.25">
      <c r="A340" s="2">
        <v>46171</v>
      </c>
      <c r="B340" s="3">
        <v>22.25</v>
      </c>
    </row>
    <row r="341" spans="1:2" x14ac:dyDescent="0.25">
      <c r="A341" s="2">
        <v>46174</v>
      </c>
      <c r="B341" s="3">
        <v>22.9375</v>
      </c>
    </row>
    <row r="342" spans="1:2" x14ac:dyDescent="0.25">
      <c r="A342" s="2">
        <v>46175</v>
      </c>
      <c r="B342" s="3">
        <v>22.75</v>
      </c>
    </row>
    <row r="343" spans="1:2" x14ac:dyDescent="0.25">
      <c r="A343" s="2">
        <v>46176</v>
      </c>
      <c r="B343" s="3">
        <v>22.125</v>
      </c>
    </row>
    <row r="344" spans="1:2" x14ac:dyDescent="0.25">
      <c r="A344" s="2">
        <v>46177</v>
      </c>
      <c r="B344" s="3">
        <v>22.25</v>
      </c>
    </row>
    <row r="345" spans="1:2" x14ac:dyDescent="0.25">
      <c r="A345" s="2">
        <v>46178</v>
      </c>
      <c r="B345" s="3">
        <v>21.8125</v>
      </c>
    </row>
    <row r="346" spans="1:2" x14ac:dyDescent="0.25">
      <c r="A346" s="2">
        <v>46181</v>
      </c>
      <c r="B346" s="3">
        <v>21.625</v>
      </c>
    </row>
    <row r="347" spans="1:2" x14ac:dyDescent="0.25">
      <c r="A347" s="2">
        <v>46182</v>
      </c>
      <c r="B347" s="3">
        <v>21.5</v>
      </c>
    </row>
    <row r="348" spans="1:2" x14ac:dyDescent="0.25">
      <c r="A348" s="2">
        <v>46183</v>
      </c>
      <c r="B348" s="3">
        <v>21.5625</v>
      </c>
    </row>
    <row r="349" spans="1:2" x14ac:dyDescent="0.25">
      <c r="A349" s="2">
        <v>46184</v>
      </c>
      <c r="B349" s="3">
        <v>21.5</v>
      </c>
    </row>
    <row r="350" spans="1:2" x14ac:dyDescent="0.25">
      <c r="A350" s="2">
        <v>46185</v>
      </c>
      <c r="B350" s="3">
        <v>21.375</v>
      </c>
    </row>
    <row r="351" spans="1:2" x14ac:dyDescent="0.25">
      <c r="A351" s="2">
        <v>46189</v>
      </c>
      <c r="B351" s="3">
        <v>21.75</v>
      </c>
    </row>
    <row r="352" spans="1:2" x14ac:dyDescent="0.25">
      <c r="A352" s="2">
        <v>46190</v>
      </c>
      <c r="B352" s="3">
        <v>21.9375</v>
      </c>
    </row>
    <row r="353" spans="1:2" x14ac:dyDescent="0.25">
      <c r="A353" s="2">
        <v>46191</v>
      </c>
      <c r="B353" s="3">
        <v>22.25</v>
      </c>
    </row>
    <row r="354" spans="1:2" x14ac:dyDescent="0.25">
      <c r="A354" s="2">
        <v>46192</v>
      </c>
      <c r="B354" s="3">
        <v>22.1875</v>
      </c>
    </row>
    <row r="355" spans="1:2" x14ac:dyDescent="0.25">
      <c r="A355" s="2">
        <v>46195</v>
      </c>
      <c r="B355" s="3">
        <v>22.375</v>
      </c>
    </row>
    <row r="356" spans="1:2" x14ac:dyDescent="0.25">
      <c r="A356" s="2">
        <v>46196</v>
      </c>
      <c r="B356" s="3">
        <v>22.5</v>
      </c>
    </row>
    <row r="357" spans="1:2" x14ac:dyDescent="0.25">
      <c r="A357" s="2">
        <v>46197</v>
      </c>
      <c r="B357" s="3">
        <v>22.25</v>
      </c>
    </row>
    <row r="358" spans="1:2" x14ac:dyDescent="0.25">
      <c r="A358" s="2">
        <v>46198</v>
      </c>
      <c r="B358" s="3">
        <v>22.8125</v>
      </c>
    </row>
    <row r="359" spans="1:2" x14ac:dyDescent="0.25">
      <c r="A359" s="2">
        <v>46199</v>
      </c>
      <c r="B359" s="3">
        <v>22.5625</v>
      </c>
    </row>
    <row r="360" spans="1:2" x14ac:dyDescent="0.25">
      <c r="A360" s="2">
        <v>46202</v>
      </c>
      <c r="B360" s="3">
        <v>22.9375</v>
      </c>
    </row>
    <row r="361" spans="1:2" x14ac:dyDescent="0.25">
      <c r="A361" s="2">
        <v>46203</v>
      </c>
      <c r="B361" s="3">
        <v>22.6875</v>
      </c>
    </row>
    <row r="362" spans="1:2" x14ac:dyDescent="0.25">
      <c r="A362" s="2">
        <v>46204</v>
      </c>
      <c r="B362" s="3">
        <v>22.1875</v>
      </c>
    </row>
    <row r="363" spans="1:2" x14ac:dyDescent="0.25">
      <c r="A363" s="2">
        <v>46205</v>
      </c>
      <c r="B363" s="3">
        <v>22.125</v>
      </c>
    </row>
    <row r="364" spans="1:2" x14ac:dyDescent="0.25">
      <c r="A364" s="2">
        <v>46206</v>
      </c>
      <c r="B364" s="3">
        <v>21.875</v>
      </c>
    </row>
    <row r="365" spans="1:2" x14ac:dyDescent="0.25">
      <c r="A365" s="2">
        <v>46209</v>
      </c>
      <c r="B365" s="3">
        <v>21.9375</v>
      </c>
    </row>
    <row r="366" spans="1:2" x14ac:dyDescent="0.25">
      <c r="A366" s="2">
        <v>46210</v>
      </c>
      <c r="B366" s="3">
        <v>21.9375</v>
      </c>
    </row>
    <row r="367" spans="1:2" x14ac:dyDescent="0.25">
      <c r="A367" s="2">
        <v>46211</v>
      </c>
      <c r="B367" s="3">
        <v>21.9375</v>
      </c>
    </row>
    <row r="368" spans="1:2" x14ac:dyDescent="0.25">
      <c r="A368" s="2">
        <v>46216</v>
      </c>
      <c r="B368" s="3">
        <v>22.4375</v>
      </c>
    </row>
    <row r="369" spans="1:2" x14ac:dyDescent="0.25">
      <c r="A369" s="2">
        <v>46217</v>
      </c>
      <c r="B369" s="3">
        <v>22.625</v>
      </c>
    </row>
    <row r="370" spans="1:2" x14ac:dyDescent="0.25">
      <c r="A370" s="2">
        <v>46218</v>
      </c>
      <c r="B370" s="3">
        <v>22.625</v>
      </c>
    </row>
    <row r="371" spans="1:2" x14ac:dyDescent="0.25">
      <c r="A371" s="2">
        <v>46219</v>
      </c>
      <c r="B371" s="3">
        <v>22.625</v>
      </c>
    </row>
    <row r="372" spans="1:2" x14ac:dyDescent="0.25">
      <c r="A372" s="2">
        <v>46220</v>
      </c>
      <c r="B372" s="3">
        <v>22.875</v>
      </c>
    </row>
    <row r="373" spans="1:2" x14ac:dyDescent="0.25">
      <c r="A373" s="2">
        <v>46223</v>
      </c>
      <c r="B373" s="3">
        <v>22.6875</v>
      </c>
    </row>
    <row r="374" spans="1:2" x14ac:dyDescent="0.25">
      <c r="A374" s="2">
        <v>46224</v>
      </c>
      <c r="B374" s="3">
        <v>22.9375</v>
      </c>
    </row>
    <row r="375" spans="1:2" x14ac:dyDescent="0.25">
      <c r="A375" s="2">
        <v>46225</v>
      </c>
      <c r="B375" s="3">
        <v>22.9375</v>
      </c>
    </row>
    <row r="376" spans="1:2" x14ac:dyDescent="0.25">
      <c r="A376" s="2">
        <v>46226</v>
      </c>
      <c r="B376" s="3">
        <v>22.9375</v>
      </c>
    </row>
    <row r="377" spans="1:2" x14ac:dyDescent="0.25">
      <c r="A377" s="2">
        <v>46227</v>
      </c>
      <c r="B377" s="3">
        <v>22.6875</v>
      </c>
    </row>
    <row r="378" spans="1:2" x14ac:dyDescent="0.25">
      <c r="A378" s="2">
        <v>46230</v>
      </c>
      <c r="B378" s="3">
        <v>22.8125</v>
      </c>
    </row>
    <row r="379" spans="1:2" x14ac:dyDescent="0.25">
      <c r="A379" s="2">
        <v>46231</v>
      </c>
      <c r="B379" s="3">
        <v>22.875</v>
      </c>
    </row>
    <row r="380" spans="1:2" x14ac:dyDescent="0.25">
      <c r="A380" s="2">
        <v>46232</v>
      </c>
      <c r="B380" s="3">
        <v>22.375</v>
      </c>
    </row>
    <row r="381" spans="1:2" x14ac:dyDescent="0.25">
      <c r="A381" s="2">
        <v>46233</v>
      </c>
      <c r="B381" s="3">
        <v>22.875</v>
      </c>
    </row>
    <row r="382" spans="1:2" x14ac:dyDescent="0.25">
      <c r="A382" s="2">
        <v>46234</v>
      </c>
      <c r="B382" s="3">
        <v>23.3125</v>
      </c>
    </row>
    <row r="383" spans="1:2" x14ac:dyDescent="0.25">
      <c r="A383" s="2">
        <v>46237</v>
      </c>
      <c r="B383" s="3">
        <v>22.9375</v>
      </c>
    </row>
    <row r="384" spans="1:2" x14ac:dyDescent="0.25">
      <c r="A384" s="2">
        <v>46238</v>
      </c>
      <c r="B384" s="3">
        <v>23.125</v>
      </c>
    </row>
    <row r="385" spans="1:2" x14ac:dyDescent="0.25">
      <c r="A385" s="2">
        <v>46239</v>
      </c>
      <c r="B385" s="3">
        <v>22.875</v>
      </c>
    </row>
    <row r="386" spans="1:2" x14ac:dyDescent="0.25">
      <c r="A386" s="2">
        <v>46240</v>
      </c>
      <c r="B386" s="3">
        <v>23.25</v>
      </c>
    </row>
    <row r="387" spans="1:2" x14ac:dyDescent="0.25">
      <c r="A387" s="2">
        <v>46241</v>
      </c>
      <c r="B387" s="3">
        <v>23.375</v>
      </c>
    </row>
    <row r="388" spans="1:2" x14ac:dyDescent="0.25">
      <c r="A388" s="2">
        <v>46244</v>
      </c>
      <c r="B388" s="3">
        <v>23.3125</v>
      </c>
    </row>
    <row r="389" spans="1:2" x14ac:dyDescent="0.25">
      <c r="A389" s="2">
        <v>46245</v>
      </c>
      <c r="B389" s="3">
        <v>23.875</v>
      </c>
    </row>
    <row r="390" spans="1:2" x14ac:dyDescent="0.25">
      <c r="A390" s="2">
        <v>46246</v>
      </c>
      <c r="B390" s="3">
        <v>23.1875</v>
      </c>
    </row>
    <row r="391" spans="1:2" x14ac:dyDescent="0.25">
      <c r="A391" s="2">
        <v>46247</v>
      </c>
      <c r="B391" s="3">
        <v>24.1875</v>
      </c>
    </row>
    <row r="392" spans="1:2" x14ac:dyDescent="0.25">
      <c r="A392" s="2">
        <v>46248</v>
      </c>
      <c r="B392" s="3">
        <v>24.5625</v>
      </c>
    </row>
    <row r="393" spans="1:2" x14ac:dyDescent="0.25">
      <c r="A393" s="2">
        <v>46252</v>
      </c>
      <c r="B393" s="3">
        <v>24.5</v>
      </c>
    </row>
    <row r="394" spans="1:2" x14ac:dyDescent="0.25">
      <c r="A394" s="2">
        <v>46253</v>
      </c>
      <c r="B394" s="3">
        <v>25.1875</v>
      </c>
    </row>
    <row r="395" spans="1:2" x14ac:dyDescent="0.25">
      <c r="A395" s="2">
        <v>46254</v>
      </c>
      <c r="B395" s="3">
        <v>26.5</v>
      </c>
    </row>
    <row r="396" spans="1:2" x14ac:dyDescent="0.25">
      <c r="A396" s="2">
        <v>46255</v>
      </c>
      <c r="B396" s="3">
        <v>25.3125</v>
      </c>
    </row>
    <row r="397" spans="1:2" x14ac:dyDescent="0.25">
      <c r="A397" s="2">
        <v>46258</v>
      </c>
      <c r="B397" s="3">
        <v>25.0625</v>
      </c>
    </row>
    <row r="398" spans="1:2" x14ac:dyDescent="0.25">
      <c r="A398" s="2">
        <v>46259</v>
      </c>
      <c r="B398" s="3">
        <v>25.25</v>
      </c>
    </row>
    <row r="399" spans="1:2" x14ac:dyDescent="0.25">
      <c r="A399" s="2">
        <v>46260</v>
      </c>
      <c r="B399" s="3">
        <v>25.125</v>
      </c>
    </row>
    <row r="400" spans="1:2" x14ac:dyDescent="0.25">
      <c r="A400" s="2">
        <v>46261</v>
      </c>
      <c r="B400" s="3">
        <v>25.1875</v>
      </c>
    </row>
    <row r="401" spans="1:2" x14ac:dyDescent="0.25">
      <c r="A401" s="2">
        <v>46262</v>
      </c>
      <c r="B401" s="3">
        <v>24.625</v>
      </c>
    </row>
    <row r="402" spans="1:2" x14ac:dyDescent="0.25">
      <c r="A402" s="2">
        <v>46265</v>
      </c>
      <c r="B402" s="3">
        <v>24.6875</v>
      </c>
    </row>
    <row r="403" spans="1:2" x14ac:dyDescent="0.25">
      <c r="A403" s="2">
        <v>46266</v>
      </c>
      <c r="B403" s="3">
        <v>23.8125</v>
      </c>
    </row>
    <row r="404" spans="1:2" x14ac:dyDescent="0.25">
      <c r="A404" s="2">
        <v>46267</v>
      </c>
      <c r="B404" s="3">
        <v>24.5</v>
      </c>
    </row>
    <row r="405" spans="1:2" x14ac:dyDescent="0.25">
      <c r="A405" s="2">
        <v>46268</v>
      </c>
      <c r="B405" s="3">
        <v>24.25</v>
      </c>
    </row>
    <row r="406" spans="1:2" x14ac:dyDescent="0.25">
      <c r="A406" s="2">
        <v>46269</v>
      </c>
      <c r="B406" s="3">
        <v>24.0625</v>
      </c>
    </row>
    <row r="407" spans="1:2" x14ac:dyDescent="0.25">
      <c r="A407" s="2">
        <v>46272</v>
      </c>
      <c r="B407" s="3">
        <v>24.1875</v>
      </c>
    </row>
    <row r="408" spans="1:2" x14ac:dyDescent="0.25">
      <c r="A408" s="2">
        <v>46273</v>
      </c>
      <c r="B408" s="3">
        <v>24</v>
      </c>
    </row>
    <row r="409" spans="1:2" x14ac:dyDescent="0.25">
      <c r="A409" s="2">
        <v>46274</v>
      </c>
      <c r="B409" s="3">
        <v>23.5625</v>
      </c>
    </row>
    <row r="410" spans="1:2" x14ac:dyDescent="0.25">
      <c r="A410" s="2">
        <v>46275</v>
      </c>
      <c r="B410" s="3">
        <v>23.8125</v>
      </c>
    </row>
    <row r="411" spans="1:2" x14ac:dyDescent="0.25">
      <c r="A411" s="2">
        <v>46276</v>
      </c>
      <c r="B411" s="3">
        <v>23.4375</v>
      </c>
    </row>
    <row r="412" spans="1:2" x14ac:dyDescent="0.25">
      <c r="A412" s="2">
        <v>46279</v>
      </c>
      <c r="B412" s="3">
        <v>23.625</v>
      </c>
    </row>
    <row r="413" spans="1:2" x14ac:dyDescent="0.25">
      <c r="A413" s="2">
        <v>46280</v>
      </c>
      <c r="B413" s="3">
        <v>23.625</v>
      </c>
    </row>
    <row r="414" spans="1:2" x14ac:dyDescent="0.25">
      <c r="A414" s="2">
        <v>46281</v>
      </c>
      <c r="B414" s="3">
        <v>23.625</v>
      </c>
    </row>
    <row r="415" spans="1:2" x14ac:dyDescent="0.25">
      <c r="A415" s="2">
        <v>46282</v>
      </c>
      <c r="B415" s="3">
        <v>23.5625</v>
      </c>
    </row>
    <row r="416" spans="1:2" x14ac:dyDescent="0.25">
      <c r="A416" s="2">
        <v>46283</v>
      </c>
      <c r="B416" s="3">
        <v>23.25</v>
      </c>
    </row>
    <row r="417" spans="1:2" x14ac:dyDescent="0.25">
      <c r="A417" s="2">
        <v>46286</v>
      </c>
      <c r="B417" s="3">
        <v>23.5</v>
      </c>
    </row>
    <row r="418" spans="1:2" x14ac:dyDescent="0.25">
      <c r="A418" s="2">
        <v>46287</v>
      </c>
      <c r="B418" s="3">
        <v>23.625</v>
      </c>
    </row>
    <row r="419" spans="1:2" x14ac:dyDescent="0.25">
      <c r="A419" s="2">
        <v>46288</v>
      </c>
      <c r="B419" s="3">
        <v>23.6875</v>
      </c>
    </row>
    <row r="420" spans="1:2" x14ac:dyDescent="0.25">
      <c r="A420" s="2">
        <f>+WORKDAY(A419,1,Feriados!$A$2:$A$38)</f>
        <v>46289</v>
      </c>
      <c r="B420" s="3">
        <f>+IFERROR(VLOOKUP(A420,[2]Variables!$M:$N,2,0),0)</f>
        <v>23.75</v>
      </c>
    </row>
    <row r="421" spans="1:2" x14ac:dyDescent="0.25">
      <c r="A421" s="2">
        <f>+WORKDAY(A420,1,Feriados!$A$2:$A$38)</f>
        <v>46290</v>
      </c>
      <c r="B421" s="3">
        <f>+IFERROR(VLOOKUP(A421,[2]Variables!$M:$N,2,0),0)</f>
        <v>23.625</v>
      </c>
    </row>
    <row r="422" spans="1:2" x14ac:dyDescent="0.25">
      <c r="A422" s="2">
        <f>+WORKDAY(A421,1,Feriados!$A$2:$A$38)</f>
        <v>46293</v>
      </c>
      <c r="B422" s="3">
        <f>+IFERROR(VLOOKUP(A422,[2]Variables!$M:$N,2,0),0)</f>
        <v>23.4375</v>
      </c>
    </row>
    <row r="423" spans="1:2" x14ac:dyDescent="0.25">
      <c r="A423" s="2">
        <f>+WORKDAY(A422,1,Feriados!$A$2:$A$38)</f>
        <v>46294</v>
      </c>
      <c r="B423" s="3">
        <f>+IFERROR(VLOOKUP(A423,[2]Variables!$M:$N,2,0),0)</f>
        <v>24.3125</v>
      </c>
    </row>
    <row r="424" spans="1:2" x14ac:dyDescent="0.25">
      <c r="A424" s="2">
        <f>+WORKDAY(A423,1,Feriados!$A$2:$A$38)</f>
        <v>46295</v>
      </c>
      <c r="B424" s="3">
        <f>+IFERROR(VLOOKUP(A424,[2]Variables!$M:$N,2,0),0)</f>
        <v>24.125</v>
      </c>
    </row>
    <row r="425" spans="1:2" x14ac:dyDescent="0.25">
      <c r="A425" s="2">
        <f>+WORKDAY(A424,1,Feriados!$A$2:$A$38)</f>
        <v>46296</v>
      </c>
      <c r="B425" s="3">
        <f>+IFERROR(VLOOKUP(A425,[2]Variables!$M:$N,2,0),0)</f>
        <v>24.4375</v>
      </c>
    </row>
    <row r="426" spans="1:2" x14ac:dyDescent="0.25">
      <c r="A426" s="2">
        <f>+WORKDAY(A425,1,Feriados!$A$2:$A$38)</f>
        <v>46297</v>
      </c>
      <c r="B426" s="3">
        <f>+IFERROR(VLOOKUP(A426,[2]Variables!$M:$N,2,0),0)</f>
        <v>24.5625</v>
      </c>
    </row>
    <row r="427" spans="1:2" x14ac:dyDescent="0.25">
      <c r="A427" s="2">
        <f>+WORKDAY(A426,1,Feriados!$A$2:$A$38)</f>
        <v>46300</v>
      </c>
      <c r="B427" s="3">
        <f>+IFERROR(VLOOKUP(A427,[2]Variables!$M:$N,2,0),0)</f>
        <v>23.75</v>
      </c>
    </row>
    <row r="428" spans="1:2" x14ac:dyDescent="0.25">
      <c r="A428" s="2">
        <f>+WORKDAY(A427,1,Feriados!$A$2:$A$38)</f>
        <v>46301</v>
      </c>
      <c r="B428" s="3">
        <f>+IFERROR(VLOOKUP(A428,[2]Variables!$M:$N,2,0),0)</f>
        <v>24.1875</v>
      </c>
    </row>
    <row r="429" spans="1:2" x14ac:dyDescent="0.25">
      <c r="A429" s="2">
        <f>+WORKDAY(A428,1,Feriados!$A$2:$A$38)</f>
        <v>46302</v>
      </c>
      <c r="B429" s="3">
        <f>+IFERROR(VLOOKUP(A429,[2]Variables!$M:$N,2,0),0)</f>
        <v>24</v>
      </c>
    </row>
    <row r="430" spans="1:2" x14ac:dyDescent="0.25">
      <c r="A430" s="2">
        <f>+WORKDAY(A429,1,Feriados!$A$2:$A$38)</f>
        <v>46303</v>
      </c>
      <c r="B430" s="3">
        <f>+IFERROR(VLOOKUP(A430,[2]Variables!$M:$N,2,0),0)</f>
        <v>24.125</v>
      </c>
    </row>
    <row r="431" spans="1:2" x14ac:dyDescent="0.25">
      <c r="A431" s="2">
        <f>+WORKDAY(A430,1,Feriados!$A$2:$A$38)</f>
        <v>46304</v>
      </c>
      <c r="B431" s="3">
        <f>+IFERROR(VLOOKUP(A431,[2]Variables!$M:$N,2,0),0)</f>
        <v>24.0625</v>
      </c>
    </row>
    <row r="432" spans="1:2" x14ac:dyDescent="0.25">
      <c r="A432" s="2">
        <f>+WORKDAY(A431,1,Feriados!$A$2:$A$38)</f>
        <v>46308</v>
      </c>
      <c r="B432" s="3">
        <f>+IFERROR(VLOOKUP(A432,[2]Variables!$M:$N,2,0),0)</f>
        <v>23.8125</v>
      </c>
    </row>
    <row r="433" spans="1:3" x14ac:dyDescent="0.25">
      <c r="A433" s="2">
        <f>+WORKDAY(A432,1,Feriados!$A$2:$A$38)</f>
        <v>46309</v>
      </c>
      <c r="B433" s="3">
        <f>+IFERROR(VLOOKUP(A433,[2]Variables!$M:$N,2,0),0)</f>
        <v>24.5625</v>
      </c>
      <c r="C433" s="6"/>
    </row>
    <row r="434" spans="1:3" x14ac:dyDescent="0.25">
      <c r="A434" s="2">
        <f>+WORKDAY(A433,1,Feriados!$A$2:$A$38)</f>
        <v>46310</v>
      </c>
      <c r="B434" s="3">
        <f>+IFERROR(VLOOKUP(A434,[2]Variables!$M:$N,2,0),0)</f>
        <v>24.5</v>
      </c>
    </row>
    <row r="435" spans="1:3" x14ac:dyDescent="0.25">
      <c r="A435" s="2">
        <f>+WORKDAY(A434,1,Feriados!$A$2:$A$38)</f>
        <v>46311</v>
      </c>
    </row>
    <row r="436" spans="1:3" x14ac:dyDescent="0.25">
      <c r="A436" s="2">
        <f>+WORKDAY(A435,1,Feriados!$A$2:$A$38)</f>
        <v>46314</v>
      </c>
    </row>
    <row r="437" spans="1:3" x14ac:dyDescent="0.25">
      <c r="A437" s="2">
        <f>+WORKDAY(A436,1,Feriados!$A$2:$A$38)</f>
        <v>46315</v>
      </c>
    </row>
    <row r="438" spans="1:3" x14ac:dyDescent="0.25">
      <c r="A438" s="2">
        <f>+WORKDAY(A437,1,Feriados!$A$2:$A$38)</f>
        <v>46316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C24" sqref="C2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f>+[3]Hoja1!$B31</f>
        <v>46167</v>
      </c>
    </row>
    <row r="3" spans="1:1" x14ac:dyDescent="0.25">
      <c r="A3" s="1">
        <f>+[3]Hoja1!$B32</f>
        <v>46188</v>
      </c>
    </row>
    <row r="4" spans="1:1" x14ac:dyDescent="0.25">
      <c r="A4" s="1">
        <f>+[3]Hoja1!$B33</f>
        <v>46212</v>
      </c>
    </row>
    <row r="5" spans="1:1" x14ac:dyDescent="0.25">
      <c r="A5" s="1">
        <f>+[3]Hoja1!$B34</f>
        <v>46213</v>
      </c>
    </row>
    <row r="6" spans="1:1" x14ac:dyDescent="0.25">
      <c r="A6" s="1">
        <f>+[3]Hoja1!$B35</f>
        <v>46251</v>
      </c>
    </row>
    <row r="7" spans="1:1" x14ac:dyDescent="0.25">
      <c r="A7" s="1">
        <f>+[3]Hoja1!$B36</f>
        <v>46307</v>
      </c>
    </row>
    <row r="8" spans="1:1" x14ac:dyDescent="0.25">
      <c r="A8" s="1">
        <f>+[3]Hoja1!$B37</f>
        <v>46332</v>
      </c>
    </row>
    <row r="9" spans="1:1" x14ac:dyDescent="0.25">
      <c r="A9" s="1">
        <f>+[3]Hoja1!$B38</f>
        <v>46335</v>
      </c>
    </row>
    <row r="10" spans="1:1" x14ac:dyDescent="0.25">
      <c r="A10" s="1">
        <f>+[3]Hoja1!$B39</f>
        <v>46336</v>
      </c>
    </row>
    <row r="11" spans="1:1" x14ac:dyDescent="0.25">
      <c r="A11" s="1">
        <f>+[3]Hoja1!$B40</f>
        <v>46349</v>
      </c>
    </row>
    <row r="12" spans="1:1" x14ac:dyDescent="0.25">
      <c r="A12" s="1">
        <f>+[3]Hoja1!$B41</f>
        <v>46363</v>
      </c>
    </row>
    <row r="13" spans="1:1" x14ac:dyDescent="0.25">
      <c r="A13" s="1">
        <f>+[3]Hoja1!$B42</f>
        <v>46364</v>
      </c>
    </row>
    <row r="14" spans="1:1" x14ac:dyDescent="0.25">
      <c r="A14" s="1">
        <f>+[3]Hoja1!$B43</f>
        <v>46381</v>
      </c>
    </row>
    <row r="15" spans="1:1" x14ac:dyDescent="0.25">
      <c r="A15" s="1"/>
    </row>
    <row r="16" spans="1:1" x14ac:dyDescent="0.25">
      <c r="A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1"/>
    </sheetView>
  </sheetViews>
  <sheetFormatPr baseColWidth="10" defaultRowHeight="15" x14ac:dyDescent="0.25"/>
  <cols>
    <col min="3" max="3" width="12.85546875" customWidth="1"/>
  </cols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7</v>
      </c>
      <c r="B2" s="8">
        <v>45688</v>
      </c>
      <c r="C2" s="8">
        <v>46402</v>
      </c>
      <c r="D2" s="7">
        <v>2.0500000000000001E-2</v>
      </c>
    </row>
    <row r="3" spans="1:4" x14ac:dyDescent="0.25">
      <c r="A3" t="s">
        <v>3</v>
      </c>
      <c r="B3" s="8">
        <v>46265</v>
      </c>
      <c r="C3" s="8">
        <v>46416</v>
      </c>
      <c r="D3" s="7">
        <v>2.1899999999999999E-2</v>
      </c>
    </row>
    <row r="4" spans="1:4" x14ac:dyDescent="0.25">
      <c r="A4" t="s">
        <v>11</v>
      </c>
      <c r="B4" s="8">
        <v>46006</v>
      </c>
      <c r="C4" s="8">
        <v>46538</v>
      </c>
      <c r="D4" s="7">
        <v>2.4E-2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K18" sqref="K18"/>
    </sheetView>
  </sheetViews>
  <sheetFormatPr baseColWidth="10" defaultRowHeight="15" x14ac:dyDescent="0.25"/>
  <sheetData>
    <row r="1" spans="1:4" x14ac:dyDescent="0.25">
      <c r="A1" t="s">
        <v>6</v>
      </c>
      <c r="B1" t="s">
        <v>8</v>
      </c>
      <c r="C1" t="s">
        <v>9</v>
      </c>
      <c r="D1" t="s">
        <v>10</v>
      </c>
    </row>
    <row r="2" spans="1:4" x14ac:dyDescent="0.25">
      <c r="A2" t="s">
        <v>4</v>
      </c>
      <c r="B2" s="9">
        <v>46066</v>
      </c>
      <c r="C2" s="8">
        <v>46444</v>
      </c>
      <c r="D2" s="7">
        <v>6.5000000000000002E-2</v>
      </c>
    </row>
    <row r="3" spans="1:4" x14ac:dyDescent="0.25">
      <c r="A3" t="s">
        <v>12</v>
      </c>
      <c r="B3" s="9">
        <v>46203</v>
      </c>
      <c r="C3" s="8">
        <v>46598</v>
      </c>
      <c r="D3" s="7">
        <v>5.3999999999999999E-2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Precios</vt:lpstr>
      <vt:lpstr>Tamar</vt:lpstr>
      <vt:lpstr>Feriados</vt:lpstr>
      <vt:lpstr>Lecaps</vt:lpstr>
      <vt:lpstr>Letam</vt:lpstr>
    </vt:vector>
  </TitlesOfParts>
  <Company>Banco Macro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Mina, Ramiro Lopez - Macro Fondos</dc:creator>
  <cp:lastModifiedBy>Mina, Ramiro Lopez - Macro Fondos</cp:lastModifiedBy>
  <dcterms:created xsi:type="dcterms:W3CDTF">2026-10-02T13:15:48Z</dcterms:created>
  <dcterms:modified xsi:type="dcterms:W3CDTF">2026-10-19T15:17:06Z</dcterms:modified>
</cp:coreProperties>
</file>