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5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34" i="1" l="1"/>
  <c r="B433" i="1"/>
  <c r="B432" i="1"/>
  <c r="B489" i="6"/>
  <c r="B490" i="6"/>
  <c r="B491" i="6"/>
  <c r="B492" i="6"/>
  <c r="B202" i="3"/>
  <c r="C202" i="3"/>
  <c r="D202" i="3"/>
  <c r="E202" i="3"/>
  <c r="F202" i="3"/>
  <c r="G202" i="3"/>
  <c r="H202" i="3"/>
  <c r="I202" i="3"/>
  <c r="J202" i="3"/>
  <c r="K202" i="3"/>
  <c r="B203" i="3"/>
  <c r="C203" i="3"/>
  <c r="D203" i="3"/>
  <c r="E203" i="3"/>
  <c r="F203" i="3"/>
  <c r="G203" i="3"/>
  <c r="H203" i="3"/>
  <c r="I203" i="3"/>
  <c r="J203" i="3"/>
  <c r="K203" i="3"/>
  <c r="B204" i="3"/>
  <c r="C204" i="3"/>
  <c r="D204" i="3"/>
  <c r="E204" i="3"/>
  <c r="F204" i="3"/>
  <c r="G204" i="3"/>
  <c r="H204" i="3"/>
  <c r="I204" i="3"/>
  <c r="J204" i="3"/>
  <c r="K204" i="3"/>
  <c r="A202" i="3"/>
  <c r="A203" i="3" s="1"/>
  <c r="A204" i="3" s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B488" i="6" s="1"/>
  <c r="B200" i="3" l="1"/>
  <c r="A201" i="3"/>
  <c r="K200" i="3"/>
  <c r="J200" i="3"/>
  <c r="H200" i="3"/>
  <c r="G200" i="3"/>
  <c r="F200" i="3"/>
  <c r="I200" i="3"/>
  <c r="E200" i="3"/>
  <c r="D200" i="3"/>
  <c r="C200" i="3"/>
  <c r="A489" i="6"/>
  <c r="B487" i="6"/>
  <c r="A422" i="1"/>
  <c r="B201" i="3" l="1"/>
  <c r="C201" i="3"/>
  <c r="E201" i="3"/>
  <c r="F201" i="3"/>
  <c r="G201" i="3"/>
  <c r="H201" i="3"/>
  <c r="I201" i="3"/>
  <c r="J201" i="3"/>
  <c r="K201" i="3"/>
  <c r="D201" i="3"/>
  <c r="A490" i="6"/>
  <c r="A423" i="1"/>
  <c r="A491" i="6" l="1"/>
  <c r="A424" i="1"/>
  <c r="A492" i="6" l="1"/>
  <c r="A425" i="1"/>
  <c r="B425" i="1" s="1"/>
  <c r="A493" i="6" l="1"/>
  <c r="A426" i="1"/>
  <c r="B426" i="1" s="1"/>
  <c r="A494" i="6" l="1"/>
  <c r="A427" i="1"/>
  <c r="B427" i="1" s="1"/>
  <c r="A495" i="6" l="1"/>
  <c r="A428" i="1"/>
  <c r="B428" i="1" s="1"/>
  <c r="A496" i="6" l="1"/>
  <c r="A497" i="6" s="1"/>
  <c r="A498" i="6" s="1"/>
  <c r="B495" i="6"/>
  <c r="A429" i="1"/>
  <c r="B429" i="1" s="1"/>
  <c r="A430" i="1" l="1"/>
  <c r="B430" i="1" s="1"/>
  <c r="A431" i="1" l="1"/>
  <c r="B431" i="1" s="1"/>
  <c r="A432" i="1" l="1"/>
  <c r="A433" i="1" l="1"/>
  <c r="A434" i="1" l="1"/>
  <c r="A435" i="1" l="1"/>
  <c r="A436" i="1" l="1"/>
  <c r="B435" i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36" i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<sst xmlns="http://schemas.openxmlformats.org/spreadsheetml/2006/main" count="33" uniqueCount="18">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</sst>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3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  <xf numFmtId="164" fontId="0" fillId="34" borderId="1" xfId="1" applyNumberFormat="1" applyFont="1" applyFill="1" applyBorder="1" applyAlignment="1">
      <alignment horizontal="center" vertical="center"/>
    </xf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34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  <cell r="AE7">
            <v>46302</v>
          </cell>
          <cell r="AF7">
            <v>46303</v>
          </cell>
          <cell r="AG7">
            <v>46304</v>
          </cell>
          <cell r="AH7">
            <v>46308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  <cell r="AE8" t="str">
            <v>Precio HOY</v>
          </cell>
          <cell r="AF8" t="str">
            <v>Precio HOY</v>
          </cell>
          <cell r="AG8" t="str">
            <v>Precio HOY</v>
          </cell>
          <cell r="AH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369.50745167720351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  <cell r="AE12">
            <v>1.02945471</v>
          </cell>
          <cell r="AF12">
            <v>1.03054936</v>
          </cell>
          <cell r="AG12">
            <v>1.0350260899999999</v>
          </cell>
          <cell r="AH12">
            <v>1.0360251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703.69921653448171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  <cell r="AE13">
            <v>0.93012298000000004</v>
          </cell>
          <cell r="AF13">
            <v>0.93025999000000004</v>
          </cell>
          <cell r="AG13">
            <v>0.93533619000000001</v>
          </cell>
          <cell r="AH13">
            <v>0.93671409999999999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1010.9759535098724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  <cell r="AE14">
            <v>0.85994152000000001</v>
          </cell>
          <cell r="AF14">
            <v>0.86255130999999996</v>
          </cell>
          <cell r="AG14">
            <v>0.86473566000000002</v>
          </cell>
          <cell r="AH14">
            <v>0.86546416000000004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520.73831712781021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  <cell r="AE15">
            <v>0.54061630000000005</v>
          </cell>
          <cell r="AF15">
            <v>0.54920539000000002</v>
          </cell>
          <cell r="AG15">
            <v>0.54858366000000003</v>
          </cell>
          <cell r="AH15">
            <v>0.54780083000000002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525.96460054001784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  <cell r="AE16">
            <v>0.55341012999999994</v>
          </cell>
          <cell r="AF16">
            <v>0.55455606999999996</v>
          </cell>
          <cell r="AG16">
            <v>0.55517258000000003</v>
          </cell>
          <cell r="AH16">
            <v>0.55871371999999997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680.43722511775786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  <cell r="AE17">
            <v>0.55763837999999999</v>
          </cell>
          <cell r="AF17">
            <v>0.56057911999999999</v>
          </cell>
          <cell r="AG17">
            <v>0.56350078000000003</v>
          </cell>
          <cell r="AH17">
            <v>0.56179374999999998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690.79497298261947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  <cell r="AE18">
            <v>0.57324311999999999</v>
          </cell>
          <cell r="AF18">
            <v>0.57480889999999996</v>
          </cell>
          <cell r="AG18">
            <v>0.57704845999999999</v>
          </cell>
          <cell r="AH18">
            <v>0.57678925999999997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1020.3732738964545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  <cell r="AE19">
            <v>0.88608116000000003</v>
          </cell>
          <cell r="AF19">
            <v>0.88965594999999997</v>
          </cell>
          <cell r="AG19">
            <v>0.88698513000000001</v>
          </cell>
          <cell r="AH19">
            <v>0.88362907000000002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1599.8943115349268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  <cell r="AE20">
            <v>0.74700412999999999</v>
          </cell>
          <cell r="AF20">
            <v>0.74803673999999998</v>
          </cell>
          <cell r="AG20">
            <v>0.74854653999999998</v>
          </cell>
          <cell r="AH20">
            <v>0.74821859000000002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1655.8342126784939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  <cell r="AE21">
            <v>0.80150096999999998</v>
          </cell>
          <cell r="AF21">
            <v>0.80110806000000001</v>
          </cell>
          <cell r="AG21">
            <v>0.80358629999999998</v>
          </cell>
          <cell r="AH21">
            <v>0.80407362000000004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2202.2512521820572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  <cell r="AE22">
            <v>0.64062006000000005</v>
          </cell>
          <cell r="AF22">
            <v>0.64400120000000005</v>
          </cell>
          <cell r="AG22">
            <v>0.64395460000000004</v>
          </cell>
          <cell r="AH22">
            <v>0.64614099999999997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1910.6262875976263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  <cell r="AE23">
            <v>0.71653224000000004</v>
          </cell>
          <cell r="AF23">
            <v>0.71558927999999999</v>
          </cell>
          <cell r="AG23">
            <v>0.71371954000000004</v>
          </cell>
          <cell r="AH23">
            <v>0.71347183000000003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1945.8231050338566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  <cell r="AE24">
            <v>0.75396244000000001</v>
          </cell>
          <cell r="AF24">
            <v>0.75606534000000003</v>
          </cell>
          <cell r="AG24">
            <v>0.75548006999999995</v>
          </cell>
          <cell r="AH24">
            <v>0.75354429000000001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2033.3044899947361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  <cell r="AE25">
            <v>0.66521092999999998</v>
          </cell>
          <cell r="AF25">
            <v>0.66450657999999996</v>
          </cell>
          <cell r="AG25">
            <v>0.66441384999999997</v>
          </cell>
          <cell r="AH25">
            <v>0.66482070000000004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2093.7863746164653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  <cell r="AE26">
            <v>0.70051169000000002</v>
          </cell>
          <cell r="AF26">
            <v>0.70110689000000004</v>
          </cell>
          <cell r="AG26">
            <v>0.70217030000000002</v>
          </cell>
          <cell r="AH26">
            <v>0.70152095000000003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369.49576782690252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  <cell r="AE28">
            <v>1583.19441041</v>
          </cell>
          <cell r="AF28">
            <v>1588.8419812</v>
          </cell>
          <cell r="AG28">
            <v>1591.8877935200001</v>
          </cell>
          <cell r="AH28">
            <v>1592.79702077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703.64233824332712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  <cell r="AE29">
            <v>1429.6764009599999</v>
          </cell>
          <cell r="AF29">
            <v>1435.57437409</v>
          </cell>
          <cell r="AG29">
            <v>1438.2668797700001</v>
          </cell>
          <cell r="AH29">
            <v>1438.8312240800001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1010.8401865515121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  <cell r="AE30">
            <v>1324.3495501</v>
          </cell>
          <cell r="AF30">
            <v>1329.4370151600001</v>
          </cell>
          <cell r="AG30">
            <v>1329.7177027600001</v>
          </cell>
          <cell r="AH30">
            <v>1329.02568221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518.95466965751461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  <cell r="AE31">
            <v>861.47918752999999</v>
          </cell>
          <cell r="AF31">
            <v>865.61277765</v>
          </cell>
          <cell r="AG31">
            <v>866.40372036999997</v>
          </cell>
          <cell r="AH31">
            <v>866.17758719999995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520.44731874538525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  <cell r="AE32">
            <v>839.37730141999998</v>
          </cell>
          <cell r="AF32">
            <v>844.70345373999999</v>
          </cell>
          <cell r="AG32">
            <v>843.62131213999999</v>
          </cell>
          <cell r="AH32">
            <v>842.17645099000003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679.94079969955578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  <cell r="AE33">
            <v>881.77883233</v>
          </cell>
          <cell r="AF33">
            <v>887.71883926999999</v>
          </cell>
          <cell r="AG33">
            <v>886.77140397999995</v>
          </cell>
          <cell r="AH33">
            <v>886.53170381999996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680.01336302087032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  <cell r="AE34">
            <v>858.41529455</v>
          </cell>
          <cell r="AF34">
            <v>862.76198925000006</v>
          </cell>
          <cell r="AG34">
            <v>865.23672278000004</v>
          </cell>
          <cell r="AH34">
            <v>864.75606281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1020.2061005496819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  <cell r="AE35">
            <v>1364.3798985799999</v>
          </cell>
          <cell r="AF35">
            <v>1367.8122832500001</v>
          </cell>
          <cell r="AG35">
            <v>1364.9599676400001</v>
          </cell>
          <cell r="AH35">
            <v>1360.8423058999999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1622.6707345369821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  <cell r="AE36">
            <v>1233.69495218</v>
          </cell>
          <cell r="AF36">
            <v>1234.8294019299999</v>
          </cell>
          <cell r="AG36">
            <v>1237.98127191</v>
          </cell>
          <cell r="AH36">
            <v>1239.6443126199999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1599.4601108569855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  <cell r="AE37">
            <v>1150.22015083</v>
          </cell>
          <cell r="AF37">
            <v>1147.56676597</v>
          </cell>
          <cell r="AG37">
            <v>1151.5032852300001</v>
          </cell>
          <cell r="AH37">
            <v>1149.8317965000001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1929.3539433513599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  <cell r="AE38">
            <v>1160.6035032299999</v>
          </cell>
          <cell r="AF38">
            <v>1165.4622311400001</v>
          </cell>
          <cell r="AG38">
            <v>1163.2471551799999</v>
          </cell>
          <cell r="AH38">
            <v>1160.9964968899999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1910.5609476634868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  <cell r="AE39">
            <v>1104.33275615</v>
          </cell>
          <cell r="AF39">
            <v>1103.2431131799999</v>
          </cell>
          <cell r="AG39">
            <v>1101.1830635199999</v>
          </cell>
          <cell r="AH39">
            <v>1100.24093103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2161.3072947605165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  <cell r="AE40">
            <v>980.46476344999996</v>
          </cell>
          <cell r="AF40">
            <v>1006.39794309</v>
          </cell>
          <cell r="AG40">
            <v>1008.65722138</v>
          </cell>
          <cell r="AH40">
            <v>981.48727842999995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2058.9121952800851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  <cell r="AE41">
            <v>1077.9345922099999</v>
          </cell>
          <cell r="AF41">
            <v>1080.73310423</v>
          </cell>
          <cell r="AG41">
            <v>1080.3404418800001</v>
          </cell>
          <cell r="AH41">
            <v>1080.73030133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2031.7921046357019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  <cell r="AE42">
            <v>1023.61293778</v>
          </cell>
          <cell r="AF42">
            <v>1025.2667509099999</v>
          </cell>
          <cell r="AG42">
            <v>1023.43876906</v>
          </cell>
          <cell r="AH42">
            <v>1016.96146589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283.4764528218376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  <cell r="AE46">
            <v>1.04494047</v>
          </cell>
          <cell r="AF46">
            <v>1.0448834899999999</v>
          </cell>
          <cell r="AG46">
            <v>1.04705804</v>
          </cell>
          <cell r="AH46">
            <v>1.04628776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283.4347676237528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  <cell r="AE48">
            <v>1607.8333490499999</v>
          </cell>
          <cell r="AF48">
            <v>1611.5990229700001</v>
          </cell>
          <cell r="AG48">
            <v>1613.68273473</v>
          </cell>
          <cell r="AH48">
            <v>1601.88519103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5.9999999999986997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  <cell r="AE52">
            <v>1.0707853199999999</v>
          </cell>
          <cell r="AF52">
            <v>1.07141416</v>
          </cell>
          <cell r="AG52">
            <v>1.07408411</v>
          </cell>
          <cell r="AH52">
            <v>1.0749704499999999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94.000000000010047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  <cell r="AE53">
            <v>1.5086614</v>
          </cell>
          <cell r="AF53">
            <v>1.5098224</v>
          </cell>
          <cell r="AG53">
            <v>1.51388945</v>
          </cell>
          <cell r="AH53">
            <v>1.51469338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199.00000000004206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  <cell r="AE54">
            <v>1.3638211099999999</v>
          </cell>
          <cell r="AF54">
            <v>1.3664060499999999</v>
          </cell>
          <cell r="AG54">
            <v>1.36954767</v>
          </cell>
          <cell r="AH54">
            <v>1.3711843500000001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230.00000000008035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  <cell r="AE55">
            <v>1.2838353899999999</v>
          </cell>
          <cell r="AF55">
            <v>1.284648</v>
          </cell>
          <cell r="AG55">
            <v>1.2905880999999999</v>
          </cell>
          <cell r="AH55">
            <v>1.2911038800000001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259.99999999997164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  <cell r="AE56">
            <v>1.2972002300000001</v>
          </cell>
          <cell r="AF56">
            <v>1.30047062</v>
          </cell>
          <cell r="AG56">
            <v>1.3063048799999999</v>
          </cell>
          <cell r="AH56">
            <v>1.3084733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817.25568113519864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  <cell r="AE57">
            <v>1.11862358</v>
          </cell>
          <cell r="AF57">
            <v>1.12015957</v>
          </cell>
          <cell r="AG57">
            <v>1.12250128</v>
          </cell>
          <cell r="AH57">
            <v>1.1243672300000001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2.9999999999993499</v>
          </cell>
          <cell r="E61">
            <v>1.02356505</v>
          </cell>
          <cell r="F61">
            <v>1.02307974</v>
          </cell>
          <cell r="G61">
            <v>1.02464377</v>
          </cell>
          <cell r="H61">
            <v>1.0265682300000001</v>
          </cell>
          <cell r="I61">
            <v>1.02781503</v>
          </cell>
          <cell r="J61">
            <v>1.0294475000000001</v>
          </cell>
          <cell r="K61">
            <v>1.03033362</v>
          </cell>
          <cell r="L61">
            <v>1.02971422</v>
          </cell>
          <cell r="M61">
            <v>1.0313213400000001</v>
          </cell>
          <cell r="N61">
            <v>1.0324304099999999</v>
          </cell>
          <cell r="O61">
            <v>1.03331291</v>
          </cell>
          <cell r="P61">
            <v>1.03396157</v>
          </cell>
          <cell r="Q61">
            <v>1.0345827000000001</v>
          </cell>
          <cell r="R61">
            <v>1.0365327799999999</v>
          </cell>
          <cell r="S61">
            <v>1.0375873499999999</v>
          </cell>
          <cell r="T61">
            <v>1.03760662</v>
          </cell>
          <cell r="U61">
            <v>1.0380543200000001</v>
          </cell>
          <cell r="V61">
            <v>1.03762533</v>
          </cell>
          <cell r="W61">
            <v>1.04081801</v>
          </cell>
          <cell r="X61">
            <v>1.04151131</v>
          </cell>
          <cell r="Y61">
            <v>1.04220084</v>
          </cell>
          <cell r="Z61">
            <v>1.04315906</v>
          </cell>
          <cell r="AA61">
            <v>1.0437853100000001</v>
          </cell>
          <cell r="AB61">
            <v>1.0457230399999999</v>
          </cell>
          <cell r="AC61">
            <v>1.0465865400000001</v>
          </cell>
          <cell r="AD61">
            <v>1.0472104</v>
          </cell>
          <cell r="AE61">
            <v>1.0477891800000001</v>
          </cell>
          <cell r="AF61">
            <v>1.0484346200000001</v>
          </cell>
          <cell r="AG61">
            <v>1.0509670099999999</v>
          </cell>
          <cell r="AH61">
            <v>1.05151539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17.00000000000605</v>
          </cell>
          <cell r="E62">
            <v>1.3032628399999999</v>
          </cell>
          <cell r="F62">
            <v>1.3045849300000001</v>
          </cell>
          <cell r="G62">
            <v>1.3046959</v>
          </cell>
          <cell r="H62">
            <v>1.30694401</v>
          </cell>
          <cell r="I62">
            <v>1.30921891</v>
          </cell>
          <cell r="J62">
            <v>1.30991266</v>
          </cell>
          <cell r="K62">
            <v>1.31076506</v>
          </cell>
          <cell r="L62">
            <v>1.3117726300000001</v>
          </cell>
          <cell r="M62">
            <v>1.3135108200000001</v>
          </cell>
          <cell r="N62">
            <v>1.31613724</v>
          </cell>
          <cell r="O62">
            <v>1.31756578</v>
          </cell>
          <cell r="P62">
            <v>1.3189867500000001</v>
          </cell>
          <cell r="Q62">
            <v>1.32146458</v>
          </cell>
          <cell r="R62">
            <v>1.3233630000000001</v>
          </cell>
          <cell r="S62">
            <v>1.3246825799999999</v>
          </cell>
          <cell r="T62">
            <v>1.3241200500000001</v>
          </cell>
          <cell r="U62">
            <v>1.32424819</v>
          </cell>
          <cell r="V62">
            <v>1.3179004299999999</v>
          </cell>
          <cell r="W62">
            <v>1.32549081435632</v>
          </cell>
          <cell r="X62">
            <v>1.3261568059103599</v>
          </cell>
          <cell r="Y62">
            <v>1.32996471</v>
          </cell>
          <cell r="Z62">
            <v>1.3316786</v>
          </cell>
          <cell r="AA62">
            <v>1.3320753999999999</v>
          </cell>
          <cell r="AB62">
            <v>1.3343456199999999</v>
          </cell>
          <cell r="AC62">
            <v>1.33506846</v>
          </cell>
          <cell r="AD62">
            <v>1.33485016</v>
          </cell>
          <cell r="AE62">
            <v>1.33674709</v>
          </cell>
          <cell r="AF62">
            <v>1.33645539</v>
          </cell>
          <cell r="AG62">
            <v>1.34039836</v>
          </cell>
          <cell r="AH62">
            <v>1.33872407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30.999999999990852</v>
          </cell>
          <cell r="E63">
            <v>1.0448312500000001</v>
          </cell>
          <cell r="F63">
            <v>1.0454569300000001</v>
          </cell>
          <cell r="G63">
            <v>1.0461288099999999</v>
          </cell>
          <cell r="H63">
            <v>1.0491362200000001</v>
          </cell>
          <cell r="I63">
            <v>1.0501897600000001</v>
          </cell>
          <cell r="J63">
            <v>1.0500543</v>
          </cell>
          <cell r="K63">
            <v>1.04995087</v>
          </cell>
          <cell r="L63">
            <v>1.05031436</v>
          </cell>
          <cell r="M63">
            <v>1.05264566</v>
          </cell>
          <cell r="N63">
            <v>1.0549332899999999</v>
          </cell>
          <cell r="O63">
            <v>1.0561525300000001</v>
          </cell>
          <cell r="P63">
            <v>1.0569192300000001</v>
          </cell>
          <cell r="Q63">
            <v>1.0586694699999999</v>
          </cell>
          <cell r="R63">
            <v>1.06002792</v>
          </cell>
          <cell r="S63">
            <v>1.0603465700000001</v>
          </cell>
          <cell r="T63">
            <v>1.06041287</v>
          </cell>
          <cell r="U63">
            <v>1.0609648199999999</v>
          </cell>
          <cell r="V63">
            <v>1.06208955</v>
          </cell>
          <cell r="W63">
            <v>1.0641932300000001</v>
          </cell>
          <cell r="X63">
            <v>1.06479758</v>
          </cell>
          <cell r="Y63">
            <v>1.0660088000000001</v>
          </cell>
          <cell r="Z63">
            <v>1.06674793</v>
          </cell>
          <cell r="AA63">
            <v>1.0679219900000001</v>
          </cell>
          <cell r="AB63">
            <v>1.07050983</v>
          </cell>
          <cell r="AC63">
            <v>1.0707548899999999</v>
          </cell>
          <cell r="AD63">
            <v>1.0715740600000001</v>
          </cell>
          <cell r="AE63">
            <v>1.0722004199999999</v>
          </cell>
          <cell r="AF63">
            <v>1.07292729</v>
          </cell>
          <cell r="AG63">
            <v>1.0757498999999999</v>
          </cell>
          <cell r="AH63">
            <v>1.07574226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48.000000000015149</v>
          </cell>
          <cell r="E64">
            <v>1.2227816600000001</v>
          </cell>
          <cell r="F64">
            <v>1.2238402399999999</v>
          </cell>
          <cell r="G64">
            <v>1.2249302799999999</v>
          </cell>
          <cell r="H64">
            <v>1.2272383499999999</v>
          </cell>
          <cell r="I64">
            <v>1.2289346999999999</v>
          </cell>
          <cell r="J64">
            <v>1.22905825</v>
          </cell>
          <cell r="K64">
            <v>1.2284157899999999</v>
          </cell>
          <cell r="L64">
            <v>1.2302787399999999</v>
          </cell>
          <cell r="M64">
            <v>1.23192268</v>
          </cell>
          <cell r="N64">
            <v>1.2354439699999999</v>
          </cell>
          <cell r="O64">
            <v>1.2365159999999999</v>
          </cell>
          <cell r="P64">
            <v>1.2379524099999999</v>
          </cell>
          <cell r="Q64">
            <v>1.2397538800000001</v>
          </cell>
          <cell r="R64">
            <v>1.2423725800000001</v>
          </cell>
          <cell r="S64">
            <v>1.24243803</v>
          </cell>
          <cell r="T64">
            <v>1.2424581299999999</v>
          </cell>
          <cell r="U64">
            <v>1.2429414299999999</v>
          </cell>
          <cell r="V64">
            <v>1.2441817799999999</v>
          </cell>
          <cell r="W64">
            <v>1.24693685</v>
          </cell>
          <cell r="X64">
            <v>1.2469439899999999</v>
          </cell>
          <cell r="Y64">
            <v>1.2482832399999999</v>
          </cell>
          <cell r="Z64">
            <v>1.2495673300000001</v>
          </cell>
          <cell r="AA64">
            <v>1.25193624</v>
          </cell>
          <cell r="AB64">
            <v>1.2542973500000001</v>
          </cell>
          <cell r="AC64">
            <v>1.2550632399999999</v>
          </cell>
          <cell r="AD64">
            <v>1.2552875400000001</v>
          </cell>
          <cell r="AE64">
            <v>1.2563465</v>
          </cell>
          <cell r="AF64">
            <v>1.2574978000000001</v>
          </cell>
          <cell r="AG64">
            <v>1.26211111</v>
          </cell>
          <cell r="AH64">
            <v>1.2606297799999999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107.9999999999912</v>
          </cell>
          <cell r="E65">
            <v>1.00906037</v>
          </cell>
          <cell r="F65">
            <v>1.0100603500000001</v>
          </cell>
          <cell r="G65">
            <v>1.01084299</v>
          </cell>
          <cell r="H65">
            <v>1.0127881299999999</v>
          </cell>
          <cell r="I65">
            <v>1.0133567299999999</v>
          </cell>
          <cell r="J65">
            <v>1.01323655</v>
          </cell>
          <cell r="K65">
            <v>1.0115057599999999</v>
          </cell>
          <cell r="L65">
            <v>1.0156021799999999</v>
          </cell>
          <cell r="M65">
            <v>1.0171820300000001</v>
          </cell>
          <cell r="N65">
            <v>1.0194176500000001</v>
          </cell>
          <cell r="O65">
            <v>1.02044128</v>
          </cell>
          <cell r="P65">
            <v>1.02140539</v>
          </cell>
          <cell r="Q65">
            <v>1.0235362400000001</v>
          </cell>
          <cell r="R65">
            <v>1.0260089699999999</v>
          </cell>
          <cell r="S65">
            <v>1.0249857200000001</v>
          </cell>
          <cell r="T65">
            <v>1.0253491100000001</v>
          </cell>
          <cell r="U65">
            <v>1.0240504800000001</v>
          </cell>
          <cell r="V65">
            <v>1.02456668</v>
          </cell>
          <cell r="W65">
            <v>1.0266372500000001</v>
          </cell>
          <cell r="X65">
            <v>1.0268137500000001</v>
          </cell>
          <cell r="Y65">
            <v>1.02808225</v>
          </cell>
          <cell r="Z65">
            <v>1.0294134500000001</v>
          </cell>
          <cell r="AA65">
            <v>1.03125109</v>
          </cell>
          <cell r="AB65">
            <v>1.034098</v>
          </cell>
          <cell r="AC65">
            <v>1.0356566199999999</v>
          </cell>
          <cell r="AD65">
            <v>1.03645627</v>
          </cell>
          <cell r="AE65">
            <v>1.0368340300000001</v>
          </cell>
          <cell r="AF65">
            <v>1.0378953</v>
          </cell>
          <cell r="AG65">
            <v>1.0415968799999999</v>
          </cell>
          <cell r="AH65">
            <v>1.0406137799999999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62.999999999989996</v>
          </cell>
          <cell r="E69">
            <v>1.6859789700000001</v>
          </cell>
          <cell r="F69">
            <v>1.6878725000000001</v>
          </cell>
          <cell r="G69">
            <v>1.68947022</v>
          </cell>
          <cell r="H69">
            <v>1.69173711</v>
          </cell>
          <cell r="I69">
            <v>1.69185056</v>
          </cell>
          <cell r="J69">
            <v>1.69248311</v>
          </cell>
          <cell r="K69">
            <v>1.69359751</v>
          </cell>
          <cell r="L69">
            <v>1.69323991</v>
          </cell>
          <cell r="M69">
            <v>1.6960165199999999</v>
          </cell>
          <cell r="N69">
            <v>1.6996848899999999</v>
          </cell>
          <cell r="O69">
            <v>1.70235599</v>
          </cell>
          <cell r="P69">
            <v>1.7025248500000001</v>
          </cell>
          <cell r="Q69">
            <v>1.70312562</v>
          </cell>
          <cell r="R69">
            <v>1.7069864800000001</v>
          </cell>
          <cell r="S69">
            <v>1.70849509</v>
          </cell>
          <cell r="T69">
            <v>1.70929854</v>
          </cell>
          <cell r="U69">
            <v>1.7093420100000001</v>
          </cell>
          <cell r="V69">
            <v>1.7102072100000001</v>
          </cell>
          <cell r="W69">
            <v>1.7140620499999999</v>
          </cell>
          <cell r="X69">
            <v>1.71587037</v>
          </cell>
          <cell r="Y69">
            <v>1.7181704900000001</v>
          </cell>
          <cell r="Z69">
            <v>1.7225154199999999</v>
          </cell>
          <cell r="AA69">
            <v>1.7235044100000001</v>
          </cell>
          <cell r="AB69">
            <v>1.72743074</v>
          </cell>
          <cell r="AC69">
            <v>1.7292431399999999</v>
          </cell>
          <cell r="AD69">
            <v>1.72995396</v>
          </cell>
          <cell r="AE69">
            <v>1.73136457</v>
          </cell>
          <cell r="AF69">
            <v>1.73263224</v>
          </cell>
          <cell r="AG69">
            <v>1.7352615300000001</v>
          </cell>
          <cell r="AH69">
            <v>1.73490835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136.00000000003379</v>
          </cell>
          <cell r="E73">
            <v>1.2130007899999999</v>
          </cell>
          <cell r="F73">
            <v>1.2147051099999999</v>
          </cell>
          <cell r="G73">
            <v>1.2157256599999999</v>
          </cell>
          <cell r="H73">
            <v>1.2178138199999999</v>
          </cell>
          <cell r="I73">
            <v>1.2177763699999999</v>
          </cell>
          <cell r="J73">
            <v>1.2177810499999999</v>
          </cell>
          <cell r="K73">
            <v>1.21875841</v>
          </cell>
          <cell r="L73">
            <v>1.2171409900000001</v>
          </cell>
          <cell r="M73">
            <v>1.22005713</v>
          </cell>
          <cell r="N73">
            <v>1.22405823</v>
          </cell>
          <cell r="O73">
            <v>1.2258720400000001</v>
          </cell>
          <cell r="P73">
            <v>1.22719931</v>
          </cell>
          <cell r="Q73">
            <v>1.22855866</v>
          </cell>
          <cell r="R73">
            <v>1.23204487</v>
          </cell>
          <cell r="S73">
            <v>1.2316546799999999</v>
          </cell>
          <cell r="T73">
            <v>1.2316048500000001</v>
          </cell>
          <cell r="U73">
            <v>1.2308570400000001</v>
          </cell>
          <cell r="V73">
            <v>1.23299767</v>
          </cell>
          <cell r="W73">
            <v>1.23756672</v>
          </cell>
          <cell r="X73">
            <v>1.2389035100000001</v>
          </cell>
          <cell r="Y73">
            <v>1.2374037200000001</v>
          </cell>
          <cell r="Z73">
            <v>1.2382487799999999</v>
          </cell>
          <cell r="AA73">
            <v>1.2417132399999999</v>
          </cell>
          <cell r="AB73">
            <v>1.24830782</v>
          </cell>
          <cell r="AC73">
            <v>1.2505858299999999</v>
          </cell>
          <cell r="AD73">
            <v>1.2508325600000001</v>
          </cell>
          <cell r="AE73">
            <v>1.24982745</v>
          </cell>
          <cell r="AF73">
            <v>1.25065581</v>
          </cell>
          <cell r="AG73">
            <v>1.2552227199999999</v>
          </cell>
          <cell r="AH73">
            <v>1.25371196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289.99999999997249</v>
          </cell>
          <cell r="E74">
            <v>1.06900032</v>
          </cell>
          <cell r="F74">
            <v>1.0690074300000001</v>
          </cell>
          <cell r="G74">
            <v>1.0687348400000001</v>
          </cell>
          <cell r="H74">
            <v>1.0742336400000001</v>
          </cell>
          <cell r="I74">
            <v>1.0713623999999999</v>
          </cell>
          <cell r="J74">
            <v>1.0716682</v>
          </cell>
          <cell r="K74">
            <v>1.0749949999999999</v>
          </cell>
          <cell r="L74">
            <v>1.07449996</v>
          </cell>
          <cell r="M74">
            <v>1.0730103600000001</v>
          </cell>
          <cell r="N74">
            <v>1.0804226100000001</v>
          </cell>
          <cell r="O74">
            <v>1.0821337499999999</v>
          </cell>
          <cell r="P74">
            <v>1.08499287</v>
          </cell>
          <cell r="Q74">
            <v>1.08743849</v>
          </cell>
          <cell r="R74">
            <v>1.09631334</v>
          </cell>
          <cell r="S74">
            <v>1.0946988600000001</v>
          </cell>
          <cell r="T74">
            <v>1.08999808</v>
          </cell>
          <cell r="U74">
            <v>1.09026702</v>
          </cell>
          <cell r="V74">
            <v>1.0917816499999999</v>
          </cell>
          <cell r="W74">
            <v>1.09202855</v>
          </cell>
          <cell r="X74">
            <v>1.0912433500000001</v>
          </cell>
          <cell r="Y74">
            <v>1.08950003</v>
          </cell>
          <cell r="Z74">
            <v>1.09140441</v>
          </cell>
          <cell r="AA74">
            <v>1.093718</v>
          </cell>
          <cell r="AB74">
            <v>1.09451115</v>
          </cell>
          <cell r="AC74">
            <v>1.0940564699999999</v>
          </cell>
          <cell r="AD74">
            <v>1.09775508</v>
          </cell>
          <cell r="AE74">
            <v>1.10071407</v>
          </cell>
          <cell r="AF74">
            <v>1.1008573500000001</v>
          </cell>
          <cell r="AG74">
            <v>1.10295125</v>
          </cell>
          <cell r="AH74">
            <v>1.1039651500000001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322.00000000008839</v>
          </cell>
          <cell r="E75">
            <v>1.14377388326636</v>
          </cell>
          <cell r="F75">
            <v>1.1555000200000001</v>
          </cell>
          <cell r="G75">
            <v>1.1726905700000001</v>
          </cell>
          <cell r="H75">
            <v>1.1660002899999999</v>
          </cell>
          <cell r="I75">
            <v>1.1574680399999999</v>
          </cell>
          <cell r="J75">
            <v>1.15811529</v>
          </cell>
          <cell r="K75">
            <v>1.15791712</v>
          </cell>
          <cell r="L75">
            <v>1.1586209999999999</v>
          </cell>
          <cell r="M75">
            <v>1.1603409999999998</v>
          </cell>
          <cell r="N75">
            <v>1.16780565</v>
          </cell>
          <cell r="O75">
            <v>1.1731683100000001</v>
          </cell>
          <cell r="P75">
            <v>1.1765810000000001</v>
          </cell>
          <cell r="Q75">
            <v>1.1796179499999999</v>
          </cell>
          <cell r="R75">
            <v>1.1817578799999999</v>
          </cell>
          <cell r="S75">
            <v>1.17064609</v>
          </cell>
          <cell r="T75">
            <v>1.1895322100000001</v>
          </cell>
          <cell r="U75">
            <v>1.177667</v>
          </cell>
          <cell r="V75">
            <v>1.16822111</v>
          </cell>
          <cell r="W75">
            <v>1.17575009</v>
          </cell>
          <cell r="X75">
            <v>1.1628452199999999</v>
          </cell>
          <cell r="Y75">
            <v>1.18</v>
          </cell>
          <cell r="Z75">
            <v>1.1840002199999999</v>
          </cell>
          <cell r="AA75">
            <v>1.18700088</v>
          </cell>
          <cell r="AB75">
            <v>1.189505</v>
          </cell>
          <cell r="AC75">
            <v>1.1914910000000001</v>
          </cell>
          <cell r="AD75">
            <v>1.1910014099999999</v>
          </cell>
          <cell r="AE75">
            <v>1.18090849</v>
          </cell>
          <cell r="AF75">
            <v>1.19430171</v>
          </cell>
          <cell r="AG75">
            <v>1.1945008399999999</v>
          </cell>
          <cell r="AH75">
            <v>1.1985055600000001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687.99999999988131</v>
          </cell>
          <cell r="E76">
            <v>1.05600216</v>
          </cell>
          <cell r="F76">
            <v>1.0585000899999999</v>
          </cell>
          <cell r="G76">
            <v>1.0618812099999999</v>
          </cell>
          <cell r="H76">
            <v>1.06400009</v>
          </cell>
          <cell r="I76">
            <v>1.0669619800000001</v>
          </cell>
          <cell r="J76">
            <v>1.0697740099999999</v>
          </cell>
          <cell r="K76">
            <v>1.0675001399999999</v>
          </cell>
          <cell r="L76">
            <v>1.06948741</v>
          </cell>
          <cell r="M76">
            <v>1.0739914699999999</v>
          </cell>
          <cell r="N76">
            <v>1.07699638</v>
          </cell>
          <cell r="O76">
            <v>1.0775055099999999</v>
          </cell>
          <cell r="P76">
            <v>1.0788158400000001</v>
          </cell>
          <cell r="Q76">
            <v>1.0824994400000001</v>
          </cell>
          <cell r="R76">
            <v>1.08417754</v>
          </cell>
          <cell r="S76">
            <v>1.07543952</v>
          </cell>
          <cell r="T76">
            <v>1.0800280600000001</v>
          </cell>
          <cell r="U76">
            <v>1.07647055</v>
          </cell>
          <cell r="V76">
            <v>1.0789783500000001</v>
          </cell>
          <cell r="W76">
            <v>1.0790079299999999</v>
          </cell>
          <cell r="X76">
            <v>1.0747119999999999</v>
          </cell>
          <cell r="Y76">
            <v>1.07679258</v>
          </cell>
          <cell r="Z76">
            <v>1.08499999</v>
          </cell>
          <cell r="AA76">
            <v>1.0892629700000001</v>
          </cell>
          <cell r="AB76">
            <v>1.0957432</v>
          </cell>
          <cell r="AC76">
            <v>1.1001235300000001</v>
          </cell>
          <cell r="AD76">
            <v>1.1011813699999999</v>
          </cell>
          <cell r="AE76">
            <v>1.10221313</v>
          </cell>
          <cell r="AF76">
            <v>1.09962505</v>
          </cell>
          <cell r="AG76">
            <v>1.10000608</v>
          </cell>
          <cell r="AH76">
            <v>1.0950016899999999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626.00000000006753</v>
          </cell>
          <cell r="E80">
            <v>0.98718236999999998</v>
          </cell>
          <cell r="F80">
            <v>0.98819405999999999</v>
          </cell>
          <cell r="G80">
            <v>0.98613258000000004</v>
          </cell>
          <cell r="H80">
            <v>0.99500093000000001</v>
          </cell>
          <cell r="I80">
            <v>0.99528002000000004</v>
          </cell>
          <cell r="J80">
            <v>0.99380884000000003</v>
          </cell>
          <cell r="K80">
            <v>0.99404106999999997</v>
          </cell>
          <cell r="L80">
            <v>0.99699888000000003</v>
          </cell>
          <cell r="M80">
            <v>0.99829867000000005</v>
          </cell>
          <cell r="N80">
            <v>1.0060374299999999</v>
          </cell>
          <cell r="O80">
            <v>1.0046076500000001</v>
          </cell>
          <cell r="P80">
            <v>1.0056528499999999</v>
          </cell>
          <cell r="Q80">
            <v>1.0099968399999999</v>
          </cell>
          <cell r="R80">
            <v>1.0100151900000001</v>
          </cell>
          <cell r="S80">
            <v>1.00902398</v>
          </cell>
          <cell r="T80">
            <v>1.0054993999999999</v>
          </cell>
          <cell r="U80">
            <v>1.0015049899999999</v>
          </cell>
          <cell r="V80">
            <v>1.00498691</v>
          </cell>
          <cell r="W80">
            <v>1.0000086500000001</v>
          </cell>
          <cell r="X80">
            <v>0.99809709999999996</v>
          </cell>
          <cell r="Y80">
            <v>1.0099937800000001</v>
          </cell>
          <cell r="Z80">
            <v>1.01005313</v>
          </cell>
          <cell r="AA80">
            <v>1.0088090300000001</v>
          </cell>
          <cell r="AB80">
            <v>1.01511974</v>
          </cell>
          <cell r="AC80">
            <v>1.0180197099999999</v>
          </cell>
          <cell r="AD80">
            <v>1.0230813000000001</v>
          </cell>
          <cell r="AE80">
            <v>1.02202065</v>
          </cell>
          <cell r="AF80">
            <v>1.0230476399999999</v>
          </cell>
          <cell r="AG80">
            <v>1.0221830300000001</v>
          </cell>
          <cell r="AH80">
            <v>1.02199806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793.999999999907</v>
          </cell>
          <cell r="E81">
            <v>0.93291215999999999</v>
          </cell>
          <cell r="F81">
            <v>0.92999977</v>
          </cell>
          <cell r="G81">
            <v>0.92643757999999998</v>
          </cell>
          <cell r="H81">
            <v>0.93285282999999997</v>
          </cell>
          <cell r="I81">
            <v>0.93350067999999997</v>
          </cell>
          <cell r="J81">
            <v>0.93595872000000002</v>
          </cell>
          <cell r="K81">
            <v>0.93442753000000001</v>
          </cell>
          <cell r="L81">
            <v>0.93727843</v>
          </cell>
          <cell r="M81">
            <v>0.94110117000000004</v>
          </cell>
          <cell r="N81">
            <v>0.94417779999999996</v>
          </cell>
          <cell r="O81">
            <v>0.94382964999999996</v>
          </cell>
          <cell r="P81">
            <v>0.94533595000000004</v>
          </cell>
          <cell r="Q81">
            <v>0.94949991</v>
          </cell>
          <cell r="R81">
            <v>0.95313804999999996</v>
          </cell>
          <cell r="S81">
            <v>0.95126515</v>
          </cell>
          <cell r="T81">
            <v>0.94604014000000003</v>
          </cell>
          <cell r="U81">
            <v>0.94384084999999995</v>
          </cell>
          <cell r="V81">
            <v>0.94350020999999995</v>
          </cell>
          <cell r="W81">
            <v>0.94500209000000002</v>
          </cell>
          <cell r="X81">
            <v>0.93481694999999998</v>
          </cell>
          <cell r="Y81">
            <v>0.94089750999999999</v>
          </cell>
          <cell r="Z81">
            <v>0.95105812000000001</v>
          </cell>
          <cell r="AA81">
            <v>0.95384173999999999</v>
          </cell>
          <cell r="AB81">
            <v>0.95705468999999999</v>
          </cell>
          <cell r="AC81">
            <v>0.96650013999999995</v>
          </cell>
          <cell r="AD81">
            <v>0.96549817999999998</v>
          </cell>
          <cell r="AE81">
            <v>0.96849976000000004</v>
          </cell>
          <cell r="AF81">
            <v>0.96419237000000002</v>
          </cell>
          <cell r="AG81">
            <v>0.96593280999999998</v>
          </cell>
          <cell r="AH81">
            <v>0.96665522999999998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990.00000000028922</v>
          </cell>
          <cell r="E82">
            <v>0.91800833000000004</v>
          </cell>
          <cell r="F82">
            <v>0.91950993000000003</v>
          </cell>
          <cell r="G82">
            <v>0.92193102999999998</v>
          </cell>
          <cell r="H82">
            <v>0.92250376000000001</v>
          </cell>
          <cell r="I82">
            <v>0.92397384000000005</v>
          </cell>
          <cell r="J82">
            <v>0.92339757</v>
          </cell>
          <cell r="K82">
            <v>0.92752606000000004</v>
          </cell>
          <cell r="L82">
            <v>0.92448836000000001</v>
          </cell>
          <cell r="M82">
            <v>0.92772030000000005</v>
          </cell>
          <cell r="N82">
            <v>0.93239059000000002</v>
          </cell>
          <cell r="O82">
            <v>0.93250069999999996</v>
          </cell>
          <cell r="P82">
            <v>0.93510013000000003</v>
          </cell>
          <cell r="Q82">
            <v>0.93961344999999996</v>
          </cell>
          <cell r="R82">
            <v>0.94349905000000001</v>
          </cell>
          <cell r="S82">
            <v>0.94070392000000003</v>
          </cell>
          <cell r="T82">
            <v>0.93899975999999996</v>
          </cell>
          <cell r="U82">
            <v>0.93448116999999997</v>
          </cell>
          <cell r="V82">
            <v>0.93299999</v>
          </cell>
          <cell r="W82">
            <v>0.93350305</v>
          </cell>
          <cell r="X82">
            <v>0.92700132000000002</v>
          </cell>
          <cell r="Y82">
            <v>0.94389763000000004</v>
          </cell>
          <cell r="Z82">
            <v>0.93902090999999999</v>
          </cell>
          <cell r="AA82">
            <v>0.93990052999999996</v>
          </cell>
          <cell r="AB82">
            <v>0.94600072999999996</v>
          </cell>
          <cell r="AC82">
            <v>0.94887743999999996</v>
          </cell>
          <cell r="AD82">
            <v>0.95105532999999998</v>
          </cell>
          <cell r="AE82">
            <v>0.95330499999999996</v>
          </cell>
          <cell r="AF82">
            <v>0.95379206000000005</v>
          </cell>
          <cell r="AG82">
            <v>0.95523243000000002</v>
          </cell>
          <cell r="AH82">
            <v>0.95099005999999997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1158.0000000000118</v>
          </cell>
          <cell r="E83">
            <v>0.86152421999999995</v>
          </cell>
          <cell r="F83">
            <v>0.85760093999999998</v>
          </cell>
          <cell r="G83">
            <v>0.85719984000000005</v>
          </cell>
          <cell r="H83">
            <v>0.85989353000000002</v>
          </cell>
          <cell r="I83">
            <v>0.86049958999999998</v>
          </cell>
          <cell r="J83">
            <v>0.86151814000000004</v>
          </cell>
          <cell r="K83">
            <v>0.85652286</v>
          </cell>
          <cell r="L83">
            <v>0.86367811999999999</v>
          </cell>
          <cell r="M83">
            <v>0.86280290000000004</v>
          </cell>
          <cell r="N83">
            <v>0.87285791999999995</v>
          </cell>
          <cell r="O83">
            <v>0.86693142000000001</v>
          </cell>
          <cell r="P83">
            <v>0.86667187999999995</v>
          </cell>
          <cell r="Q83">
            <v>0.87136194</v>
          </cell>
          <cell r="R83">
            <v>0.87697575999999999</v>
          </cell>
          <cell r="S83">
            <v>0.87514667000000002</v>
          </cell>
          <cell r="T83">
            <v>0.86999740000000003</v>
          </cell>
          <cell r="U83">
            <v>0.86500151000000003</v>
          </cell>
          <cell r="V83">
            <v>0.86473274</v>
          </cell>
          <cell r="W83">
            <v>0.86598136000000003</v>
          </cell>
          <cell r="X83">
            <v>0.86171622000000003</v>
          </cell>
          <cell r="Y83">
            <v>0.86541451999999996</v>
          </cell>
          <cell r="Z83">
            <v>0.86931402000000002</v>
          </cell>
          <cell r="AA83">
            <v>0.87141279999999999</v>
          </cell>
          <cell r="AB83">
            <v>0.87815365000000001</v>
          </cell>
          <cell r="AC83">
            <v>0.88050043</v>
          </cell>
          <cell r="AD83">
            <v>0.88067236000000004</v>
          </cell>
          <cell r="AE83">
            <v>0.88441829999999999</v>
          </cell>
          <cell r="AF83">
            <v>0.88300323999999997</v>
          </cell>
          <cell r="AG83">
            <v>0.88448967999999994</v>
          </cell>
          <cell r="AH83">
            <v>0.88075758000000004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1354.0000000006933</v>
          </cell>
          <cell r="E84">
            <v>0.83495582000000002</v>
          </cell>
          <cell r="F84">
            <v>0.82537579000000005</v>
          </cell>
          <cell r="G84">
            <v>0.82567805999999999</v>
          </cell>
          <cell r="H84">
            <v>0.82800059000000004</v>
          </cell>
          <cell r="I84">
            <v>0.82950376000000003</v>
          </cell>
          <cell r="J84">
            <v>0.82969842000000005</v>
          </cell>
          <cell r="K84">
            <v>0.83051870000000005</v>
          </cell>
          <cell r="L84">
            <v>0.83514820999999995</v>
          </cell>
          <cell r="M84">
            <v>0.83410556999999996</v>
          </cell>
          <cell r="N84">
            <v>0.83752722000000002</v>
          </cell>
          <cell r="O84">
            <v>0.83750807000000005</v>
          </cell>
          <cell r="P84">
            <v>0.83885191000000003</v>
          </cell>
          <cell r="Q84">
            <v>0.84329715000000005</v>
          </cell>
          <cell r="R84">
            <v>0.84746509999999997</v>
          </cell>
          <cell r="S84">
            <v>0.84432437000000005</v>
          </cell>
          <cell r="T84">
            <v>0.83948124000000002</v>
          </cell>
          <cell r="U84">
            <v>0.83591678999999997</v>
          </cell>
          <cell r="V84">
            <v>0.83509323999999996</v>
          </cell>
          <cell r="W84">
            <v>0.83445506999999997</v>
          </cell>
          <cell r="X84">
            <v>0.82875829999999995</v>
          </cell>
          <cell r="Y84">
            <v>0.83381693999999995</v>
          </cell>
          <cell r="Z84">
            <v>0.83934399000000004</v>
          </cell>
          <cell r="AA84">
            <v>0.84095662999999998</v>
          </cell>
          <cell r="AB84">
            <v>0.84350691</v>
          </cell>
          <cell r="AC84">
            <v>0.84900076000000002</v>
          </cell>
          <cell r="AD84">
            <v>0.85112491000000001</v>
          </cell>
          <cell r="AE84">
            <v>0.85408600999999995</v>
          </cell>
          <cell r="AF84">
            <v>0.85580181</v>
          </cell>
          <cell r="AG84">
            <v>0.85712043000000004</v>
          </cell>
          <cell r="AH84">
            <v>0.85107635000000004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27.00000000000145</v>
          </cell>
          <cell r="E88">
            <v>7.3428646799999999</v>
          </cell>
          <cell r="F88">
            <v>7.3463832699999996</v>
          </cell>
          <cell r="G88">
            <v>7.3600377000000003</v>
          </cell>
          <cell r="H88">
            <v>7.3702412900000001</v>
          </cell>
          <cell r="I88">
            <v>7.3743616999999997</v>
          </cell>
          <cell r="J88">
            <v>7.3841549100000003</v>
          </cell>
          <cell r="K88">
            <v>7.3843011000000001</v>
          </cell>
          <cell r="L88">
            <v>7.3910363200000004</v>
          </cell>
          <cell r="M88">
            <v>7.4098863499999998</v>
          </cell>
          <cell r="N88">
            <v>7.4231243100000004</v>
          </cell>
          <cell r="O88">
            <v>7.4305012100000001</v>
          </cell>
          <cell r="P88">
            <v>7.4400009899999997</v>
          </cell>
          <cell r="Q88">
            <v>7.4690426600000004</v>
          </cell>
          <cell r="R88">
            <v>7.4653368599999999</v>
          </cell>
          <cell r="S88">
            <v>7.4649248400000001</v>
          </cell>
          <cell r="T88">
            <v>7.4690967199999996</v>
          </cell>
          <cell r="U88">
            <v>7.4671140899999999</v>
          </cell>
          <cell r="V88">
            <v>7.4670101000000004</v>
          </cell>
          <cell r="W88">
            <v>7.48145769</v>
          </cell>
          <cell r="X88">
            <v>7.48974151</v>
          </cell>
          <cell r="Y88">
            <v>7.4934627899999997</v>
          </cell>
          <cell r="Z88">
            <v>7.5064758600000001</v>
          </cell>
          <cell r="AA88">
            <v>7.5122978800000002</v>
          </cell>
          <cell r="AB88">
            <v>7.5248553400000002</v>
          </cell>
          <cell r="AC88">
            <v>7.5263488199999999</v>
          </cell>
          <cell r="AD88">
            <v>7.5319218799999996</v>
          </cell>
          <cell r="AE88">
            <v>7.5319371100000003</v>
          </cell>
          <cell r="AF88">
            <v>7.5350301000000002</v>
          </cell>
          <cell r="AG88">
            <v>7.5613662799999997</v>
          </cell>
          <cell r="AH88">
            <v>7.5624884000000003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16.999999999998749</v>
          </cell>
          <cell r="E89">
            <v>1.7110490199999999</v>
          </cell>
          <cell r="F89">
            <v>1.7129758799999999</v>
          </cell>
          <cell r="G89">
            <v>1.71424745</v>
          </cell>
          <cell r="H89">
            <v>1.7188257199999999</v>
          </cell>
          <cell r="I89">
            <v>1.72012101</v>
          </cell>
          <cell r="J89">
            <v>1.7213486099999999</v>
          </cell>
          <cell r="K89">
            <v>1.72089951</v>
          </cell>
          <cell r="L89">
            <v>1.7233353499999999</v>
          </cell>
          <cell r="M89">
            <v>1.7292725200000001</v>
          </cell>
          <cell r="N89">
            <v>1.7295143900000001</v>
          </cell>
          <cell r="O89">
            <v>1.73148294</v>
          </cell>
          <cell r="P89">
            <v>1.7325308100000001</v>
          </cell>
          <cell r="Q89">
            <v>1.7344470599999999</v>
          </cell>
          <cell r="R89">
            <v>1.73786379</v>
          </cell>
          <cell r="S89">
            <v>1.73849553</v>
          </cell>
          <cell r="T89">
            <v>1.7394463499999999</v>
          </cell>
          <cell r="U89">
            <v>1.7407000500000001</v>
          </cell>
          <cell r="V89">
            <v>1.74113399</v>
          </cell>
          <cell r="W89">
            <v>1.74380376</v>
          </cell>
          <cell r="X89">
            <v>1.7455524499999999</v>
          </cell>
          <cell r="Y89">
            <v>1.7463709199999999</v>
          </cell>
          <cell r="Z89">
            <v>1.7491407800000001</v>
          </cell>
          <cell r="AA89">
            <v>1.74910348</v>
          </cell>
          <cell r="AB89">
            <v>1.75417844</v>
          </cell>
          <cell r="AC89">
            <v>1.7542119599999999</v>
          </cell>
          <cell r="AD89">
            <v>1.7562446300000001</v>
          </cell>
          <cell r="AE89">
            <v>1.76067146</v>
          </cell>
          <cell r="AF89">
            <v>1.75702742</v>
          </cell>
          <cell r="AG89">
            <v>1.76167729</v>
          </cell>
          <cell r="AH89">
            <v>1.7623381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48.000000000015149</v>
          </cell>
          <cell r="E90">
            <v>1.2377929000000001</v>
          </cell>
          <cell r="F90">
            <v>1.2384295299999999</v>
          </cell>
          <cell r="G90">
            <v>1.2404261400000001</v>
          </cell>
          <cell r="H90">
            <v>1.24342201</v>
          </cell>
          <cell r="I90">
            <v>1.2448657999999999</v>
          </cell>
          <cell r="J90">
            <v>1.2462282225646</v>
          </cell>
          <cell r="K90">
            <v>1.2453557799999999</v>
          </cell>
          <cell r="L90">
            <v>1.2462244</v>
          </cell>
          <cell r="M90">
            <v>1.24903546</v>
          </cell>
          <cell r="N90">
            <v>1.25289889</v>
          </cell>
          <cell r="O90">
            <v>1.2540483200000001</v>
          </cell>
          <cell r="P90">
            <v>1.25687583</v>
          </cell>
          <cell r="Q90">
            <v>1.25794154</v>
          </cell>
          <cell r="R90">
            <v>1.2604560199999999</v>
          </cell>
          <cell r="S90">
            <v>1.26070404</v>
          </cell>
          <cell r="T90">
            <v>1.2606395699999999</v>
          </cell>
          <cell r="U90">
            <v>1.26129709</v>
          </cell>
          <cell r="V90">
            <v>1.2624856600000001</v>
          </cell>
          <cell r="W90">
            <v>1.2646537799999999</v>
          </cell>
          <cell r="X90">
            <v>1.26614878</v>
          </cell>
          <cell r="Y90">
            <v>1.2669357299999999</v>
          </cell>
          <cell r="Z90">
            <v>1.2695935</v>
          </cell>
          <cell r="AA90">
            <v>1.2704156900000001</v>
          </cell>
          <cell r="AB90">
            <v>1.27322231</v>
          </cell>
          <cell r="AC90">
            <v>1.27487241</v>
          </cell>
          <cell r="AD90">
            <v>1.2755211200000001</v>
          </cell>
          <cell r="AE90">
            <v>1.27552815</v>
          </cell>
          <cell r="AF90">
            <v>1.2763398500000001</v>
          </cell>
          <cell r="AG90">
            <v>1.27997136</v>
          </cell>
          <cell r="AH90">
            <v>1.2802404700000001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62.9999999999973</v>
          </cell>
          <cell r="E91">
            <v>3.0001798000000002</v>
          </cell>
          <cell r="F91">
            <v>3.0040705499999998</v>
          </cell>
          <cell r="G91">
            <v>3.01332296</v>
          </cell>
          <cell r="H91">
            <v>3.01687941</v>
          </cell>
          <cell r="I91">
            <v>3.0234313099999999</v>
          </cell>
          <cell r="J91">
            <v>3.0272990700000002</v>
          </cell>
          <cell r="K91">
            <v>3.02203584</v>
          </cell>
          <cell r="L91">
            <v>3.0235077399999999</v>
          </cell>
          <cell r="M91">
            <v>3.0391817799999998</v>
          </cell>
          <cell r="N91">
            <v>3.0435611800000002</v>
          </cell>
          <cell r="O91">
            <v>3.0464289600000001</v>
          </cell>
          <cell r="P91">
            <v>3.0536093900000001</v>
          </cell>
          <cell r="Q91">
            <v>3.0573972999999999</v>
          </cell>
          <cell r="R91">
            <v>3.0617689100000001</v>
          </cell>
          <cell r="S91">
            <v>3.0614333399999998</v>
          </cell>
          <cell r="T91">
            <v>3.0622488699999999</v>
          </cell>
          <cell r="U91">
            <v>3.06077785</v>
          </cell>
          <cell r="V91">
            <v>3.0656918499999999</v>
          </cell>
          <cell r="W91">
            <v>3.0743518299999999</v>
          </cell>
          <cell r="X91">
            <v>3.0761114699999998</v>
          </cell>
          <cell r="Y91">
            <v>3.07592322</v>
          </cell>
          <cell r="Z91">
            <v>3.0835721399999998</v>
          </cell>
          <cell r="AA91">
            <v>3.0890758300000001</v>
          </cell>
          <cell r="AB91">
            <v>3.09342907</v>
          </cell>
          <cell r="AC91">
            <v>3.0951499500000001</v>
          </cell>
          <cell r="AD91">
            <v>3.1182731800000001</v>
          </cell>
          <cell r="AE91">
            <v>3.1038920844220499</v>
          </cell>
          <cell r="AF91">
            <v>3.1141372199999999</v>
          </cell>
          <cell r="AG91">
            <v>3.10932714</v>
          </cell>
          <cell r="AH91">
            <v>3.1112957200000002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107.99999999995104</v>
          </cell>
          <cell r="E92">
            <v>0.98939814999999998</v>
          </cell>
          <cell r="F92">
            <v>0.99174496000000001</v>
          </cell>
          <cell r="G92">
            <v>0.99424604999999999</v>
          </cell>
          <cell r="H92">
            <v>0.99898215999999995</v>
          </cell>
          <cell r="I92">
            <v>0.99773075</v>
          </cell>
          <cell r="J92">
            <v>0.99844274</v>
          </cell>
          <cell r="K92">
            <v>0.99758399999999992</v>
          </cell>
          <cell r="L92">
            <v>0.99770473999999998</v>
          </cell>
          <cell r="M92">
            <v>1.00047303</v>
          </cell>
          <cell r="N92">
            <v>1.0060696</v>
          </cell>
          <cell r="O92">
            <v>1.0074688599999999</v>
          </cell>
          <cell r="P92">
            <v>1.0089119499999999</v>
          </cell>
          <cell r="Q92">
            <v>1.01114254</v>
          </cell>
          <cell r="R92">
            <v>1.0129376000000001</v>
          </cell>
          <cell r="S92">
            <v>1.0114465399999999</v>
          </cell>
          <cell r="T92">
            <v>1.01226349</v>
          </cell>
          <cell r="U92">
            <v>1.0113740099999999</v>
          </cell>
          <cell r="V92">
            <v>1.01355576</v>
          </cell>
          <cell r="W92">
            <v>1.0173794300000001</v>
          </cell>
          <cell r="X92">
            <v>1.01737356</v>
          </cell>
          <cell r="Y92">
            <v>1.01798637</v>
          </cell>
          <cell r="Z92">
            <v>1.0209493199999999</v>
          </cell>
          <cell r="AA92">
            <v>1.0234993400000001</v>
          </cell>
          <cell r="AB92">
            <v>1.0262334500000001</v>
          </cell>
          <cell r="AC92">
            <v>1.0272334599999999</v>
          </cell>
          <cell r="AD92">
            <v>1.0288155000000001</v>
          </cell>
          <cell r="AE92">
            <v>1.0285748800000001</v>
          </cell>
          <cell r="AF92">
            <v>1.0286919000000001</v>
          </cell>
          <cell r="AG92">
            <v>1.0299231099999999</v>
          </cell>
          <cell r="AH92">
            <v>1.0300585799999999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169.00000000002666</v>
          </cell>
          <cell r="E93">
            <v>2.2086097900000001</v>
          </cell>
          <cell r="F93">
            <v>2.2153725500000001</v>
          </cell>
          <cell r="G93">
            <v>2.2231346900000002</v>
          </cell>
          <cell r="H93">
            <v>2.2299652000000001</v>
          </cell>
          <cell r="I93">
            <v>2.2286354016455099</v>
          </cell>
          <cell r="J93">
            <v>2.2334185099999999</v>
          </cell>
          <cell r="K93">
            <v>2.2300583399999998</v>
          </cell>
          <cell r="L93">
            <v>2.2311563799999998</v>
          </cell>
          <cell r="M93">
            <v>2.2330431399999999</v>
          </cell>
          <cell r="N93">
            <v>2.2492210699999999</v>
          </cell>
          <cell r="O93">
            <v>2.25391955</v>
          </cell>
          <cell r="P93">
            <v>2.2590770199999999</v>
          </cell>
          <cell r="Q93">
            <v>2.26272363</v>
          </cell>
          <cell r="R93">
            <v>2.26824249</v>
          </cell>
          <cell r="S93">
            <v>2.2665992899999998</v>
          </cell>
          <cell r="T93">
            <v>2.2673387200000001</v>
          </cell>
          <cell r="U93">
            <v>2.2659505599999998</v>
          </cell>
          <cell r="V93">
            <v>2.2679458700000001</v>
          </cell>
          <cell r="W93">
            <v>2.26982996</v>
          </cell>
          <cell r="X93">
            <v>2.2728635499999998</v>
          </cell>
          <cell r="Y93">
            <v>2.27642597</v>
          </cell>
          <cell r="Z93">
            <v>2.2834274799999998</v>
          </cell>
          <cell r="AA93">
            <v>2.2889977699999999</v>
          </cell>
          <cell r="AB93">
            <v>2.2977661999999999</v>
          </cell>
          <cell r="AC93">
            <v>2.3035683100000002</v>
          </cell>
          <cell r="AD93">
            <v>2.3079217999999999</v>
          </cell>
          <cell r="AE93">
            <v>2.3112750000000002</v>
          </cell>
          <cell r="AF93">
            <v>2.3111670800000002</v>
          </cell>
          <cell r="AG93">
            <v>2.31549658</v>
          </cell>
          <cell r="AH93">
            <v>2.3164136499999999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198.99999999996174</v>
          </cell>
          <cell r="E94">
            <v>1.2169272499999999</v>
          </cell>
          <cell r="F94">
            <v>1.2199578900000001</v>
          </cell>
          <cell r="G94">
            <v>1.22347926</v>
          </cell>
          <cell r="H94">
            <v>1.229144</v>
          </cell>
          <cell r="I94">
            <v>1.2303535999999999</v>
          </cell>
          <cell r="J94">
            <v>1.23</v>
          </cell>
          <cell r="K94">
            <v>1.2315876800000001</v>
          </cell>
          <cell r="L94">
            <v>1.2250563999999999</v>
          </cell>
          <cell r="M94">
            <v>1.23002079</v>
          </cell>
          <cell r="N94">
            <v>1.24151338</v>
          </cell>
          <cell r="O94">
            <v>1.24550297</v>
          </cell>
          <cell r="P94">
            <v>1.2507881199999999</v>
          </cell>
          <cell r="Q94">
            <v>1.2501676100000001</v>
          </cell>
          <cell r="R94">
            <v>1.2505011100000001</v>
          </cell>
          <cell r="S94">
            <v>1.2535023700000001</v>
          </cell>
          <cell r="T94">
            <v>1.25192474</v>
          </cell>
          <cell r="U94">
            <v>1.2503633599999999</v>
          </cell>
          <cell r="V94">
            <v>1.2430008400000001</v>
          </cell>
          <cell r="W94">
            <v>1.2490924465058999</v>
          </cell>
          <cell r="X94">
            <v>1.25957461</v>
          </cell>
          <cell r="Y94">
            <v>1.2490000000000001</v>
          </cell>
          <cell r="Z94">
            <v>1.2612042400000001</v>
          </cell>
          <cell r="AA94">
            <v>1.26743049</v>
          </cell>
          <cell r="AB94">
            <v>1.2653342400000001</v>
          </cell>
          <cell r="AC94">
            <v>1.2798166900000001</v>
          </cell>
          <cell r="AD94">
            <v>1.2722120800000001</v>
          </cell>
          <cell r="AE94">
            <v>1.2782489500000001</v>
          </cell>
          <cell r="AF94">
            <v>1.277136</v>
          </cell>
          <cell r="AG94">
            <v>1.27508665</v>
          </cell>
          <cell r="AH94">
            <v>1.2767506399999999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230.00000000006941</v>
          </cell>
          <cell r="E95">
            <v>1.1956410099999999</v>
          </cell>
          <cell r="F95">
            <v>1.2075260000000001</v>
          </cell>
          <cell r="G95">
            <v>1.20153475</v>
          </cell>
          <cell r="H95">
            <v>1.2075780599999999</v>
          </cell>
          <cell r="I95">
            <v>1.2105391999999999</v>
          </cell>
          <cell r="J95">
            <v>1.2125095699999999</v>
          </cell>
          <cell r="K95">
            <v>1.2110000000000001</v>
          </cell>
          <cell r="L95">
            <v>1.2090000000000001</v>
          </cell>
          <cell r="M95">
            <v>1.2105345000000001</v>
          </cell>
          <cell r="N95">
            <v>1.2153985300000001</v>
          </cell>
          <cell r="O95">
            <v>1.22277905</v>
          </cell>
          <cell r="P95">
            <v>1.22891895</v>
          </cell>
          <cell r="Q95">
            <v>1.23183869</v>
          </cell>
          <cell r="R95">
            <v>1.2382925</v>
          </cell>
          <cell r="S95">
            <v>1.2340932099999999</v>
          </cell>
          <cell r="T95">
            <v>1.2315646899999999</v>
          </cell>
          <cell r="U95">
            <v>1.2301632499999999</v>
          </cell>
          <cell r="V95">
            <v>1.2290459600000001</v>
          </cell>
          <cell r="W95">
            <v>1.22755076</v>
          </cell>
          <cell r="X95">
            <v>1.23092727</v>
          </cell>
          <cell r="Y95">
            <v>1.22842539</v>
          </cell>
          <cell r="Z95">
            <v>1.2336243200000001</v>
          </cell>
          <cell r="AA95">
            <v>1.2413334300000001</v>
          </cell>
          <cell r="AB95">
            <v>1.2449642299999999</v>
          </cell>
          <cell r="AC95">
            <v>1.24899917</v>
          </cell>
          <cell r="AD95">
            <v>1.2497534400000001</v>
          </cell>
          <cell r="AE95">
            <v>1.2525073600000001</v>
          </cell>
          <cell r="AF95">
            <v>1.2515807800000001</v>
          </cell>
          <cell r="AG95">
            <v>1.25329863</v>
          </cell>
          <cell r="AH95">
            <v>1.25503353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259.99999999997897</v>
          </cell>
          <cell r="E96">
            <v>3.9192279999999999</v>
          </cell>
          <cell r="F96">
            <v>3.9397009000000001</v>
          </cell>
          <cell r="G96">
            <v>3.95347932</v>
          </cell>
          <cell r="H96">
            <v>3.9560157</v>
          </cell>
          <cell r="I96">
            <v>3.9592439100000001</v>
          </cell>
          <cell r="J96">
            <v>3.9737443400000001</v>
          </cell>
          <cell r="K96">
            <v>3.9671134600000002</v>
          </cell>
          <cell r="L96">
            <v>3.9624615599999999</v>
          </cell>
          <cell r="M96">
            <v>3.9727677400000001</v>
          </cell>
          <cell r="N96">
            <v>3.9954635999999999</v>
          </cell>
          <cell r="O96">
            <v>4.0055003100000004</v>
          </cell>
          <cell r="P96">
            <v>4.0296776000000003</v>
          </cell>
          <cell r="Q96">
            <v>4.04088227</v>
          </cell>
          <cell r="R96">
            <v>4.06846934</v>
          </cell>
          <cell r="S96">
            <v>4.0488869200000002</v>
          </cell>
          <cell r="T96">
            <v>4.0369820399999998</v>
          </cell>
          <cell r="U96">
            <v>4.03251793</v>
          </cell>
          <cell r="V96">
            <v>4.0260275500000002</v>
          </cell>
          <cell r="W96">
            <v>4.0183252899999999</v>
          </cell>
          <cell r="X96">
            <v>4.0270874499999998</v>
          </cell>
          <cell r="Y96">
            <v>4.0389832800000001</v>
          </cell>
          <cell r="Z96">
            <v>4.0563561100000003</v>
          </cell>
          <cell r="AA96">
            <v>4.0714517199999998</v>
          </cell>
          <cell r="AB96">
            <v>4.0712235899999998</v>
          </cell>
          <cell r="AC96">
            <v>4.0846097800000001</v>
          </cell>
          <cell r="AD96">
            <v>4.0900729399999998</v>
          </cell>
          <cell r="AE96">
            <v>4.0877081000000004</v>
          </cell>
          <cell r="AF96">
            <v>4.0897800000000002</v>
          </cell>
          <cell r="AG96">
            <v>4.0949929899999997</v>
          </cell>
          <cell r="AH96">
            <v>4.1012386899999997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351.99999999986289</v>
          </cell>
          <cell r="E97">
            <v>1.0554169200000001</v>
          </cell>
          <cell r="F97">
            <v>1.06018006</v>
          </cell>
          <cell r="G97">
            <v>1.06392252</v>
          </cell>
          <cell r="H97">
            <v>1.06240014</v>
          </cell>
          <cell r="I97">
            <v>1.06670227</v>
          </cell>
          <cell r="J97">
            <v>1.0699077699999999</v>
          </cell>
          <cell r="K97">
            <v>1.07131902</v>
          </cell>
          <cell r="L97">
            <v>1.07057322</v>
          </cell>
          <cell r="M97">
            <v>1.0724868999999999</v>
          </cell>
          <cell r="N97">
            <v>1.0798349599999999</v>
          </cell>
          <cell r="O97">
            <v>1.08376608</v>
          </cell>
          <cell r="P97">
            <v>1.08542724</v>
          </cell>
          <cell r="Q97">
            <v>1.0868773700000001</v>
          </cell>
          <cell r="R97">
            <v>1.09412336</v>
          </cell>
          <cell r="S97">
            <v>1.0912360800000001</v>
          </cell>
          <cell r="T97">
            <v>1.09022766</v>
          </cell>
          <cell r="U97">
            <v>1.08565431</v>
          </cell>
          <cell r="V97">
            <v>1.0845895400000001</v>
          </cell>
          <cell r="W97">
            <v>1.0874581400000001</v>
          </cell>
          <cell r="X97">
            <v>1.08650355</v>
          </cell>
          <cell r="Y97">
            <v>1.0875773</v>
          </cell>
          <cell r="Z97">
            <v>1.0958050500000001</v>
          </cell>
          <cell r="AA97">
            <v>1.09885163</v>
          </cell>
          <cell r="AB97">
            <v>1.1042942</v>
          </cell>
          <cell r="AC97">
            <v>1.1067425900000001</v>
          </cell>
          <cell r="AD97">
            <v>1.10909236</v>
          </cell>
          <cell r="AE97">
            <v>1.1035054900000001</v>
          </cell>
          <cell r="AF97">
            <v>1.1120949499999999</v>
          </cell>
          <cell r="AG97">
            <v>1.1091593099999999</v>
          </cell>
          <cell r="AH97">
            <v>1.11720251</v>
          </cell>
        </row>
        <row r="98">
          <cell r="A98" t="str">
            <v>TZXD7</v>
          </cell>
          <cell r="B98" t="str">
            <v>TZXD7ARS</v>
          </cell>
          <cell r="C98" t="str">
            <v>Soberano - Tasa Fija Pesos CER</v>
          </cell>
          <cell r="D98">
            <v>428.00000000003018</v>
          </cell>
          <cell r="E98">
            <v>2.7365963</v>
          </cell>
          <cell r="F98">
            <v>2.7450368699999999</v>
          </cell>
          <cell r="G98">
            <v>2.7662631000000002</v>
          </cell>
          <cell r="H98">
            <v>2.77454657</v>
          </cell>
          <cell r="I98">
            <v>2.7727776300000002</v>
          </cell>
          <cell r="J98">
            <v>2.7747475000000001</v>
          </cell>
          <cell r="K98">
            <v>2.77602612</v>
          </cell>
          <cell r="L98">
            <v>2.77856719</v>
          </cell>
          <cell r="M98">
            <v>2.78118219</v>
          </cell>
          <cell r="N98">
            <v>2.7951102799999998</v>
          </cell>
          <cell r="O98">
            <v>2.7979867999999999</v>
          </cell>
          <cell r="P98">
            <v>2.80544482</v>
          </cell>
          <cell r="Q98">
            <v>2.8111962400000001</v>
          </cell>
          <cell r="R98">
            <v>2.8276915100000002</v>
          </cell>
          <cell r="S98">
            <v>2.8189234999999999</v>
          </cell>
          <cell r="T98">
            <v>2.8217393400000002</v>
          </cell>
          <cell r="U98">
            <v>2.8086446700000001</v>
          </cell>
          <cell r="V98">
            <v>2.80214702</v>
          </cell>
          <cell r="W98">
            <v>2.8026975099999998</v>
          </cell>
          <cell r="X98">
            <v>2.80312977</v>
          </cell>
          <cell r="Y98">
            <v>2.80618664</v>
          </cell>
          <cell r="Z98">
            <v>2.81384736</v>
          </cell>
          <cell r="AA98">
            <v>2.81221086</v>
          </cell>
          <cell r="AB98">
            <v>2.8366361900000001</v>
          </cell>
          <cell r="AC98">
            <v>2.8418500999999998</v>
          </cell>
          <cell r="AD98">
            <v>2.84846975</v>
          </cell>
          <cell r="AE98">
            <v>2.8522193200000001</v>
          </cell>
          <cell r="AF98">
            <v>2.8454391299999999</v>
          </cell>
          <cell r="AG98">
            <v>2.8527074699999999</v>
          </cell>
          <cell r="AH98">
            <v>2.8698494600000002</v>
          </cell>
        </row>
        <row r="99">
          <cell r="A99" t="str">
            <v>TZXS8</v>
          </cell>
          <cell r="B99" t="str">
            <v>TZXS8ARS</v>
          </cell>
          <cell r="C99" t="str">
            <v>Soberano - Tasa Fija Pesos CER</v>
          </cell>
          <cell r="D99">
            <v>716.99999999978627</v>
          </cell>
          <cell r="E99">
            <v>0.94147897000000003</v>
          </cell>
          <cell r="F99">
            <v>0.94617130999999999</v>
          </cell>
          <cell r="G99">
            <v>0.94820583999999997</v>
          </cell>
          <cell r="H99">
            <v>0.95485624999999996</v>
          </cell>
          <cell r="I99">
            <v>0.95433783999999999</v>
          </cell>
          <cell r="J99">
            <v>0.95401119999999995</v>
          </cell>
          <cell r="K99">
            <v>0.95434744000000005</v>
          </cell>
          <cell r="L99">
            <v>0.95774890999999995</v>
          </cell>
          <cell r="M99">
            <v>0.96326560000000006</v>
          </cell>
          <cell r="N99">
            <v>0.95991720999999997</v>
          </cell>
          <cell r="O99">
            <v>0.96083496999999995</v>
          </cell>
          <cell r="P99">
            <v>0.96021745000000003</v>
          </cell>
          <cell r="Q99">
            <v>0.96174888999999997</v>
          </cell>
          <cell r="R99">
            <v>0.96605881000000005</v>
          </cell>
          <cell r="S99">
            <v>0.96269274000000005</v>
          </cell>
          <cell r="T99">
            <v>0.96056953</v>
          </cell>
          <cell r="U99">
            <v>0.95736805000000003</v>
          </cell>
          <cell r="V99">
            <v>0.95299942000000004</v>
          </cell>
          <cell r="W99">
            <v>0.95242667999999997</v>
          </cell>
          <cell r="X99">
            <v>0.94742775000000001</v>
          </cell>
          <cell r="Y99">
            <v>0.94980147000000004</v>
          </cell>
          <cell r="Z99">
            <v>0.95102474999999997</v>
          </cell>
          <cell r="AA99">
            <v>0.95454327999999999</v>
          </cell>
          <cell r="AB99">
            <v>0.95990352999999995</v>
          </cell>
          <cell r="AC99">
            <v>0.96376781</v>
          </cell>
          <cell r="AD99">
            <v>0.97697509000000005</v>
          </cell>
          <cell r="AE99">
            <v>0.97870531999999999</v>
          </cell>
          <cell r="AF99">
            <v>0.97865988999999998</v>
          </cell>
          <cell r="AG99">
            <v>0.98127425999999995</v>
          </cell>
          <cell r="AH99">
            <v>0.98119071000000002</v>
          </cell>
        </row>
        <row r="100">
          <cell r="A100" t="str">
            <v>TZX28</v>
          </cell>
          <cell r="B100" t="str">
            <v>TZX28ARS</v>
          </cell>
          <cell r="C100" t="str">
            <v>Soberano - Tasa Fija Pesos CER</v>
          </cell>
          <cell r="D100">
            <v>625.99999999995441</v>
          </cell>
          <cell r="E100">
            <v>3.4921396699999998</v>
          </cell>
          <cell r="F100">
            <v>3.4843338699999999</v>
          </cell>
          <cell r="G100">
            <v>3.5025064800000001</v>
          </cell>
          <cell r="H100">
            <v>3.5215070800000001</v>
          </cell>
          <cell r="I100">
            <v>3.5263780200000001</v>
          </cell>
          <cell r="J100">
            <v>3.52532947</v>
          </cell>
          <cell r="K100">
            <v>3.5235562300000001</v>
          </cell>
          <cell r="L100">
            <v>3.5261192399999999</v>
          </cell>
          <cell r="M100">
            <v>3.53409124</v>
          </cell>
          <cell r="N100">
            <v>3.5398861899999998</v>
          </cell>
          <cell r="O100">
            <v>3.5457108900000001</v>
          </cell>
          <cell r="P100">
            <v>3.54944375</v>
          </cell>
          <cell r="Q100">
            <v>3.5525551000000002</v>
          </cell>
          <cell r="R100">
            <v>3.5659050699999999</v>
          </cell>
          <cell r="S100">
            <v>3.55148471</v>
          </cell>
          <cell r="T100">
            <v>3.54825232</v>
          </cell>
          <cell r="U100">
            <v>3.5306894400000002</v>
          </cell>
          <cell r="V100">
            <v>3.5292471399999998</v>
          </cell>
          <cell r="W100">
            <v>3.5210649300000001</v>
          </cell>
          <cell r="X100">
            <v>3.4981521799999999</v>
          </cell>
          <cell r="Y100">
            <v>3.5024802199999998</v>
          </cell>
          <cell r="Z100">
            <v>3.5213127499999999</v>
          </cell>
          <cell r="AA100">
            <v>3.5458695200000001</v>
          </cell>
          <cell r="AB100">
            <v>3.5653664699999998</v>
          </cell>
          <cell r="AC100">
            <v>3.5836530400000002</v>
          </cell>
          <cell r="AD100">
            <v>3.5942459100000002</v>
          </cell>
          <cell r="AE100">
            <v>3.60908367</v>
          </cell>
          <cell r="AF100">
            <v>3.5901815899999998</v>
          </cell>
          <cell r="AG100">
            <v>3.6190726799999999</v>
          </cell>
          <cell r="AH100">
            <v>3.6202291299999998</v>
          </cell>
        </row>
        <row r="101">
          <cell r="A101" t="str">
            <v>TZXM8</v>
          </cell>
          <cell r="B101" t="str">
            <v>TZXM8ARS</v>
          </cell>
          <cell r="C101" t="str">
            <v>Soberano - Tasa Fija Pesos CER</v>
          </cell>
          <cell r="D101">
            <v>535.000000000108</v>
          </cell>
          <cell r="E101">
            <v>0.98462492999999995</v>
          </cell>
          <cell r="F101">
            <v>0.98965554</v>
          </cell>
          <cell r="G101">
            <v>0.99389375999999996</v>
          </cell>
          <cell r="H101">
            <v>0.99664874000000003</v>
          </cell>
          <cell r="I101">
            <v>1.00077923</v>
          </cell>
          <cell r="J101">
            <v>1.0014864000000001</v>
          </cell>
          <cell r="K101">
            <v>0.99432229999999999</v>
          </cell>
          <cell r="L101">
            <v>0.99773951999999999</v>
          </cell>
          <cell r="M101">
            <v>1.0038384300000001</v>
          </cell>
          <cell r="N101">
            <v>1.0104774599999999</v>
          </cell>
          <cell r="O101">
            <v>1.01221052</v>
          </cell>
          <cell r="P101">
            <v>1.01070887</v>
          </cell>
          <cell r="Q101">
            <v>1.01249962</v>
          </cell>
          <cell r="R101">
            <v>1.01142369</v>
          </cell>
          <cell r="S101">
            <v>1.0102765199999999</v>
          </cell>
          <cell r="T101">
            <v>1.0082704199999999</v>
          </cell>
          <cell r="U101">
            <v>1.0065568600000001</v>
          </cell>
          <cell r="V101">
            <v>1.0079999100000001</v>
          </cell>
          <cell r="W101">
            <v>1.0075546</v>
          </cell>
          <cell r="X101">
            <v>1.0020427199999999</v>
          </cell>
          <cell r="Y101">
            <v>1.00336245</v>
          </cell>
          <cell r="Z101">
            <v>1.0099486099999999</v>
          </cell>
          <cell r="AA101">
            <v>1.00892969</v>
          </cell>
          <cell r="AB101">
            <v>1.0188324900000001</v>
          </cell>
          <cell r="AC101">
            <v>1.0229919999999999</v>
          </cell>
          <cell r="AD101">
            <v>1.02450017</v>
          </cell>
          <cell r="AE101">
            <v>1.0227945199999999</v>
          </cell>
          <cell r="AF101">
            <v>1.02891296</v>
          </cell>
          <cell r="AG101">
            <v>1.03091176</v>
          </cell>
          <cell r="AH101">
            <v>1.0318006099999999</v>
          </cell>
        </row>
        <row r="102">
          <cell r="A102" t="str">
            <v>TZXD8</v>
          </cell>
          <cell r="B102" t="str">
            <v>TZXD8ARS</v>
          </cell>
          <cell r="C102" t="str">
            <v>Soberano - Tasa Fija Pesos CER</v>
          </cell>
          <cell r="D102">
            <v>794.00000000022453</v>
          </cell>
          <cell r="E102">
            <v>0.84541480000000002</v>
          </cell>
          <cell r="F102">
            <v>0.84727984999999995</v>
          </cell>
          <cell r="G102">
            <v>0.84611658999999995</v>
          </cell>
          <cell r="H102">
            <v>0.84228281999999999</v>
          </cell>
          <cell r="I102">
            <v>0.85245219000000005</v>
          </cell>
          <cell r="J102">
            <v>0.85738300000000001</v>
          </cell>
          <cell r="K102">
            <v>0.85960197999999999</v>
          </cell>
          <cell r="L102">
            <v>0.86547472000000003</v>
          </cell>
          <cell r="M102">
            <v>0.86435088999999998</v>
          </cell>
          <cell r="N102">
            <v>0.85764101000000004</v>
          </cell>
          <cell r="O102">
            <v>0.86544515</v>
          </cell>
          <cell r="P102">
            <v>0.86519363000000005</v>
          </cell>
          <cell r="Q102">
            <v>0.86538530000000002</v>
          </cell>
          <cell r="R102">
            <v>0.86416607000000001</v>
          </cell>
          <cell r="S102">
            <v>0.86354116999999997</v>
          </cell>
          <cell r="T102">
            <v>0.86381308999999995</v>
          </cell>
          <cell r="U102">
            <v>0.85399983999999995</v>
          </cell>
          <cell r="V102">
            <v>0.85579757000000001</v>
          </cell>
          <cell r="W102">
            <v>0.85298799000000003</v>
          </cell>
          <cell r="X102">
            <v>0.85037492000000003</v>
          </cell>
          <cell r="Y102">
            <v>0.84750000000000003</v>
          </cell>
          <cell r="Z102">
            <v>0.84847760000000005</v>
          </cell>
          <cell r="AA102">
            <v>0.85389999999999999</v>
          </cell>
          <cell r="AB102">
            <v>0.85999998</v>
          </cell>
          <cell r="AC102">
            <v>0.86281226</v>
          </cell>
          <cell r="AD102">
            <v>0.86971883999999999</v>
          </cell>
          <cell r="AE102">
            <v>0.86950000000000005</v>
          </cell>
          <cell r="AF102">
            <v>0.87400001999999999</v>
          </cell>
          <cell r="AG102">
            <v>0.87699309000000003</v>
          </cell>
          <cell r="AH102">
            <v>0.87646520000000006</v>
          </cell>
        </row>
        <row r="103">
          <cell r="A103" t="str">
            <v>TZXM9</v>
          </cell>
          <cell r="B103" t="str">
            <v>TZXM9ARS</v>
          </cell>
          <cell r="C103" t="str">
            <v>Soberano - Tasa Fija Pesos CER</v>
          </cell>
          <cell r="D103">
            <v>897.00000000038233</v>
          </cell>
          <cell r="E103">
            <v>0.89746229</v>
          </cell>
          <cell r="F103">
            <v>0.89950295000000002</v>
          </cell>
          <cell r="G103">
            <v>0.90182410999999996</v>
          </cell>
          <cell r="H103">
            <v>0.90212329000000002</v>
          </cell>
          <cell r="I103">
            <v>0.90394540000000001</v>
          </cell>
          <cell r="J103">
            <v>0.90346199999999999</v>
          </cell>
          <cell r="K103">
            <v>0.90215699999999999</v>
          </cell>
          <cell r="L103">
            <v>0.90225399999999989</v>
          </cell>
          <cell r="M103">
            <v>0.91088243999999996</v>
          </cell>
          <cell r="N103">
            <v>0.90560399999999996</v>
          </cell>
          <cell r="O103">
            <v>0.91167056999999996</v>
          </cell>
          <cell r="P103">
            <v>0.91138876000000002</v>
          </cell>
          <cell r="Q103">
            <v>0.91651806000000002</v>
          </cell>
          <cell r="R103">
            <v>0.91501774000000002</v>
          </cell>
          <cell r="S103">
            <v>0.91313078999999997</v>
          </cell>
          <cell r="T103">
            <v>0.91078313</v>
          </cell>
          <cell r="U103">
            <v>0.90442175000000002</v>
          </cell>
          <cell r="V103">
            <v>0.90100000000000002</v>
          </cell>
          <cell r="W103">
            <v>0.89999985999999998</v>
          </cell>
          <cell r="X103">
            <v>0.89292006000000002</v>
          </cell>
          <cell r="Y103">
            <v>0.90017891999999999</v>
          </cell>
          <cell r="Z103">
            <v>0.89803794999999997</v>
          </cell>
          <cell r="AA103">
            <v>0.90952962000000004</v>
          </cell>
          <cell r="AB103">
            <v>0.91112943999999996</v>
          </cell>
          <cell r="AC103">
            <v>0.91286754999999997</v>
          </cell>
          <cell r="AD103">
            <v>0.92161550000000003</v>
          </cell>
          <cell r="AE103">
            <v>0.92601593000000004</v>
          </cell>
          <cell r="AF103">
            <v>0.93140000000000001</v>
          </cell>
          <cell r="AG103">
            <v>0.92910605999999996</v>
          </cell>
          <cell r="AH103">
            <v>0.93078998999999996</v>
          </cell>
        </row>
        <row r="104">
          <cell r="A104" t="str">
            <v>DICP</v>
          </cell>
          <cell r="B104" t="str">
            <v>DICPARS</v>
          </cell>
          <cell r="C104" t="str">
            <v>Soberano - Tasa Fija Pesos CER</v>
          </cell>
          <cell r="D104">
            <v>1112.0196748579447</v>
          </cell>
          <cell r="E104">
            <v>482.93661996999998</v>
          </cell>
          <cell r="F104">
            <v>484.58764000000002</v>
          </cell>
          <cell r="G104">
            <v>486.00863271999998</v>
          </cell>
          <cell r="H104">
            <v>488.75320825</v>
          </cell>
          <cell r="I104">
            <v>488.39254079</v>
          </cell>
          <cell r="J104">
            <v>489.45005200999998</v>
          </cell>
          <cell r="K104">
            <v>489.20459304000002</v>
          </cell>
          <cell r="L104">
            <v>490.09444208000002</v>
          </cell>
          <cell r="M104">
            <v>490.60060143999999</v>
          </cell>
          <cell r="N104">
            <v>489.93447097000001</v>
          </cell>
          <cell r="O104">
            <v>490.10877828000002</v>
          </cell>
          <cell r="P104">
            <v>488.68218890999998</v>
          </cell>
          <cell r="Q104">
            <v>490.70885447000001</v>
          </cell>
          <cell r="R104">
            <v>491.02798576999999</v>
          </cell>
          <cell r="S104">
            <v>490.27563300999998</v>
          </cell>
          <cell r="T104">
            <v>487.00366572000001</v>
          </cell>
          <cell r="U104">
            <v>486.26490913999999</v>
          </cell>
          <cell r="V104">
            <v>484.11419446999997</v>
          </cell>
          <cell r="W104">
            <v>484.39454919999997</v>
          </cell>
          <cell r="X104">
            <v>482.69613629000003</v>
          </cell>
          <cell r="Y104">
            <v>482.22144969999999</v>
          </cell>
          <cell r="Z104">
            <v>483.48432137999998</v>
          </cell>
          <cell r="AA104">
            <v>482.82814934999999</v>
          </cell>
          <cell r="AB104">
            <v>485.86275510000002</v>
          </cell>
          <cell r="AC104">
            <v>489.94758719999999</v>
          </cell>
          <cell r="AD104">
            <v>492.00095325000001</v>
          </cell>
          <cell r="AE104">
            <v>491.80371127000001</v>
          </cell>
          <cell r="AF104">
            <v>491.45094437</v>
          </cell>
          <cell r="AG104">
            <v>494.39902504999998</v>
          </cell>
          <cell r="AH104">
            <v>493.52011914000002</v>
          </cell>
        </row>
        <row r="105">
          <cell r="A105"/>
          <cell r="B105"/>
          <cell r="C105"/>
          <cell r="D105"/>
        </row>
        <row r="106">
          <cell r="A106" t="str">
            <v>Bonos Soberanos Dólar Linked</v>
          </cell>
          <cell r="B106"/>
          <cell r="C106"/>
          <cell r="D106"/>
        </row>
        <row r="107">
          <cell r="A107"/>
          <cell r="B107"/>
          <cell r="C107"/>
          <cell r="D107"/>
        </row>
        <row r="108">
          <cell r="A108" t="str">
            <v>D30O6</v>
          </cell>
          <cell r="B108" t="str">
            <v>D30O6ARS</v>
          </cell>
          <cell r="C108" t="str">
            <v>LeLink - Tasa Fija USD Link</v>
          </cell>
          <cell r="D108">
            <v>16.999999999998749</v>
          </cell>
          <cell r="E108">
            <v>1499.51944435</v>
          </cell>
          <cell r="F108">
            <v>1497.03891598</v>
          </cell>
          <cell r="G108">
            <v>1496.35715727</v>
          </cell>
          <cell r="H108">
            <v>1499</v>
          </cell>
          <cell r="I108">
            <v>1499.0000522</v>
          </cell>
          <cell r="J108">
            <v>1499.7738519100001</v>
          </cell>
          <cell r="K108">
            <v>1501.09862464</v>
          </cell>
          <cell r="L108">
            <v>1501.0000419999999</v>
          </cell>
          <cell r="M108">
            <v>1499.3438076499999</v>
          </cell>
          <cell r="N108">
            <v>1498.6531687199999</v>
          </cell>
          <cell r="O108">
            <v>1498.4364793499999</v>
          </cell>
          <cell r="P108">
            <v>1505.99964628</v>
          </cell>
          <cell r="Q108">
            <v>1501.65882225</v>
          </cell>
          <cell r="R108">
            <v>1507.0347972899999</v>
          </cell>
          <cell r="S108">
            <v>1507.4854746599999</v>
          </cell>
          <cell r="T108">
            <v>1509.0083141699999</v>
          </cell>
          <cell r="U108">
            <v>1508.4799084000001</v>
          </cell>
          <cell r="V108">
            <v>1510.43428511</v>
          </cell>
          <cell r="W108">
            <v>1518.74536115</v>
          </cell>
          <cell r="X108">
            <v>1518.1330587099999</v>
          </cell>
          <cell r="Y108">
            <v>1514.0305513799999</v>
          </cell>
          <cell r="Z108">
            <v>1513.95858563</v>
          </cell>
          <cell r="AA108">
            <v>1516.3591143900001</v>
          </cell>
          <cell r="AB108">
            <v>1515.7253859100001</v>
          </cell>
          <cell r="AC108">
            <v>1513.7168782900001</v>
          </cell>
          <cell r="AD108">
            <v>1513.25043723</v>
          </cell>
          <cell r="AE108">
            <v>1512.8833083</v>
          </cell>
          <cell r="AF108">
            <v>1512.5530781</v>
          </cell>
          <cell r="AG108">
            <v>1513.56546884</v>
          </cell>
          <cell r="AH108">
            <v>1510.6740583400001</v>
          </cell>
        </row>
        <row r="109">
          <cell r="A109" t="str">
            <v>D30N6</v>
          </cell>
          <cell r="B109" t="str">
            <v>D30N6ARS</v>
          </cell>
          <cell r="C109" t="str">
            <v>LeLink - Tasa Fija USD Link</v>
          </cell>
          <cell r="D109">
            <v>48.000000000000554</v>
          </cell>
          <cell r="O109">
            <v>1497.4926631000001</v>
          </cell>
          <cell r="P109">
            <v>1501.0778854</v>
          </cell>
          <cell r="Q109">
            <v>1505.90001347</v>
          </cell>
          <cell r="R109">
            <v>1502</v>
          </cell>
          <cell r="S109">
            <v>1504.3751230600001</v>
          </cell>
          <cell r="T109">
            <v>1512.17364142</v>
          </cell>
          <cell r="U109">
            <v>1505</v>
          </cell>
          <cell r="V109">
            <v>1508.05471558</v>
          </cell>
          <cell r="W109">
            <v>1513.9999997699999</v>
          </cell>
          <cell r="X109">
            <v>1513.77435668</v>
          </cell>
          <cell r="Y109">
            <v>1508.0033119</v>
          </cell>
          <cell r="Z109">
            <v>1508.7508115099999</v>
          </cell>
          <cell r="AA109">
            <v>1511.86801786</v>
          </cell>
          <cell r="AB109">
            <v>1512.4074718899999</v>
          </cell>
          <cell r="AC109">
            <v>1509.7487176</v>
          </cell>
          <cell r="AD109">
            <v>1509.8441895000001</v>
          </cell>
          <cell r="AE109">
            <v>1510.4829224299999</v>
          </cell>
          <cell r="AF109">
            <v>1507.7800651099999</v>
          </cell>
          <cell r="AG109">
            <v>1510.0003593399999</v>
          </cell>
          <cell r="AH109">
            <v>1510.3867922300001</v>
          </cell>
        </row>
        <row r="110">
          <cell r="A110"/>
          <cell r="B110"/>
          <cell r="C110"/>
          <cell r="D110"/>
        </row>
        <row r="111">
          <cell r="A111" t="str">
            <v>Bonos Soberanos Dólar Linked - TAMAR</v>
          </cell>
          <cell r="B111"/>
          <cell r="C111"/>
          <cell r="D111"/>
        </row>
        <row r="112">
          <cell r="A112"/>
          <cell r="B112"/>
          <cell r="C112"/>
          <cell r="D112"/>
        </row>
        <row r="113">
          <cell r="A113" t="str">
            <v>TMVE8</v>
          </cell>
          <cell r="B113" t="str">
            <v>TMVE8ARS</v>
          </cell>
          <cell r="C113" t="str">
            <v>TMVE8 - Z-Spread D</v>
          </cell>
          <cell r="D113">
            <v>472.00000000000114</v>
          </cell>
          <cell r="E113">
            <v>1383.83894102</v>
          </cell>
          <cell r="F113">
            <v>1385.52651844</v>
          </cell>
          <cell r="G113">
            <v>1389.20519188</v>
          </cell>
          <cell r="H113">
            <v>1392.6756683599999</v>
          </cell>
          <cell r="I113">
            <v>1396.6692707699999</v>
          </cell>
          <cell r="J113">
            <v>1400.9911666200001</v>
          </cell>
          <cell r="K113">
            <v>1403.27551619</v>
          </cell>
          <cell r="L113">
            <v>1403.13101521</v>
          </cell>
          <cell r="M113">
            <v>1404.1169746999999</v>
          </cell>
          <cell r="N113">
            <v>1406.05879353</v>
          </cell>
          <cell r="O113">
            <v>1408.2810076599999</v>
          </cell>
          <cell r="P113">
            <v>1411.73060566</v>
          </cell>
          <cell r="Q113">
            <v>1417.6735700500001</v>
          </cell>
          <cell r="R113">
            <v>1425.2875575</v>
          </cell>
          <cell r="S113">
            <v>1424.4759700100001</v>
          </cell>
          <cell r="T113">
            <v>1418.17798866</v>
          </cell>
          <cell r="U113">
            <v>1414.79678367</v>
          </cell>
          <cell r="V113">
            <v>1408.6687156400001</v>
          </cell>
          <cell r="W113">
            <v>1417.3547158700001</v>
          </cell>
          <cell r="X113">
            <v>1413.86696375</v>
          </cell>
          <cell r="Y113">
            <v>1416.9955318299999</v>
          </cell>
          <cell r="Z113">
            <v>1421.79102764</v>
          </cell>
          <cell r="AA113">
            <v>1424.30875844</v>
          </cell>
          <cell r="AB113">
            <v>1429.9763461299999</v>
          </cell>
          <cell r="AC113">
            <v>1432.3469475899999</v>
          </cell>
          <cell r="AD113">
            <v>1435.04689403</v>
          </cell>
          <cell r="AE113">
            <v>1436.22734943</v>
          </cell>
          <cell r="AF113">
            <v>1438.3300213800001</v>
          </cell>
          <cell r="AG113">
            <v>1437.2083255699999</v>
          </cell>
          <cell r="AH113">
            <v>1436.15407448</v>
          </cell>
        </row>
        <row r="114">
          <cell r="A114"/>
          <cell r="B114"/>
          <cell r="C114"/>
          <cell r="D114"/>
        </row>
        <row r="115">
          <cell r="A115" t="str">
            <v>Letras provinciales Cer</v>
          </cell>
          <cell r="B115"/>
          <cell r="C115"/>
          <cell r="D115"/>
        </row>
        <row r="116">
          <cell r="A116"/>
          <cell r="B116"/>
          <cell r="C116"/>
          <cell r="D116"/>
        </row>
        <row r="117">
          <cell r="A117" t="str">
            <v>COY27</v>
          </cell>
          <cell r="B117" t="str">
            <v>COY27ARS</v>
          </cell>
          <cell r="C117" t="str">
            <v>Subsoberano Tier 1 - Tasa Fija Pesos CER</v>
          </cell>
          <cell r="D117">
            <v>174.49599446029561</v>
          </cell>
          <cell r="E117">
            <v>2.2474917699999999</v>
          </cell>
          <cell r="F117">
            <v>2.2328946799999998</v>
          </cell>
          <cell r="G117">
            <v>2.2725652699999999</v>
          </cell>
          <cell r="H117">
            <v>2.2613666600000002</v>
          </cell>
          <cell r="I117">
            <v>2.27690218</v>
          </cell>
          <cell r="J117">
            <v>2.2440996900000001</v>
          </cell>
          <cell r="K117">
            <v>2.2669811900000001</v>
          </cell>
          <cell r="L117">
            <v>2.2602683099999998</v>
          </cell>
          <cell r="M117">
            <v>2.2643555000000002</v>
          </cell>
          <cell r="N117">
            <v>2.2715180899999998</v>
          </cell>
          <cell r="O117">
            <v>2.2685575899999999</v>
          </cell>
          <cell r="P117">
            <v>2.2878443800000001</v>
          </cell>
          <cell r="Q117">
            <v>2.2946915300000001</v>
          </cell>
          <cell r="R117">
            <v>2.3235000000000001</v>
          </cell>
          <cell r="S117">
            <v>2.29247684</v>
          </cell>
          <cell r="T117">
            <v>2.2969374899999999</v>
          </cell>
          <cell r="U117">
            <v>2.3093751</v>
          </cell>
          <cell r="V117">
            <v>2.3132835699999998</v>
          </cell>
          <cell r="W117">
            <v>2.3173200700000001</v>
          </cell>
          <cell r="X117">
            <v>2.3079792499999998</v>
          </cell>
          <cell r="Y117">
            <v>2.3150371199999999</v>
          </cell>
          <cell r="Z117">
            <v>2.3179436999999998</v>
          </cell>
          <cell r="AA117">
            <v>2.3338340500000001</v>
          </cell>
          <cell r="AB117">
            <v>2.3259488899999998</v>
          </cell>
          <cell r="AC117">
            <v>2.3315078699999998</v>
          </cell>
          <cell r="AD117">
            <v>2.3344347499999998</v>
          </cell>
          <cell r="AE117">
            <v>2.3320940299999999</v>
          </cell>
          <cell r="AF117">
            <v>2.3380614300000002</v>
          </cell>
          <cell r="AG117">
            <v>2.3396211299999998</v>
          </cell>
          <cell r="AH117">
            <v>2.3437330799999998</v>
          </cell>
        </row>
        <row r="118">
          <cell r="A118"/>
          <cell r="B118"/>
          <cell r="C118"/>
          <cell r="D118"/>
        </row>
        <row r="119">
          <cell r="A119" t="str">
            <v>Letras provinciales Tamar</v>
          </cell>
          <cell r="B119"/>
          <cell r="C119"/>
          <cell r="D119"/>
        </row>
        <row r="120">
          <cell r="A120"/>
          <cell r="B120"/>
          <cell r="C120"/>
          <cell r="D120"/>
        </row>
        <row r="121">
          <cell r="A121" t="str">
            <v>CO2D7</v>
          </cell>
          <cell r="B121" t="str">
            <v>CO2D7ARS</v>
          </cell>
          <cell r="C121" t="str">
            <v>Subsoberano Tier 1 - TAMAR TP</v>
          </cell>
          <cell r="D121">
            <v>324.00069768274585</v>
          </cell>
          <cell r="E121">
            <v>1.03308215</v>
          </cell>
          <cell r="F121">
            <v>1.03382186</v>
          </cell>
          <cell r="G121">
            <v>1.03965317</v>
          </cell>
          <cell r="H121">
            <v>0.96760265999999995</v>
          </cell>
          <cell r="I121">
            <v>0.96645249</v>
          </cell>
          <cell r="J121">
            <v>0.97578661</v>
          </cell>
          <cell r="K121">
            <v>0.97083865000000003</v>
          </cell>
          <cell r="L121">
            <v>0.96594263000000002</v>
          </cell>
          <cell r="M121">
            <v>0.96697259000000002</v>
          </cell>
          <cell r="N121">
            <v>0.97535727000000005</v>
          </cell>
          <cell r="O121">
            <v>0.97791994000000004</v>
          </cell>
          <cell r="P121">
            <v>0.97650881</v>
          </cell>
          <cell r="Q121">
            <v>0.98056949999999998</v>
          </cell>
          <cell r="R121">
            <v>0.98327165999999999</v>
          </cell>
          <cell r="S121">
            <v>0.98390599000000001</v>
          </cell>
          <cell r="T121">
            <v>0.99302853999999996</v>
          </cell>
          <cell r="U121">
            <v>0.99196251000000002</v>
          </cell>
          <cell r="V121">
            <v>0.99322730999999997</v>
          </cell>
          <cell r="W121">
            <v>0.99972415999999997</v>
          </cell>
          <cell r="X121">
            <v>0.98743170999999996</v>
          </cell>
          <cell r="Y121">
            <v>0.99584271999999996</v>
          </cell>
          <cell r="Z121">
            <v>1.0349999999999999</v>
          </cell>
          <cell r="AA121">
            <v>1.0227225099999999</v>
          </cell>
          <cell r="AB121">
            <v>1.0260071500000001</v>
          </cell>
          <cell r="AC121">
            <v>1.01698055</v>
          </cell>
          <cell r="AD121">
            <v>1.02274519</v>
          </cell>
          <cell r="AE121">
            <v>1.02170926</v>
          </cell>
          <cell r="AF121">
            <v>0.99186079000000005</v>
          </cell>
          <cell r="AG121">
            <v>0.99622913000000002</v>
          </cell>
          <cell r="AH121">
            <v>1.00682308</v>
          </cell>
        </row>
        <row r="122">
          <cell r="A122"/>
          <cell r="B122"/>
          <cell r="C122"/>
          <cell r="D122"/>
        </row>
        <row r="123">
          <cell r="A123" t="str">
            <v>Letras provinciales Hard USD</v>
          </cell>
          <cell r="B123"/>
          <cell r="C123"/>
          <cell r="D123"/>
        </row>
        <row r="124">
          <cell r="A124"/>
          <cell r="B124"/>
          <cell r="C124"/>
          <cell r="D124"/>
        </row>
        <row r="125">
          <cell r="A125" t="str">
            <v>SJO5D</v>
          </cell>
          <cell r="B125" t="str">
            <v>SJO5DUSM</v>
          </cell>
          <cell r="C125" t="str">
            <v>SJO35 - Z-Spread NY</v>
          </cell>
          <cell r="D125">
            <v>2104.6244167918499</v>
          </cell>
          <cell r="AC125">
            <v>1.1023022099999999</v>
          </cell>
          <cell r="AD125">
            <v>1.04622444</v>
          </cell>
          <cell r="AE125">
            <v>1.0140185100000001</v>
          </cell>
          <cell r="AF125">
            <v>1.0249420899999999</v>
          </cell>
          <cell r="AG125">
            <v>1.0304920399999999</v>
          </cell>
          <cell r="AH125">
            <v>1.0218382500000001</v>
          </cell>
        </row>
        <row r="126">
          <cell r="A126"/>
          <cell r="B126"/>
          <cell r="C126"/>
          <cell r="D126"/>
        </row>
        <row r="127">
          <cell r="A127" t="str">
            <v>SJO35</v>
          </cell>
          <cell r="B127" t="str">
            <v>SJO35ARS</v>
          </cell>
          <cell r="C127" t="str">
            <v>SJO35S - Z-Spread NY Pesos</v>
          </cell>
          <cell r="D127">
            <v>2083.2685870447694</v>
          </cell>
          <cell r="AA127">
            <v>1602.24</v>
          </cell>
          <cell r="AB127">
            <v>1593.98653448</v>
          </cell>
          <cell r="AC127">
            <v>1700.9780062100001</v>
          </cell>
          <cell r="AD127">
            <v>1612.52767939</v>
          </cell>
          <cell r="AE127">
            <v>1560.5110013399999</v>
          </cell>
          <cell r="AF127">
            <v>1574.9981769000001</v>
          </cell>
          <cell r="AG127">
            <v>1599.93038828</v>
          </cell>
          <cell r="AH127">
            <v>1589.6180757499999</v>
          </cell>
        </row>
        <row r="128">
          <cell r="A128"/>
          <cell r="B128"/>
          <cell r="C128"/>
          <cell r="D128"/>
        </row>
        <row r="129">
          <cell r="A129" t="str">
            <v>Obligaciones Negociables Baldar</v>
          </cell>
          <cell r="B129"/>
          <cell r="C129"/>
          <cell r="D129"/>
        </row>
        <row r="130">
          <cell r="A130"/>
          <cell r="B130"/>
          <cell r="C130"/>
          <cell r="D130"/>
        </row>
        <row r="131">
          <cell r="A131" t="str">
            <v>CH9BO</v>
          </cell>
          <cell r="B131" t="str">
            <v>CH9BOARS</v>
          </cell>
          <cell r="C131" t="e">
            <v>#N/A</v>
          </cell>
          <cell r="D131" t="e">
            <v>#N/A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>
            <v>1.0000000000000001E-9</v>
          </cell>
          <cell r="J131">
            <v>1.0000000000000001E-9</v>
          </cell>
          <cell r="K131">
            <v>1.0000000000000001E-9</v>
          </cell>
          <cell r="L131">
            <v>1.0000000000000001E-9</v>
          </cell>
          <cell r="M131">
            <v>1.0000000000000001E-9</v>
          </cell>
          <cell r="N131">
            <v>1.0000000000000001E-9</v>
          </cell>
          <cell r="O131">
            <v>1.0000000000000001E-9</v>
          </cell>
          <cell r="P131">
            <v>1.0000000000000001E-9</v>
          </cell>
          <cell r="Q131">
            <v>1.0000000000000001E-9</v>
          </cell>
          <cell r="R131">
            <v>1.0000000000000001E-9</v>
          </cell>
          <cell r="S131">
            <v>1.0000000000000001E-9</v>
          </cell>
          <cell r="T131">
            <v>1.0000000000000001E-9</v>
          </cell>
          <cell r="U131">
            <v>1.0000000000000001E-9</v>
          </cell>
          <cell r="V131">
            <v>1.0000000000000001E-9</v>
          </cell>
          <cell r="W131">
            <v>1.0000000000000001E-9</v>
          </cell>
          <cell r="X131">
            <v>1.0000000000000001E-9</v>
          </cell>
          <cell r="Y131">
            <v>1.0000000000000001E-9</v>
          </cell>
          <cell r="Z131">
            <v>1.0000000000000001E-9</v>
          </cell>
          <cell r="AA131">
            <v>1.0000000000000001E-9</v>
          </cell>
          <cell r="AB131">
            <v>1.0000000000000001E-9</v>
          </cell>
          <cell r="AC131">
            <v>1.0000000000000001E-9</v>
          </cell>
          <cell r="AD131">
            <v>1.0000000000000001E-9</v>
          </cell>
          <cell r="AE131">
            <v>1.0000000000000001E-9</v>
          </cell>
          <cell r="AF131">
            <v>1.0000000000000001E-9</v>
          </cell>
          <cell r="AG131">
            <v>1.0000000000000001E-9</v>
          </cell>
          <cell r="AH131">
            <v>1.0000000000000001E-9</v>
          </cell>
        </row>
        <row r="132">
          <cell r="A132" t="str">
            <v>DRSEO</v>
          </cell>
          <cell r="B132" t="str">
            <v>DRSEOARS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  <cell r="O132">
            <v>1.0000000000000001E-9</v>
          </cell>
          <cell r="P132">
            <v>1.0000000000000001E-9</v>
          </cell>
          <cell r="Q132">
            <v>1.0000000000000001E-9</v>
          </cell>
          <cell r="R132">
            <v>1.0000000000000001E-9</v>
          </cell>
          <cell r="S132">
            <v>1.0000000000000001E-9</v>
          </cell>
          <cell r="T132">
            <v>1.0000000000000001E-9</v>
          </cell>
          <cell r="U132">
            <v>1.0000000000000001E-9</v>
          </cell>
          <cell r="V132">
            <v>1.0000000000000001E-9</v>
          </cell>
          <cell r="W132">
            <v>1.0000000000000001E-9</v>
          </cell>
          <cell r="X132">
            <v>1.0000000000000001E-9</v>
          </cell>
          <cell r="Y132">
            <v>1.0000000000000001E-9</v>
          </cell>
          <cell r="Z132">
            <v>1.0000000000000001E-9</v>
          </cell>
          <cell r="AA132">
            <v>1.0000000000000001E-9</v>
          </cell>
          <cell r="AB132">
            <v>1.0000000000000001E-9</v>
          </cell>
          <cell r="AC132">
            <v>1.0000000000000001E-9</v>
          </cell>
          <cell r="AD132">
            <v>1.0000000000000001E-9</v>
          </cell>
          <cell r="AE132">
            <v>1.0000000000000001E-9</v>
          </cell>
          <cell r="AF132">
            <v>1.0000000000000001E-9</v>
          </cell>
          <cell r="AG132">
            <v>1.0000000000000001E-9</v>
          </cell>
          <cell r="AH132">
            <v>1.0000000000000001E-9</v>
          </cell>
        </row>
        <row r="133">
          <cell r="A133" t="str">
            <v>DRDCO</v>
          </cell>
          <cell r="B133" t="str">
            <v>DRDCOARS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  <cell r="O133">
            <v>1.0000000000000001E-9</v>
          </cell>
          <cell r="P133">
            <v>1.0000000000000001E-9</v>
          </cell>
          <cell r="Q133">
            <v>1.0000000000000001E-9</v>
          </cell>
          <cell r="R133">
            <v>1.0000000000000001E-9</v>
          </cell>
          <cell r="S133">
            <v>1.0000000000000001E-9</v>
          </cell>
          <cell r="T133">
            <v>1.0000000000000001E-9</v>
          </cell>
          <cell r="U133">
            <v>1.0000000000000001E-9</v>
          </cell>
          <cell r="V133">
            <v>1.0000000000000001E-9</v>
          </cell>
          <cell r="W133">
            <v>1.0000000000000001E-9</v>
          </cell>
          <cell r="X133">
            <v>1.0000000000000001E-9</v>
          </cell>
          <cell r="Y133">
            <v>1.0000000000000001E-9</v>
          </cell>
          <cell r="Z133">
            <v>1.0000000000000001E-9</v>
          </cell>
          <cell r="AA133">
            <v>1.0000000000000001E-9</v>
          </cell>
          <cell r="AB133">
            <v>1.0000000000000001E-9</v>
          </cell>
          <cell r="AC133">
            <v>1.0000000000000001E-9</v>
          </cell>
          <cell r="AD133">
            <v>1.0000000000000001E-9</v>
          </cell>
          <cell r="AE133">
            <v>1.0000000000000001E-9</v>
          </cell>
          <cell r="AF133">
            <v>1.0000000000000001E-9</v>
          </cell>
          <cell r="AG133">
            <v>1.0000000000000001E-9</v>
          </cell>
          <cell r="AH133">
            <v>1.0000000000000001E-9</v>
          </cell>
        </row>
        <row r="134">
          <cell r="A134"/>
          <cell r="B134"/>
          <cell r="C134"/>
          <cell r="D134"/>
        </row>
        <row r="135">
          <cell r="A135" t="str">
            <v>Obligaciones Negociables Tamar</v>
          </cell>
          <cell r="B135"/>
          <cell r="C135"/>
          <cell r="D135"/>
        </row>
        <row r="136">
          <cell r="A136"/>
          <cell r="B136"/>
          <cell r="C136"/>
          <cell r="D136"/>
        </row>
        <row r="137">
          <cell r="A137" t="str">
            <v>IP11P</v>
          </cell>
          <cell r="B137" t="str">
            <v>IP11PARS</v>
          </cell>
          <cell r="C137" t="str">
            <v>ON PyME Gar - TAMAR ON</v>
          </cell>
          <cell r="D137">
            <v>99.713703683622995</v>
          </cell>
          <cell r="E137">
            <v>0.70130230000000005</v>
          </cell>
          <cell r="F137">
            <v>0.70190768999999997</v>
          </cell>
          <cell r="G137">
            <v>0.70254123000000002</v>
          </cell>
          <cell r="H137">
            <v>0.70677738000000001</v>
          </cell>
          <cell r="I137">
            <v>0.70786442999999999</v>
          </cell>
          <cell r="J137">
            <v>0.70817319999999995</v>
          </cell>
          <cell r="K137">
            <v>0.71311705999999997</v>
          </cell>
          <cell r="L137">
            <v>0.71349488000000005</v>
          </cell>
          <cell r="M137">
            <v>0.71276461999999996</v>
          </cell>
          <cell r="N137">
            <v>0.71249041999999996</v>
          </cell>
          <cell r="O137">
            <v>0.70930530999999997</v>
          </cell>
          <cell r="P137">
            <v>0.70984506000000003</v>
          </cell>
          <cell r="Q137">
            <v>0.71029069</v>
          </cell>
          <cell r="R137">
            <v>0.71326586999999997</v>
          </cell>
          <cell r="S137">
            <v>0.71372168999999996</v>
          </cell>
          <cell r="T137">
            <v>0.71383277000000001</v>
          </cell>
          <cell r="U137">
            <v>0.71156050999999998</v>
          </cell>
          <cell r="V137">
            <v>0.71243747000000002</v>
          </cell>
          <cell r="W137">
            <v>0.71351942999999995</v>
          </cell>
          <cell r="X137">
            <v>0.71743398999999997</v>
          </cell>
          <cell r="Y137">
            <v>0.71767985000000001</v>
          </cell>
          <cell r="Z137">
            <v>0.71828831999999998</v>
          </cell>
          <cell r="AA137">
            <v>0.71808508000000004</v>
          </cell>
          <cell r="AB137">
            <v>0.71523113000000005</v>
          </cell>
          <cell r="AC137">
            <v>0.71874519999999997</v>
          </cell>
          <cell r="AD137">
            <v>0.71817998000000005</v>
          </cell>
          <cell r="AE137">
            <v>0.71899506000000002</v>
          </cell>
          <cell r="AF137">
            <v>0.72105215</v>
          </cell>
          <cell r="AG137">
            <v>0.72309064999999995</v>
          </cell>
          <cell r="AH137">
            <v>0.72347819999999996</v>
          </cell>
        </row>
        <row r="138">
          <cell r="A138" t="str">
            <v>LMS1P</v>
          </cell>
          <cell r="B138" t="str">
            <v>LMS1PARS</v>
          </cell>
          <cell r="C138" t="str">
            <v>ON PyME Gar - TAMAR ON</v>
          </cell>
          <cell r="D138">
            <v>139.6896822743827</v>
          </cell>
          <cell r="E138">
            <v>0.54283495000000004</v>
          </cell>
          <cell r="F138">
            <v>0.54331635</v>
          </cell>
          <cell r="G138">
            <v>0.54383948999999998</v>
          </cell>
          <cell r="H138">
            <v>0.51334166000000003</v>
          </cell>
          <cell r="I138">
            <v>0.51427449000000003</v>
          </cell>
          <cell r="J138">
            <v>0.51447624000000003</v>
          </cell>
          <cell r="K138">
            <v>0.51867160999999995</v>
          </cell>
          <cell r="L138">
            <v>0.51895254999999996</v>
          </cell>
          <cell r="M138">
            <v>0.51802006</v>
          </cell>
          <cell r="N138">
            <v>0.51767288</v>
          </cell>
          <cell r="O138">
            <v>0.51465662999999995</v>
          </cell>
          <cell r="P138">
            <v>0.51507133999999999</v>
          </cell>
          <cell r="Q138">
            <v>0.51540492000000004</v>
          </cell>
          <cell r="R138">
            <v>0.51803012000000004</v>
          </cell>
          <cell r="S138">
            <v>0.51837564000000003</v>
          </cell>
          <cell r="T138">
            <v>0.51837089000000003</v>
          </cell>
          <cell r="U138">
            <v>0.51616271000000002</v>
          </cell>
          <cell r="V138">
            <v>0.51694052999999995</v>
          </cell>
          <cell r="W138">
            <v>0.51768628000000005</v>
          </cell>
          <cell r="X138">
            <v>0.52128461000000004</v>
          </cell>
          <cell r="Y138">
            <v>0.52142913999999996</v>
          </cell>
          <cell r="Z138">
            <v>0.52190979000000004</v>
          </cell>
          <cell r="AA138">
            <v>0.52160766999999997</v>
          </cell>
          <cell r="AB138">
            <v>0.51853890000000002</v>
          </cell>
          <cell r="AC138">
            <v>0.52190336000000004</v>
          </cell>
          <cell r="AD138">
            <v>0.52124252999999998</v>
          </cell>
          <cell r="AE138">
            <v>0.52196189000000004</v>
          </cell>
          <cell r="AF138">
            <v>0.52385554000000001</v>
          </cell>
          <cell r="AG138">
            <v>0.52544088</v>
          </cell>
          <cell r="AH138">
            <v>0.52572383</v>
          </cell>
        </row>
        <row r="139">
          <cell r="A139" t="str">
            <v>PES1L</v>
          </cell>
          <cell r="B139" t="str">
            <v>PES1LARS</v>
          </cell>
          <cell r="C139" t="str">
            <v>ON PyME Gar - TAMAR ON</v>
          </cell>
          <cell r="D139">
            <v>206.5636310036268</v>
          </cell>
          <cell r="E139">
            <v>0.73419296999999994</v>
          </cell>
          <cell r="F139">
            <v>0.73482904000000004</v>
          </cell>
          <cell r="G139">
            <v>0.73562358000000005</v>
          </cell>
          <cell r="H139">
            <v>0.74161906</v>
          </cell>
          <cell r="I139">
            <v>0.74329878000000005</v>
          </cell>
          <cell r="J139">
            <v>0.74352799999999997</v>
          </cell>
          <cell r="K139">
            <v>0.74929809000000003</v>
          </cell>
          <cell r="L139">
            <v>0.74971569999999998</v>
          </cell>
          <cell r="M139">
            <v>0.74738143999999995</v>
          </cell>
          <cell r="N139">
            <v>0.74650090999999996</v>
          </cell>
          <cell r="O139">
            <v>0.74148055999999996</v>
          </cell>
          <cell r="P139">
            <v>0.74207301000000003</v>
          </cell>
          <cell r="Q139">
            <v>0.74255963000000003</v>
          </cell>
          <cell r="R139">
            <v>0.74715991999999998</v>
          </cell>
          <cell r="S139">
            <v>0.74768243000000001</v>
          </cell>
          <cell r="T139">
            <v>0.74732723999999995</v>
          </cell>
          <cell r="U139">
            <v>0.74367371000000004</v>
          </cell>
          <cell r="V139">
            <v>0.74530216000000005</v>
          </cell>
          <cell r="W139">
            <v>0.74627544999999995</v>
          </cell>
          <cell r="X139">
            <v>0.75212330000000005</v>
          </cell>
          <cell r="Y139">
            <v>0.75225242000000003</v>
          </cell>
          <cell r="Z139">
            <v>0.75290363999999999</v>
          </cell>
          <cell r="AA139">
            <v>0.7521023</v>
          </cell>
          <cell r="AB139">
            <v>0.74612075</v>
          </cell>
          <cell r="AC139">
            <v>0.75260033000000004</v>
          </cell>
          <cell r="AD139">
            <v>0.75124062000000003</v>
          </cell>
          <cell r="AE139">
            <v>0.75268805000000005</v>
          </cell>
          <cell r="AF139">
            <v>0.75585504999999997</v>
          </cell>
          <cell r="AG139">
            <v>0.75814601000000004</v>
          </cell>
          <cell r="AH139">
            <v>0.75859759000000004</v>
          </cell>
        </row>
        <row r="140">
          <cell r="A140" t="str">
            <v>FSS1L</v>
          </cell>
          <cell r="B140" t="str">
            <v>FSS1LARS</v>
          </cell>
          <cell r="C140" t="str">
            <v>ON PyME Gar - TAMAR ON</v>
          </cell>
          <cell r="D140">
            <v>213.35816683721683</v>
          </cell>
          <cell r="E140">
            <v>0.82154563999999997</v>
          </cell>
          <cell r="F140">
            <v>0.82223475999999995</v>
          </cell>
          <cell r="G140">
            <v>0.77242080999999996</v>
          </cell>
          <cell r="H140">
            <v>0.77851437999999995</v>
          </cell>
          <cell r="I140">
            <v>0.78031508999999999</v>
          </cell>
          <cell r="J140">
            <v>0.78055030999999997</v>
          </cell>
          <cell r="K140">
            <v>0.78615137000000002</v>
          </cell>
          <cell r="L140">
            <v>0.78658892999999996</v>
          </cell>
          <cell r="M140">
            <v>0.78403560999999999</v>
          </cell>
          <cell r="N140">
            <v>0.78306829</v>
          </cell>
          <cell r="O140">
            <v>0.77815484999999995</v>
          </cell>
          <cell r="P140">
            <v>0.77876539</v>
          </cell>
          <cell r="Q140">
            <v>0.77927426</v>
          </cell>
          <cell r="R140">
            <v>0.78391549000000005</v>
          </cell>
          <cell r="S140">
            <v>0.78446481999999995</v>
          </cell>
          <cell r="T140">
            <v>0.78400948999999998</v>
          </cell>
          <cell r="U140">
            <v>0.78049157999999996</v>
          </cell>
          <cell r="V140">
            <v>0.78229720000000003</v>
          </cell>
          <cell r="W140">
            <v>0.78330591000000005</v>
          </cell>
          <cell r="X140">
            <v>0.78907684</v>
          </cell>
          <cell r="Y140">
            <v>0.78920250000000003</v>
          </cell>
          <cell r="Z140">
            <v>0.78985815999999998</v>
          </cell>
          <cell r="AA140">
            <v>0.78897684000000001</v>
          </cell>
          <cell r="AB140">
            <v>0.78292457000000004</v>
          </cell>
          <cell r="AC140">
            <v>0.78961627000000001</v>
          </cell>
          <cell r="AD140">
            <v>0.78826306999999995</v>
          </cell>
          <cell r="AE140">
            <v>0.78977379000000003</v>
          </cell>
          <cell r="AF140">
            <v>0.79301580999999999</v>
          </cell>
          <cell r="AG140">
            <v>0.79536052000000002</v>
          </cell>
          <cell r="AH140">
            <v>0.79584991999999999</v>
          </cell>
        </row>
        <row r="141">
          <cell r="A141" t="str">
            <v>DJS1L</v>
          </cell>
          <cell r="B141" t="str">
            <v>DJS1LARS</v>
          </cell>
          <cell r="C141" t="str">
            <v>ON PyME Gar - TAMAR ON</v>
          </cell>
          <cell r="D141">
            <v>295.34358343711926</v>
          </cell>
          <cell r="E141">
            <v>1.0566173599999999</v>
          </cell>
          <cell r="F141">
            <v>1.05743736</v>
          </cell>
          <cell r="G141">
            <v>1.0585522300000001</v>
          </cell>
          <cell r="H141">
            <v>1.06542147</v>
          </cell>
          <cell r="I141">
            <v>1.06774897</v>
          </cell>
          <cell r="J141">
            <v>0.76021229999999995</v>
          </cell>
          <cell r="K141">
            <v>0.76510845999999999</v>
          </cell>
          <cell r="L141">
            <v>0.76555130999999998</v>
          </cell>
          <cell r="M141">
            <v>0.76181582999999997</v>
          </cell>
          <cell r="N141">
            <v>0.76039108</v>
          </cell>
          <cell r="O141">
            <v>0.75554573000000003</v>
          </cell>
          <cell r="P141">
            <v>0.75612168000000002</v>
          </cell>
          <cell r="Q141">
            <v>0.75661619999999996</v>
          </cell>
          <cell r="R141">
            <v>0.76134038000000004</v>
          </cell>
          <cell r="S141">
            <v>0.76189837999999999</v>
          </cell>
          <cell r="T141">
            <v>0.76095531999999999</v>
          </cell>
          <cell r="U141">
            <v>0.75763102999999998</v>
          </cell>
          <cell r="V141">
            <v>0.76004879000000003</v>
          </cell>
          <cell r="W141">
            <v>0.76090088</v>
          </cell>
          <cell r="X141">
            <v>0.76662419999999998</v>
          </cell>
          <cell r="Y141">
            <v>0.76665254000000005</v>
          </cell>
          <cell r="Z141">
            <v>0.76725969999999999</v>
          </cell>
          <cell r="AA141">
            <v>0.76595769999999996</v>
          </cell>
          <cell r="AB141">
            <v>0.75894262999999995</v>
          </cell>
          <cell r="AC141">
            <v>0.76669666999999997</v>
          </cell>
          <cell r="AD141">
            <v>0.76519387000000005</v>
          </cell>
          <cell r="AE141">
            <v>0.76689638000000004</v>
          </cell>
          <cell r="AF141">
            <v>0.77054040999999995</v>
          </cell>
          <cell r="AG141">
            <v>0.77279876999999997</v>
          </cell>
          <cell r="AH141">
            <v>0.77332666999999999</v>
          </cell>
        </row>
        <row r="142">
          <cell r="A142" t="str">
            <v>CZ11L</v>
          </cell>
          <cell r="B142" t="str">
            <v>CZ11LARS</v>
          </cell>
          <cell r="C142" t="str">
            <v>ON PyME Gar - TAMAR ON</v>
          </cell>
          <cell r="D142">
            <v>281.15102754909509</v>
          </cell>
          <cell r="E142">
            <v>1.02331916</v>
          </cell>
          <cell r="F142">
            <v>1.0241616499999999</v>
          </cell>
          <cell r="G142">
            <v>1.02538555</v>
          </cell>
          <cell r="H142">
            <v>1.03391889</v>
          </cell>
          <cell r="I142">
            <v>1.0367778000000001</v>
          </cell>
          <cell r="J142">
            <v>1.0370007999999999</v>
          </cell>
          <cell r="K142">
            <v>1.0438700999999999</v>
          </cell>
          <cell r="L142">
            <v>1.0444677</v>
          </cell>
          <cell r="M142">
            <v>1.0396827500000001</v>
          </cell>
          <cell r="N142">
            <v>1.0378606699999999</v>
          </cell>
          <cell r="O142">
            <v>1.0312204</v>
          </cell>
          <cell r="P142">
            <v>1.03202042</v>
          </cell>
          <cell r="Q142">
            <v>1.0327011500000001</v>
          </cell>
          <cell r="R142">
            <v>1.0391343799999999</v>
          </cell>
          <cell r="S142">
            <v>1.0398939899999999</v>
          </cell>
          <cell r="T142">
            <v>1.0387342100000001</v>
          </cell>
          <cell r="U142">
            <v>1.0341294599999999</v>
          </cell>
          <cell r="V142">
            <v>1.0372666500000001</v>
          </cell>
          <cell r="W142">
            <v>1.03845896</v>
          </cell>
          <cell r="X142">
            <v>1.04629555</v>
          </cell>
          <cell r="Y142">
            <v>1.04635195</v>
          </cell>
          <cell r="Z142">
            <v>1.04719121</v>
          </cell>
          <cell r="AA142">
            <v>1.0455109300000001</v>
          </cell>
          <cell r="AB142">
            <v>1.0361494200000001</v>
          </cell>
          <cell r="AC142">
            <v>1.0464652000000001</v>
          </cell>
          <cell r="AD142">
            <v>1.04443251</v>
          </cell>
          <cell r="AE142">
            <v>1.04670609</v>
          </cell>
          <cell r="AF142">
            <v>1.0515786</v>
          </cell>
          <cell r="AG142">
            <v>1.05467384</v>
          </cell>
          <cell r="AH142">
            <v>1.0553835</v>
          </cell>
        </row>
        <row r="143">
          <cell r="A143" t="str">
            <v>AKS1L</v>
          </cell>
          <cell r="B143" t="str">
            <v>AKS1LARS</v>
          </cell>
          <cell r="C143" t="str">
            <v>ON PyME Gar - TAMAR ON</v>
          </cell>
          <cell r="D143">
            <v>370.12225403437947</v>
          </cell>
          <cell r="E143">
            <v>1.06047818</v>
          </cell>
          <cell r="F143">
            <v>1.06127324</v>
          </cell>
          <cell r="G143">
            <v>1.0626176199999999</v>
          </cell>
          <cell r="H143">
            <v>1.0142171900000001</v>
          </cell>
          <cell r="I143">
            <v>1.01761086</v>
          </cell>
          <cell r="J143">
            <v>1.0177063799999999</v>
          </cell>
          <cell r="K143">
            <v>1.02296696</v>
          </cell>
          <cell r="L143">
            <v>1.0235739500000001</v>
          </cell>
          <cell r="M143">
            <v>1.0170645599999999</v>
          </cell>
          <cell r="N143">
            <v>1.0145710800000001</v>
          </cell>
          <cell r="O143">
            <v>1.00772431</v>
          </cell>
          <cell r="P143">
            <v>1.0084611000000001</v>
          </cell>
          <cell r="Q143">
            <v>1.0091241099999999</v>
          </cell>
          <cell r="R143">
            <v>1.01636528</v>
          </cell>
          <cell r="S143">
            <v>1.01714408</v>
          </cell>
          <cell r="T143">
            <v>1.01527122</v>
          </cell>
          <cell r="U143">
            <v>1.0106692399999999</v>
          </cell>
          <cell r="V143">
            <v>1.01475955</v>
          </cell>
          <cell r="W143">
            <v>1.0157363699999999</v>
          </cell>
          <cell r="X143">
            <v>1.02369307</v>
          </cell>
          <cell r="Y143">
            <v>1.02360753</v>
          </cell>
          <cell r="Z143">
            <v>1.0242960800000001</v>
          </cell>
          <cell r="AA143">
            <v>1.0219939199999999</v>
          </cell>
          <cell r="AB143">
            <v>1.01080331</v>
          </cell>
          <cell r="AC143">
            <v>1.02332494</v>
          </cell>
          <cell r="AD143">
            <v>1.0208458499999999</v>
          </cell>
          <cell r="AE143">
            <v>1.02373424</v>
          </cell>
          <cell r="AF143">
            <v>1.0290141399999999</v>
          </cell>
          <cell r="AG143">
            <v>1.0319159499999999</v>
          </cell>
          <cell r="AH143">
            <v>1.03270832</v>
          </cell>
        </row>
        <row r="144">
          <cell r="A144" t="str">
            <v>SQS1L</v>
          </cell>
          <cell r="B144" t="str">
            <v>SQS1LARS</v>
          </cell>
          <cell r="C144" t="str">
            <v>ON PyME Gar - TAMAR ON</v>
          </cell>
          <cell r="D144">
            <v>401.45665487689195</v>
          </cell>
          <cell r="E144">
            <v>1.0166787799999999</v>
          </cell>
          <cell r="F144">
            <v>1.0173922399999999</v>
          </cell>
          <cell r="G144">
            <v>1.0187406299999999</v>
          </cell>
          <cell r="H144">
            <v>1.02502224</v>
          </cell>
          <cell r="I144">
            <v>1.0286470299999999</v>
          </cell>
          <cell r="J144">
            <v>1.0286913799999999</v>
          </cell>
          <cell r="K144">
            <v>1.03147279</v>
          </cell>
          <cell r="L144">
            <v>1.03208777</v>
          </cell>
          <cell r="M144">
            <v>1.0248688699999999</v>
          </cell>
          <cell r="N144">
            <v>1.02207958</v>
          </cell>
          <cell r="O144">
            <v>1.0195817599999999</v>
          </cell>
          <cell r="P144">
            <v>1.0202642500000001</v>
          </cell>
          <cell r="Q144">
            <v>1.02091566</v>
          </cell>
          <cell r="R144">
            <v>1.02433179</v>
          </cell>
          <cell r="S144">
            <v>1.0251123099999999</v>
          </cell>
          <cell r="T144">
            <v>1.0225719200000001</v>
          </cell>
          <cell r="U144">
            <v>1.0218518700000001</v>
          </cell>
          <cell r="V144">
            <v>1.0265894099999999</v>
          </cell>
          <cell r="W144">
            <v>1.0275009799999999</v>
          </cell>
          <cell r="X144">
            <v>1.0313498000000001</v>
          </cell>
          <cell r="Y144">
            <v>1.0312185199999999</v>
          </cell>
          <cell r="Z144">
            <v>1.03190092</v>
          </cell>
          <cell r="AA144">
            <v>1.0293646999999999</v>
          </cell>
          <cell r="AB144">
            <v>1.02192248</v>
          </cell>
          <cell r="AC144">
            <v>1.0312315599999999</v>
          </cell>
          <cell r="AD144">
            <v>1.030219</v>
          </cell>
          <cell r="AE144">
            <v>1.03202543</v>
          </cell>
          <cell r="AF144">
            <v>1.03695198</v>
          </cell>
          <cell r="AG144">
            <v>1.0395643299999999</v>
          </cell>
          <cell r="AH144">
            <v>1.0404317000000001</v>
          </cell>
        </row>
        <row r="145">
          <cell r="A145" t="str">
            <v>CHS1L</v>
          </cell>
          <cell r="B145" t="str">
            <v>CHS1LARS</v>
          </cell>
          <cell r="C145" t="str">
            <v>ON PyME Gar - TAMAR ON</v>
          </cell>
          <cell r="D145">
            <v>465.15569725661555</v>
          </cell>
          <cell r="E145">
            <v>1.0194232999999999</v>
          </cell>
          <cell r="F145">
            <v>1.0200596099999999</v>
          </cell>
          <cell r="G145">
            <v>1.0215020800000001</v>
          </cell>
          <cell r="H145">
            <v>1.02628516</v>
          </cell>
          <cell r="I145">
            <v>1.0303484000000001</v>
          </cell>
          <cell r="J145">
            <v>1.0303074699999999</v>
          </cell>
          <cell r="K145">
            <v>1.0302828799999999</v>
          </cell>
          <cell r="L145">
            <v>1.03090554</v>
          </cell>
          <cell r="M145">
            <v>1.0223764900000001</v>
          </cell>
          <cell r="N145">
            <v>1.0190620100000001</v>
          </cell>
          <cell r="O145">
            <v>1.01931438</v>
          </cell>
          <cell r="P145">
            <v>1.01992672</v>
          </cell>
          <cell r="Q145">
            <v>1.02056576</v>
          </cell>
          <cell r="R145">
            <v>1.02209478</v>
          </cell>
          <cell r="S145">
            <v>1.0228906900000001</v>
          </cell>
          <cell r="T145">
            <v>1.0195437999999999</v>
          </cell>
          <cell r="U145">
            <v>1.0213607899999999</v>
          </cell>
          <cell r="V145">
            <v>1.0270312100000001</v>
          </cell>
          <cell r="W145">
            <v>1.0277969499999999</v>
          </cell>
          <cell r="X145">
            <v>1.0289634000000001</v>
          </cell>
          <cell r="Y145">
            <v>1.02872724</v>
          </cell>
          <cell r="Z145">
            <v>1.0292892499999999</v>
          </cell>
          <cell r="AA145">
            <v>1.02627929</v>
          </cell>
          <cell r="AB145">
            <v>1.02032057</v>
          </cell>
          <cell r="AC145">
            <v>1.02880861</v>
          </cell>
          <cell r="AD145">
            <v>1.0284679999999999</v>
          </cell>
          <cell r="AE145">
            <v>1.0299946600000001</v>
          </cell>
          <cell r="AF145">
            <v>1.03477409</v>
          </cell>
          <cell r="AG145">
            <v>1.0370515600000001</v>
          </cell>
          <cell r="AH145">
            <v>1.0380264100000001</v>
          </cell>
        </row>
        <row r="146">
          <cell r="A146" t="str">
            <v>GES2L</v>
          </cell>
          <cell r="B146" t="str">
            <v>GES2LARS</v>
          </cell>
          <cell r="C146" t="str">
            <v>ON PyME Gar - TAMAR ON</v>
          </cell>
          <cell r="D146">
            <v>519.05253637262729</v>
          </cell>
          <cell r="AE146">
            <v>1.00554499</v>
          </cell>
          <cell r="AF146">
            <v>1.010122</v>
          </cell>
          <cell r="AG146">
            <v>1.0120881399999999</v>
          </cell>
          <cell r="AH146">
            <v>1.01313042</v>
          </cell>
        </row>
        <row r="147">
          <cell r="A147" t="str">
            <v>AKS2L</v>
          </cell>
          <cell r="B147" t="str">
            <v>AKS2LARS</v>
          </cell>
          <cell r="C147" t="str">
            <v>ON PyME Gar - TAMAR ON</v>
          </cell>
          <cell r="D147">
            <v>523.9804276355635</v>
          </cell>
          <cell r="Z147">
            <v>1.01252425</v>
          </cell>
          <cell r="AA147">
            <v>1.0091040099999999</v>
          </cell>
          <cell r="AB147">
            <v>1.0069321499999999</v>
          </cell>
          <cell r="AC147">
            <v>1.01203431</v>
          </cell>
          <cell r="AD147">
            <v>1.0132026000000001</v>
          </cell>
          <cell r="AE147">
            <v>1.01349636</v>
          </cell>
          <cell r="AF147">
            <v>1.0180764099999999</v>
          </cell>
          <cell r="AG147">
            <v>1.02002554</v>
          </cell>
          <cell r="AH147">
            <v>1.0210932500000001</v>
          </cell>
        </row>
        <row r="148">
          <cell r="A148" t="str">
            <v>BF38O</v>
          </cell>
          <cell r="B148" t="str">
            <v>BF38OARS</v>
          </cell>
          <cell r="C148" t="str">
            <v>ON Tier 1 - TAMAR ON</v>
          </cell>
          <cell r="D148">
            <v>38.000000000005151</v>
          </cell>
          <cell r="E148">
            <v>1.0095828</v>
          </cell>
          <cell r="F148">
            <v>1.0100747299999999</v>
          </cell>
          <cell r="G148">
            <v>1.0108912999999999</v>
          </cell>
          <cell r="H148">
            <v>1.01345091</v>
          </cell>
          <cell r="I148">
            <v>1.0142628300000001</v>
          </cell>
          <cell r="J148">
            <v>1.0150349999999999</v>
          </cell>
          <cell r="K148">
            <v>1.01863032</v>
          </cell>
          <cell r="L148">
            <v>1.01934042</v>
          </cell>
          <cell r="M148">
            <v>1.0214664200000001</v>
          </cell>
          <cell r="N148">
            <v>1.0222848200000001</v>
          </cell>
          <cell r="O148">
            <v>1.0229265000000001</v>
          </cell>
          <cell r="P148">
            <v>1.02360315</v>
          </cell>
          <cell r="Q148">
            <v>1.0243411099999999</v>
          </cell>
          <cell r="R148">
            <v>1.02615228</v>
          </cell>
          <cell r="S148">
            <v>1.02691803</v>
          </cell>
          <cell r="T148">
            <v>1.0276065400000001</v>
          </cell>
          <cell r="U148">
            <v>1.0280437499999999</v>
          </cell>
          <cell r="V148">
            <v>1.0284445900000001</v>
          </cell>
          <cell r="W148">
            <v>1.0305655300000001</v>
          </cell>
          <cell r="X148">
            <v>1.0326241</v>
          </cell>
          <cell r="Y148">
            <v>1.0333061699999999</v>
          </cell>
          <cell r="Z148">
            <v>1.0339169500000001</v>
          </cell>
          <cell r="AA148">
            <v>1.0346086999999999</v>
          </cell>
          <cell r="AB148">
            <v>1.0363554500000001</v>
          </cell>
          <cell r="AC148">
            <v>1.03643098</v>
          </cell>
          <cell r="AD148">
            <v>1.0368934599999999</v>
          </cell>
          <cell r="AE148">
            <v>1.0375213999999999</v>
          </cell>
          <cell r="AF148">
            <v>1.0388948899999999</v>
          </cell>
          <cell r="AG148">
            <v>1.04207531</v>
          </cell>
          <cell r="AH148">
            <v>1.0427479399999999</v>
          </cell>
        </row>
        <row r="149">
          <cell r="A149" t="str">
            <v>SXC5O</v>
          </cell>
          <cell r="B149" t="str">
            <v>SXC5OARS</v>
          </cell>
          <cell r="C149" t="str">
            <v>ON Tier 1 - TAMAR ON</v>
          </cell>
          <cell r="D149">
            <v>36.000000000017749</v>
          </cell>
          <cell r="E149">
            <v>1.0086203600000001</v>
          </cell>
          <cell r="F149">
            <v>1.00912146</v>
          </cell>
          <cell r="G149">
            <v>1.0099410600000001</v>
          </cell>
          <cell r="H149">
            <v>1.01248625</v>
          </cell>
          <cell r="I149">
            <v>1.0132995199999999</v>
          </cell>
          <cell r="J149">
            <v>1.01407241</v>
          </cell>
          <cell r="K149">
            <v>1.02</v>
          </cell>
          <cell r="L149">
            <v>1.01832634</v>
          </cell>
          <cell r="M149">
            <v>1.0204519599999999</v>
          </cell>
          <cell r="N149">
            <v>1.0212675499999999</v>
          </cell>
          <cell r="O149">
            <v>1.02191703</v>
          </cell>
          <cell r="P149">
            <v>1.0225965100000001</v>
          </cell>
          <cell r="Q149">
            <v>1.0233337199999999</v>
          </cell>
          <cell r="R149">
            <v>1.0251311599999999</v>
          </cell>
          <cell r="S149">
            <v>1.02589485</v>
          </cell>
          <cell r="T149">
            <v>1.02658392</v>
          </cell>
          <cell r="U149">
            <v>1.0270339399999999</v>
          </cell>
          <cell r="V149">
            <v>1.0274426800000001</v>
          </cell>
          <cell r="W149">
            <v>1.02956062</v>
          </cell>
          <cell r="X149">
            <v>1.0315650000000001</v>
          </cell>
          <cell r="Y149">
            <v>1.0322442999999999</v>
          </cell>
          <cell r="Z149">
            <v>1.03285988</v>
          </cell>
          <cell r="AA149">
            <v>1.03354773</v>
          </cell>
          <cell r="AB149">
            <v>1.0353106599999999</v>
          </cell>
          <cell r="AC149">
            <v>1.035398</v>
          </cell>
          <cell r="AD149">
            <v>1.03587132</v>
          </cell>
          <cell r="AE149">
            <v>1.0364935099999999</v>
          </cell>
          <cell r="AF149">
            <v>1.03784159</v>
          </cell>
          <cell r="AG149">
            <v>1.0410052400000001</v>
          </cell>
          <cell r="AH149">
            <v>1.0416804399999999</v>
          </cell>
        </row>
        <row r="150">
          <cell r="A150" t="str">
            <v>RC3CO</v>
          </cell>
          <cell r="B150" t="str">
            <v>RC3COARS</v>
          </cell>
          <cell r="C150" t="str">
            <v>ON Tier 1 - TAMAR ON</v>
          </cell>
          <cell r="D150">
            <v>63.000000000030155</v>
          </cell>
          <cell r="E150">
            <v>1.0550233</v>
          </cell>
          <cell r="F150">
            <v>1.0554461900000001</v>
          </cell>
          <cell r="G150">
            <v>1.0563205600000001</v>
          </cell>
          <cell r="H150">
            <v>1.05916711</v>
          </cell>
          <cell r="I150">
            <v>1.0600410499999999</v>
          </cell>
          <cell r="J150">
            <v>1.0608620600000001</v>
          </cell>
          <cell r="K150">
            <v>1.0648894499999999</v>
          </cell>
          <cell r="L150">
            <v>1.0656516</v>
          </cell>
          <cell r="M150">
            <v>1.0678872800000001</v>
          </cell>
          <cell r="N150">
            <v>1.0025330699999999</v>
          </cell>
          <cell r="O150">
            <v>1.0030877899999999</v>
          </cell>
          <cell r="P150">
            <v>1.0037352900000001</v>
          </cell>
          <cell r="Q150">
            <v>1.0044797999999999</v>
          </cell>
          <cell r="R150">
            <v>1.00647716</v>
          </cell>
          <cell r="S150">
            <v>1.0072584899999999</v>
          </cell>
          <cell r="T150">
            <v>1.0079234800000001</v>
          </cell>
          <cell r="U150">
            <v>1.0081905099999999</v>
          </cell>
          <cell r="V150">
            <v>1.00849495</v>
          </cell>
          <cell r="W150">
            <v>1.0105820599999999</v>
          </cell>
          <cell r="X150">
            <v>1.01321222</v>
          </cell>
          <cell r="Y150">
            <v>1.0138830299999999</v>
          </cell>
          <cell r="Z150">
            <v>1.01440295</v>
          </cell>
          <cell r="AA150">
            <v>1.01507806</v>
          </cell>
          <cell r="AB150">
            <v>1.0165147699999999</v>
          </cell>
          <cell r="AC150">
            <v>1.01526088</v>
          </cell>
          <cell r="AD150">
            <v>1.0167046399999999</v>
          </cell>
          <cell r="AE150">
            <v>1.0174083300000001</v>
          </cell>
          <cell r="AF150">
            <v>1.0190145799999999</v>
          </cell>
          <cell r="AG150">
            <v>1.02228757</v>
          </cell>
          <cell r="AH150">
            <v>1.0229330299999999</v>
          </cell>
        </row>
        <row r="151">
          <cell r="A151" t="str">
            <v>RC4CO</v>
          </cell>
          <cell r="B151" t="str">
            <v>RC4COARS</v>
          </cell>
          <cell r="C151" t="str">
            <v>ON Tier 1 - TAMAR ON</v>
          </cell>
          <cell r="D151">
            <v>129.03347916856143</v>
          </cell>
          <cell r="E151">
            <v>1.0042872700000001</v>
          </cell>
          <cell r="F151">
            <v>1.0043267</v>
          </cell>
          <cell r="G151">
            <v>1.00519468</v>
          </cell>
          <cell r="H151">
            <v>1.0083996200000001</v>
          </cell>
          <cell r="I151">
            <v>1.00926765</v>
          </cell>
          <cell r="J151">
            <v>1.01006453</v>
          </cell>
          <cell r="K151">
            <v>1.01399609</v>
          </cell>
          <cell r="L151">
            <v>1.01474109</v>
          </cell>
          <cell r="M151">
            <v>1.0169340899999999</v>
          </cell>
          <cell r="N151">
            <v>1.0178986800000001</v>
          </cell>
          <cell r="O151">
            <v>1.0183869699999999</v>
          </cell>
          <cell r="P151">
            <v>1.01834326</v>
          </cell>
          <cell r="Q151">
            <v>1.01972942</v>
          </cell>
          <cell r="R151">
            <v>1.02283974</v>
          </cell>
          <cell r="S151">
            <v>1.0237011899999999</v>
          </cell>
          <cell r="T151">
            <v>1.0242841300000001</v>
          </cell>
          <cell r="U151">
            <v>1.0242206199999999</v>
          </cell>
          <cell r="V151">
            <v>1.0244069600000001</v>
          </cell>
          <cell r="W151">
            <v>1.02654216</v>
          </cell>
          <cell r="X151">
            <v>1.0305402100000001</v>
          </cell>
          <cell r="Y151">
            <v>1.0312426800000001</v>
          </cell>
          <cell r="Z151">
            <v>1.0314220599999999</v>
          </cell>
          <cell r="AA151">
            <v>1.0321267199999999</v>
          </cell>
          <cell r="AB151">
            <v>1.0328105299999999</v>
          </cell>
          <cell r="AC151">
            <v>1.0329555800000001</v>
          </cell>
          <cell r="AD151">
            <v>1.0325072799999999</v>
          </cell>
          <cell r="AE151">
            <v>1.0326</v>
          </cell>
          <cell r="AF151">
            <v>1.0357502300000001</v>
          </cell>
          <cell r="AG151">
            <v>1.0392977299999999</v>
          </cell>
          <cell r="AH151">
            <v>1.0399309699999999</v>
          </cell>
        </row>
        <row r="152">
          <cell r="A152" t="str">
            <v>SXC3O</v>
          </cell>
          <cell r="B152" t="str">
            <v>SXC3OARS</v>
          </cell>
          <cell r="C152" t="str">
            <v>ON Tier 1 - TAMAR ON</v>
          </cell>
          <cell r="D152">
            <v>127.08360517980536</v>
          </cell>
          <cell r="E152">
            <v>1.0062393999999999</v>
          </cell>
          <cell r="F152">
            <v>1.0062867200000001</v>
          </cell>
          <cell r="G152">
            <v>1.0071437700000001</v>
          </cell>
          <cell r="H152">
            <v>1.01033935</v>
          </cell>
          <cell r="I152">
            <v>1.0112006600000001</v>
          </cell>
          <cell r="J152">
            <v>1.0119941699999999</v>
          </cell>
          <cell r="K152">
            <v>1.0159535399999999</v>
          </cell>
          <cell r="L152">
            <v>1.0167005099999999</v>
          </cell>
          <cell r="M152">
            <v>1.01888925</v>
          </cell>
          <cell r="N152">
            <v>1.01984963</v>
          </cell>
          <cell r="O152">
            <v>1.0203303399999999</v>
          </cell>
          <cell r="P152">
            <v>1.0208847999999999</v>
          </cell>
          <cell r="Q152">
            <v>1.0216716100000001</v>
          </cell>
          <cell r="R152">
            <v>1.02475239</v>
          </cell>
          <cell r="S152">
            <v>1.02561181</v>
          </cell>
          <cell r="T152">
            <v>1.02619843</v>
          </cell>
          <cell r="U152">
            <v>1.02613887</v>
          </cell>
          <cell r="V152">
            <v>1.0263272699999999</v>
          </cell>
          <cell r="W152">
            <v>1.0284666099999999</v>
          </cell>
          <cell r="X152">
            <v>1.03244282</v>
          </cell>
          <cell r="Y152">
            <v>1.0331484</v>
          </cell>
          <cell r="Z152">
            <v>1.03333999</v>
          </cell>
          <cell r="AA152">
            <v>1.0340499700000001</v>
          </cell>
          <cell r="AB152">
            <v>1.03475772</v>
          </cell>
          <cell r="AC152">
            <v>1.0348984400000001</v>
          </cell>
          <cell r="AD152">
            <v>1.03447578</v>
          </cell>
          <cell r="AE152">
            <v>1.0357742599999999</v>
          </cell>
          <cell r="AF152">
            <v>1.03770162195961</v>
          </cell>
          <cell r="AG152">
            <v>1.04125154</v>
          </cell>
          <cell r="AH152">
            <v>1.0418843600000001</v>
          </cell>
        </row>
        <row r="153">
          <cell r="A153" t="str">
            <v>BF41O</v>
          </cell>
          <cell r="B153" t="str">
            <v>BF41OARS</v>
          </cell>
          <cell r="C153" t="str">
            <v>ON Tier 1 - TAMAR ON</v>
          </cell>
          <cell r="D153">
            <v>136.22395315856289</v>
          </cell>
          <cell r="E153">
            <v>1.06353841</v>
          </cell>
          <cell r="F153">
            <v>1.06358394</v>
          </cell>
          <cell r="G153">
            <v>0.99805129000000004</v>
          </cell>
          <cell r="H153">
            <v>1.0012619199999999</v>
          </cell>
          <cell r="I153">
            <v>1.00211454</v>
          </cell>
          <cell r="J153">
            <v>1.0028996100000001</v>
          </cell>
          <cell r="K153">
            <v>1.00670942</v>
          </cell>
          <cell r="L153">
            <v>1.00745426</v>
          </cell>
          <cell r="M153">
            <v>1.0096233400000001</v>
          </cell>
          <cell r="N153">
            <v>1.0105853499999999</v>
          </cell>
          <cell r="O153">
            <v>1.0110776699999999</v>
          </cell>
          <cell r="P153">
            <v>1.0116063799999999</v>
          </cell>
          <cell r="Q153">
            <v>1.0123876599999999</v>
          </cell>
          <cell r="R153">
            <v>1.0156048200000001</v>
          </cell>
          <cell r="S153">
            <v>1.01646408</v>
          </cell>
          <cell r="T153">
            <v>1.01702556</v>
          </cell>
          <cell r="U153">
            <v>1.01694482</v>
          </cell>
          <cell r="V153">
            <v>1.0171238199999999</v>
          </cell>
          <cell r="W153">
            <v>1.01924601</v>
          </cell>
          <cell r="X153">
            <v>1.02332841</v>
          </cell>
          <cell r="Y153">
            <v>1.0240322399999999</v>
          </cell>
          <cell r="Z153">
            <v>1.0241644700000001</v>
          </cell>
          <cell r="AA153">
            <v>1.0248740000000001</v>
          </cell>
          <cell r="AB153">
            <v>1.02548766</v>
          </cell>
          <cell r="AC153">
            <v>1.0256691600000001</v>
          </cell>
          <cell r="AD153">
            <v>1.02515906</v>
          </cell>
          <cell r="AE153">
            <v>1.0265475500000001</v>
          </cell>
          <cell r="AF153">
            <v>1.0284676500000001</v>
          </cell>
          <cell r="AG153">
            <v>1.0320016299999999</v>
          </cell>
          <cell r="AH153">
            <v>1.0326270399999999</v>
          </cell>
        </row>
        <row r="154">
          <cell r="A154" t="str">
            <v>ICC5O</v>
          </cell>
          <cell r="B154" t="str">
            <v>ICC5OARS</v>
          </cell>
          <cell r="C154" t="str">
            <v>ON Tier 1 - TAMAR ON</v>
          </cell>
          <cell r="D154">
            <v>143.23276141863266</v>
          </cell>
          <cell r="E154">
            <v>1.0582850399999999</v>
          </cell>
          <cell r="F154">
            <v>1.0582864000000001</v>
          </cell>
          <cell r="G154">
            <v>1.05917569</v>
          </cell>
          <cell r="H154">
            <v>1.06255155</v>
          </cell>
          <cell r="I154">
            <v>1.06345026</v>
          </cell>
          <cell r="J154">
            <v>1.0642806</v>
          </cell>
          <cell r="K154">
            <v>1.06800479</v>
          </cell>
          <cell r="L154">
            <v>1.0019991500000001</v>
          </cell>
          <cell r="M154">
            <v>1.0041604399999999</v>
          </cell>
          <cell r="N154">
            <v>1.0051269300000001</v>
          </cell>
          <cell r="O154">
            <v>1.0056393299999999</v>
          </cell>
          <cell r="P154">
            <v>1.0061515999999999</v>
          </cell>
          <cell r="Q154">
            <v>1.0069317900000001</v>
          </cell>
          <cell r="R154">
            <v>1.0102582499999999</v>
          </cell>
          <cell r="S154">
            <v>1.01112008</v>
          </cell>
          <cell r="T154">
            <v>1.0116629100000001</v>
          </cell>
          <cell r="U154">
            <v>1.0115733499999999</v>
          </cell>
          <cell r="V154">
            <v>1.01174761</v>
          </cell>
          <cell r="W154">
            <v>1.01385978</v>
          </cell>
          <cell r="X154">
            <v>1.0180175499999999</v>
          </cell>
          <cell r="Y154">
            <v>1.01871841</v>
          </cell>
          <cell r="Z154">
            <v>1.0188043499999999</v>
          </cell>
          <cell r="AA154">
            <v>1.0195099599999999</v>
          </cell>
          <cell r="AB154">
            <v>1.02005539</v>
          </cell>
          <cell r="AC154">
            <v>1.0202642099999999</v>
          </cell>
          <cell r="AD154">
            <v>1.0196801200000001</v>
          </cell>
          <cell r="AE154">
            <v>1.0211388299999999</v>
          </cell>
          <cell r="AF154">
            <v>1.0238</v>
          </cell>
          <cell r="AG154">
            <v>1.02657624</v>
          </cell>
          <cell r="AH154">
            <v>1.02720042</v>
          </cell>
        </row>
        <row r="155">
          <cell r="A155" t="str">
            <v>BNCXO</v>
          </cell>
          <cell r="B155" t="str">
            <v>BNCXOARS</v>
          </cell>
          <cell r="C155" t="str">
            <v>ON Tier 1 - TAMAR ON</v>
          </cell>
          <cell r="D155">
            <v>179.93797485405199</v>
          </cell>
          <cell r="E155">
            <v>1.0224324499999999</v>
          </cell>
          <cell r="F155">
            <v>1.0221524399999999</v>
          </cell>
          <cell r="G155">
            <v>1.0230356899999999</v>
          </cell>
          <cell r="H155">
            <v>1.028</v>
          </cell>
          <cell r="I155">
            <v>1.02729206</v>
          </cell>
          <cell r="J155">
            <v>1.0281088899999999</v>
          </cell>
          <cell r="K155">
            <v>1.03076587</v>
          </cell>
          <cell r="L155">
            <v>1.0315433199999999</v>
          </cell>
          <cell r="M155">
            <v>1.0337937500000001</v>
          </cell>
          <cell r="N155">
            <v>1.0348367300000001</v>
          </cell>
          <cell r="O155">
            <v>1.0333749999999999</v>
          </cell>
          <cell r="P155">
            <v>1.0361674999999999</v>
          </cell>
          <cell r="Q155">
            <v>1.0369820300000001</v>
          </cell>
          <cell r="R155">
            <v>1.0402</v>
          </cell>
          <cell r="S155">
            <v>1.0420271400000001</v>
          </cell>
          <cell r="T155">
            <v>1.0424630399999999</v>
          </cell>
          <cell r="U155">
            <v>1.0425238999999999</v>
          </cell>
          <cell r="V155">
            <v>1.04273642</v>
          </cell>
          <cell r="W155">
            <v>1.0449165600000001</v>
          </cell>
          <cell r="X155">
            <v>1.04942476</v>
          </cell>
          <cell r="Y155">
            <v>1.05015634</v>
          </cell>
          <cell r="Z155">
            <v>1.04994871</v>
          </cell>
          <cell r="AA155">
            <v>1.0506826199999999</v>
          </cell>
          <cell r="AB155">
            <v>1.0510702300000001</v>
          </cell>
          <cell r="AC155">
            <v>1.0514526</v>
          </cell>
          <cell r="AD155">
            <v>1.0504746899999999</v>
          </cell>
          <cell r="AE155">
            <v>1.0524849999999999</v>
          </cell>
          <cell r="AF155">
            <v>1.05428879</v>
          </cell>
          <cell r="AG155">
            <v>1.05789022</v>
          </cell>
          <cell r="AH155">
            <v>1.0585499</v>
          </cell>
        </row>
        <row r="156">
          <cell r="A156" t="str">
            <v>NZC1O</v>
          </cell>
          <cell r="B156" t="str">
            <v>NZC1OARS</v>
          </cell>
          <cell r="C156" t="str">
            <v>ON Tier 1 - TAMAR ON</v>
          </cell>
          <cell r="D156">
            <v>192.46970650545981</v>
          </cell>
          <cell r="E156">
            <v>1.0190072299999999</v>
          </cell>
          <cell r="F156">
            <v>1.0186509800000001</v>
          </cell>
          <cell r="G156">
            <v>1.0195395199999999</v>
          </cell>
          <cell r="H156">
            <v>1.02286879</v>
          </cell>
          <cell r="I156">
            <v>1.02377451</v>
          </cell>
          <cell r="J156">
            <v>1.02459301</v>
          </cell>
          <cell r="K156">
            <v>1.0268731799999999</v>
          </cell>
          <cell r="L156">
            <v>1.0276516200000001</v>
          </cell>
          <cell r="M156">
            <v>1.0299034</v>
          </cell>
          <cell r="N156">
            <v>1.0309594900000001</v>
          </cell>
          <cell r="O156">
            <v>1.0318000000000001</v>
          </cell>
          <cell r="P156">
            <v>1.0322540099999999</v>
          </cell>
          <cell r="Q156">
            <v>1.03323583</v>
          </cell>
          <cell r="R156">
            <v>1.0369999999999999</v>
          </cell>
          <cell r="S156">
            <v>1.03845875</v>
          </cell>
          <cell r="T156">
            <v>1.0388493999999999</v>
          </cell>
          <cell r="U156">
            <v>1.0379</v>
          </cell>
          <cell r="V156">
            <v>1.03764802</v>
          </cell>
          <cell r="W156">
            <v>1.0413920800000001</v>
          </cell>
          <cell r="X156">
            <v>1.04593019</v>
          </cell>
          <cell r="Y156">
            <v>1.0466616799999999</v>
          </cell>
          <cell r="Z156">
            <v>1.04635827</v>
          </cell>
          <cell r="AA156">
            <v>1.0470906900000001</v>
          </cell>
          <cell r="AB156">
            <v>1.04725717</v>
          </cell>
          <cell r="AC156">
            <v>1.0478449599999999</v>
          </cell>
          <cell r="AD156">
            <v>1.0449999999999999</v>
          </cell>
          <cell r="AE156">
            <v>1.0490999999999999</v>
          </cell>
          <cell r="AF156">
            <v>1.0506594600000001</v>
          </cell>
          <cell r="AG156">
            <v>1.0528</v>
          </cell>
          <cell r="AH156">
            <v>1.05490405</v>
          </cell>
        </row>
        <row r="157">
          <cell r="A157" t="str">
            <v>SXC6O</v>
          </cell>
          <cell r="B157" t="str">
            <v>SXC6OARS</v>
          </cell>
          <cell r="C157" t="str">
            <v>ON Tier 1 - TAMAR ON</v>
          </cell>
          <cell r="D157">
            <v>200.07699393743334</v>
          </cell>
          <cell r="E157">
            <v>1.0056023300000001</v>
          </cell>
          <cell r="F157">
            <v>1.0052030700000001</v>
          </cell>
          <cell r="G157">
            <v>1.00608001</v>
          </cell>
          <cell r="H157">
            <v>1.00934922</v>
          </cell>
          <cell r="I157">
            <v>1.0102451100000001</v>
          </cell>
          <cell r="J157">
            <v>1.0110534900000001</v>
          </cell>
          <cell r="K157">
            <v>1.01307423</v>
          </cell>
          <cell r="L157">
            <v>1.0138452499999999</v>
          </cell>
          <cell r="M157">
            <v>1.0160692499999999</v>
          </cell>
          <cell r="N157">
            <v>1.01711967</v>
          </cell>
          <cell r="O157">
            <v>1.0182638799999999</v>
          </cell>
          <cell r="P157">
            <v>1.01864303</v>
          </cell>
          <cell r="Q157">
            <v>1.0194494300000001</v>
          </cell>
          <cell r="R157">
            <v>1.02378952</v>
          </cell>
          <cell r="S157">
            <v>1.0247152500000001</v>
          </cell>
          <cell r="T157">
            <v>1.02507305</v>
          </cell>
          <cell r="U157">
            <v>1.0252751</v>
          </cell>
          <cell r="V157">
            <v>1.02550075</v>
          </cell>
          <cell r="W157">
            <v>1.0276468299999999</v>
          </cell>
          <cell r="X157">
            <v>1.0321457199999999</v>
          </cell>
          <cell r="Y157">
            <v>1.0328704900000001</v>
          </cell>
          <cell r="Z157">
            <v>1.0325126200000001</v>
          </cell>
          <cell r="AA157">
            <v>1.03323871</v>
          </cell>
          <cell r="AB157">
            <v>1.03360279</v>
          </cell>
          <cell r="AC157">
            <v>1.0339817</v>
          </cell>
          <cell r="AD157">
            <v>1.03285022</v>
          </cell>
          <cell r="AE157">
            <v>1.0350642800000001</v>
          </cell>
          <cell r="AF157">
            <v>1.0367554999999999</v>
          </cell>
          <cell r="AG157">
            <v>1.0402834999999999</v>
          </cell>
          <cell r="AH157">
            <v>1.0409401199999999</v>
          </cell>
        </row>
        <row r="158">
          <cell r="A158" t="str">
            <v>BF46O</v>
          </cell>
          <cell r="B158" t="str">
            <v>BF46OARS</v>
          </cell>
          <cell r="C158" t="str">
            <v>ON Tier 1 - TAMAR ON</v>
          </cell>
          <cell r="D158">
            <v>203.21333827975909</v>
          </cell>
          <cell r="E158">
            <v>1.0049236500000001</v>
          </cell>
          <cell r="F158">
            <v>1.0045043300000001</v>
          </cell>
          <cell r="G158">
            <v>1.00537794</v>
          </cell>
          <cell r="H158">
            <v>1.00863513</v>
          </cell>
          <cell r="I158">
            <v>1.00952939</v>
          </cell>
          <cell r="J158">
            <v>1.01033635</v>
          </cell>
          <cell r="K158">
            <v>1.0122609899999999</v>
          </cell>
          <cell r="L158">
            <v>1.0130330400000001</v>
          </cell>
          <cell r="M158">
            <v>1.0152543300000001</v>
          </cell>
          <cell r="N158">
            <v>1.0163064900000001</v>
          </cell>
          <cell r="O158">
            <v>1.0174934099999999</v>
          </cell>
          <cell r="P158">
            <v>1.01786285</v>
          </cell>
          <cell r="Q158">
            <v>1.01866835</v>
          </cell>
          <cell r="R158">
            <v>1.0230455700000001</v>
          </cell>
          <cell r="S158">
            <v>1.02397268</v>
          </cell>
          <cell r="T158">
            <v>1.02431827</v>
          </cell>
          <cell r="U158">
            <v>1.0245457499999999</v>
          </cell>
          <cell r="V158">
            <v>1.0247739899999999</v>
          </cell>
          <cell r="W158">
            <v>1.0269190399999999</v>
          </cell>
          <cell r="X158">
            <v>1.03142143</v>
          </cell>
          <cell r="Y158">
            <v>1.0321477299999999</v>
          </cell>
          <cell r="Z158">
            <v>1.03176614</v>
          </cell>
          <cell r="AA158">
            <v>1.0324945999999999</v>
          </cell>
          <cell r="AB158">
            <v>1.03286174</v>
          </cell>
          <cell r="AC158">
            <v>1.0332386</v>
          </cell>
          <cell r="AD158">
            <v>1.03208626</v>
          </cell>
          <cell r="AE158">
            <v>1.0343351199999999</v>
          </cell>
          <cell r="AF158">
            <v>1.0360115700000001</v>
          </cell>
          <cell r="AG158">
            <v>1.03953439</v>
          </cell>
          <cell r="AH158">
            <v>1.0401907500000001</v>
          </cell>
        </row>
        <row r="159">
          <cell r="A159" t="str">
            <v>BF47O</v>
          </cell>
          <cell r="B159" t="str">
            <v>BF47OARS</v>
          </cell>
          <cell r="C159" t="str">
            <v>ON Tier 1 - TAMAR ON</v>
          </cell>
          <cell r="D159">
            <v>222.96724745674504</v>
          </cell>
          <cell r="E159">
            <v>1.0557089399999999</v>
          </cell>
          <cell r="F159">
            <v>1.05521782</v>
          </cell>
          <cell r="G159">
            <v>1.0561653499999999</v>
          </cell>
          <cell r="H159">
            <v>1.05942102</v>
          </cell>
          <cell r="I159">
            <v>1.06035032</v>
          </cell>
          <cell r="J159">
            <v>1.0611922199999999</v>
          </cell>
          <cell r="K159">
            <v>0.99626435999999996</v>
          </cell>
          <cell r="L159">
            <v>0.99702997999999998</v>
          </cell>
          <cell r="M159">
            <v>0.99922628999999996</v>
          </cell>
          <cell r="N159">
            <v>1.0002847500000001</v>
          </cell>
          <cell r="O159">
            <v>1.0044</v>
          </cell>
          <cell r="P159">
            <v>1.00212312</v>
          </cell>
          <cell r="Q159">
            <v>1.0029213800000001</v>
          </cell>
          <cell r="R159">
            <v>1.00746303</v>
          </cell>
          <cell r="S159">
            <v>1.0083939</v>
          </cell>
          <cell r="T159">
            <v>1.0086529500000001</v>
          </cell>
          <cell r="U159">
            <v>1.00910286</v>
          </cell>
          <cell r="V159">
            <v>1.00935815</v>
          </cell>
          <cell r="W159">
            <v>1.0114722599999999</v>
          </cell>
          <cell r="X159">
            <v>1.01585693</v>
          </cell>
          <cell r="Y159">
            <v>1.01657467</v>
          </cell>
          <cell r="Z159">
            <v>1.01604026</v>
          </cell>
          <cell r="AA159">
            <v>1.0167578799999999</v>
          </cell>
          <cell r="AB159">
            <v>1.017188</v>
          </cell>
          <cell r="AC159">
            <v>1.0175097099999999</v>
          </cell>
          <cell r="AD159">
            <v>1.0162259899999999</v>
          </cell>
          <cell r="AE159">
            <v>1.0186659300000001</v>
          </cell>
          <cell r="AF159">
            <v>1.0201949100000001</v>
          </cell>
          <cell r="AG159">
            <v>1.0263965799999999</v>
          </cell>
          <cell r="AH159">
            <v>1.0242925300000001</v>
          </cell>
        </row>
        <row r="160">
          <cell r="A160" t="str">
            <v>BYY1O</v>
          </cell>
          <cell r="B160" t="str">
            <v>BYY1OARS</v>
          </cell>
          <cell r="C160" t="str">
            <v>ON Tier 1 - TAMAR ON</v>
          </cell>
          <cell r="D160">
            <v>219.99247741229189</v>
          </cell>
          <cell r="E160">
            <v>1.05910627</v>
          </cell>
          <cell r="F160">
            <v>1.05863876</v>
          </cell>
          <cell r="G160">
            <v>1.0595549500000001</v>
          </cell>
          <cell r="H160">
            <v>0.99694541000000003</v>
          </cell>
          <cell r="I160">
            <v>0.99783586000000002</v>
          </cell>
          <cell r="J160">
            <v>0.99863614000000001</v>
          </cell>
          <cell r="K160">
            <v>0.99993790999999999</v>
          </cell>
          <cell r="L160">
            <v>1.0007060000000001</v>
          </cell>
          <cell r="M160">
            <v>1.0029077500000001</v>
          </cell>
          <cell r="N160">
            <v>1.0039659999999999</v>
          </cell>
          <cell r="O160">
            <v>1.0054362400000001</v>
          </cell>
          <cell r="P160">
            <v>1.0057568299999999</v>
          </cell>
          <cell r="Q160">
            <v>1.0065562800000001</v>
          </cell>
          <cell r="R160">
            <v>1.0114592499999999</v>
          </cell>
          <cell r="S160">
            <v>1.01201264</v>
          </cell>
          <cell r="T160">
            <v>1.0122853599999999</v>
          </cell>
          <cell r="U160">
            <v>1.0126972000000001</v>
          </cell>
          <cell r="V160">
            <v>1.01294781</v>
          </cell>
          <cell r="W160">
            <v>1.01506936</v>
          </cell>
          <cell r="X160">
            <v>1.02315</v>
          </cell>
          <cell r="Y160">
            <v>1.02020592</v>
          </cell>
          <cell r="Z160">
            <v>1.01969413</v>
          </cell>
          <cell r="AA160">
            <v>1.0204169700000001</v>
          </cell>
          <cell r="AB160">
            <v>1.0215998500000001</v>
          </cell>
          <cell r="AC160">
            <v>1.02117098</v>
          </cell>
          <cell r="AD160">
            <v>1.0199084700000001</v>
          </cell>
          <cell r="AE160">
            <v>1.02232514</v>
          </cell>
          <cell r="AF160">
            <v>1.0238800699999999</v>
          </cell>
          <cell r="AG160">
            <v>1.0273345899999999</v>
          </cell>
          <cell r="AH160">
            <v>1.02799375</v>
          </cell>
        </row>
        <row r="161">
          <cell r="A161" t="str">
            <v>ICC7O</v>
          </cell>
          <cell r="B161" t="str">
            <v>ICC7OARS</v>
          </cell>
          <cell r="C161" t="str">
            <v>ON Tier 1 - TAMAR ON</v>
          </cell>
          <cell r="D161">
            <v>229.9657102396406</v>
          </cell>
          <cell r="E161">
            <v>1.0505534999999999</v>
          </cell>
          <cell r="F161">
            <v>1.0500190199999999</v>
          </cell>
          <cell r="G161">
            <v>1.0509266900000001</v>
          </cell>
          <cell r="H161">
            <v>1.0541208099999999</v>
          </cell>
          <cell r="I161">
            <v>1.05505728</v>
          </cell>
          <cell r="J161">
            <v>1.05590103</v>
          </cell>
          <cell r="K161">
            <v>1.0568798500000001</v>
          </cell>
          <cell r="L161">
            <v>1.0576958000000001</v>
          </cell>
          <cell r="M161">
            <v>1.06002635</v>
          </cell>
          <cell r="N161">
            <v>1.0611282500000001</v>
          </cell>
          <cell r="O161">
            <v>1.0628330100000001</v>
          </cell>
          <cell r="P161">
            <v>0.9967009</v>
          </cell>
          <cell r="Q161">
            <v>0.99749527999999998</v>
          </cell>
          <cell r="R161">
            <v>1.0020819000000001</v>
          </cell>
          <cell r="S161">
            <v>1.0030131099999999</v>
          </cell>
          <cell r="T161">
            <v>1.00323955</v>
          </cell>
          <cell r="U161">
            <v>1.00378276</v>
          </cell>
          <cell r="V161">
            <v>1.00404929</v>
          </cell>
          <cell r="W161">
            <v>1.0061528099999999</v>
          </cell>
          <cell r="X161">
            <v>1.0104777700000001</v>
          </cell>
          <cell r="Y161">
            <v>1.0111942599999999</v>
          </cell>
          <cell r="Z161">
            <v>1.01060562</v>
          </cell>
          <cell r="AA161">
            <v>1.0113224000000001</v>
          </cell>
          <cell r="AB161">
            <v>1.01179408</v>
          </cell>
          <cell r="AC161">
            <v>1.01208711</v>
          </cell>
          <cell r="AD161">
            <v>1.0107678200000001</v>
          </cell>
          <cell r="AE161">
            <v>1.01327382</v>
          </cell>
          <cell r="AF161">
            <v>1.0147453900000001</v>
          </cell>
          <cell r="AG161">
            <v>1.01814881</v>
          </cell>
          <cell r="AH161">
            <v>1.0188102699999999</v>
          </cell>
        </row>
        <row r="162">
          <cell r="A162" t="str">
            <v>SXC8O</v>
          </cell>
          <cell r="B162" t="str">
            <v>SXC8OARS</v>
          </cell>
          <cell r="C162" t="str">
            <v>ON Tier 1 - TAMAR ON</v>
          </cell>
          <cell r="D162">
            <v>280.37173654380859</v>
          </cell>
          <cell r="E162">
            <v>1.0102996200000001</v>
          </cell>
          <cell r="F162">
            <v>1.00922</v>
          </cell>
          <cell r="G162">
            <v>1.0102756500000001</v>
          </cell>
          <cell r="H162">
            <v>1.0125335900000001</v>
          </cell>
          <cell r="I162">
            <v>1.0134823399999999</v>
          </cell>
          <cell r="J162">
            <v>1.01431761</v>
          </cell>
          <cell r="K162">
            <v>1.01239269</v>
          </cell>
          <cell r="L162">
            <v>1.0131834799999999</v>
          </cell>
          <cell r="M162">
            <v>1.01545515</v>
          </cell>
          <cell r="N162">
            <v>1.0165925600000001</v>
          </cell>
          <cell r="O162">
            <v>1.02018111</v>
          </cell>
          <cell r="P162">
            <v>1.0203241000000001</v>
          </cell>
          <cell r="Q162">
            <v>1.02114656</v>
          </cell>
          <cell r="R162">
            <v>1.0258597899999999</v>
          </cell>
          <cell r="S162">
            <v>1.02685666</v>
          </cell>
          <cell r="T162">
            <v>1.0267730799999999</v>
          </cell>
          <cell r="U162">
            <v>1.0287445799999999</v>
          </cell>
          <cell r="V162">
            <v>1.0291993800000001</v>
          </cell>
          <cell r="W162">
            <v>1.0313529800000001</v>
          </cell>
          <cell r="X162">
            <v>1.03465728</v>
          </cell>
          <cell r="Y162">
            <v>1.0353965599999999</v>
          </cell>
          <cell r="Z162">
            <v>1.03432345</v>
          </cell>
          <cell r="AA162">
            <v>1.0350553899999999</v>
          </cell>
          <cell r="AB162">
            <v>1.0365893900000001</v>
          </cell>
          <cell r="AC162">
            <v>1.0361638900000001</v>
          </cell>
          <cell r="AD162">
            <v>1.0346907700000001</v>
          </cell>
          <cell r="AE162">
            <v>1.03775387</v>
          </cell>
          <cell r="AF162">
            <v>1.0386363300000001</v>
          </cell>
          <cell r="AG162">
            <v>1.04189156</v>
          </cell>
          <cell r="AH162">
            <v>1.04262736</v>
          </cell>
        </row>
        <row r="163">
          <cell r="A163" t="str">
            <v>BNCYO</v>
          </cell>
          <cell r="B163" t="str">
            <v>BNCYOARS</v>
          </cell>
          <cell r="C163" t="str">
            <v>ON Tier 1 - TAMAR ON</v>
          </cell>
          <cell r="D163">
            <v>235.95272625246895</v>
          </cell>
          <cell r="E163">
            <v>1.0462847200000001</v>
          </cell>
          <cell r="F163">
            <v>1.0457138500000001</v>
          </cell>
          <cell r="G163">
            <v>1.0466206</v>
          </cell>
          <cell r="H163">
            <v>1.0490097</v>
          </cell>
          <cell r="I163">
            <v>1.05069276</v>
          </cell>
          <cell r="J163">
            <v>1.0515348</v>
          </cell>
          <cell r="K163">
            <v>1.05229057</v>
          </cell>
          <cell r="L163">
            <v>1.05309688</v>
          </cell>
          <cell r="M163">
            <v>1.0554108600000001</v>
          </cell>
          <cell r="N163">
            <v>1.05651798</v>
          </cell>
          <cell r="O163">
            <v>1.0583498099999999</v>
          </cell>
          <cell r="P163">
            <v>1.0586705999999999</v>
          </cell>
          <cell r="Q163">
            <v>1.0595038400000001</v>
          </cell>
          <cell r="R163">
            <v>1.0669</v>
          </cell>
          <cell r="S163">
            <v>1.0652249499999999</v>
          </cell>
          <cell r="T163">
            <v>0.99868869000000005</v>
          </cell>
          <cell r="U163">
            <v>0.99931930999999996</v>
          </cell>
          <cell r="V163">
            <v>0.99959637999999995</v>
          </cell>
          <cell r="W163">
            <v>1.0016908200000001</v>
          </cell>
          <cell r="X163">
            <v>1.00595524</v>
          </cell>
          <cell r="Y163">
            <v>1.00666985</v>
          </cell>
          <cell r="Z163">
            <v>1.0060348299999999</v>
          </cell>
          <cell r="AA163">
            <v>1.00674938</v>
          </cell>
          <cell r="AB163">
            <v>1.0072638300000001</v>
          </cell>
          <cell r="AC163">
            <v>1.0075251700000001</v>
          </cell>
          <cell r="AD163">
            <v>1.0061761499999999</v>
          </cell>
          <cell r="AE163">
            <v>1.0087365500000001</v>
          </cell>
          <cell r="AF163">
            <v>1.01015685</v>
          </cell>
          <cell r="AG163">
            <v>1.0135312599999999</v>
          </cell>
          <cell r="AH163">
            <v>1.01419393</v>
          </cell>
        </row>
        <row r="164">
          <cell r="A164" t="str">
            <v>NZC4O</v>
          </cell>
          <cell r="B164" t="str">
            <v>NZC4OARS</v>
          </cell>
          <cell r="C164" t="str">
            <v>ON Tier 1 - TAMAR ON</v>
          </cell>
          <cell r="D164">
            <v>240.69315213524533</v>
          </cell>
          <cell r="E164">
            <v>1.03109129</v>
          </cell>
          <cell r="F164">
            <v>1.0303944</v>
          </cell>
          <cell r="G164">
            <v>1.03130221</v>
          </cell>
          <cell r="H164">
            <v>1.0341965</v>
          </cell>
          <cell r="I164">
            <v>1.0351342800000001</v>
          </cell>
          <cell r="J164">
            <v>1.0359715199999999</v>
          </cell>
          <cell r="K164">
            <v>1.0358911099999999</v>
          </cell>
          <cell r="L164">
            <v>1.03669072</v>
          </cell>
          <cell r="M164">
            <v>1.03898438</v>
          </cell>
          <cell r="N164">
            <v>1.04010045</v>
          </cell>
          <cell r="O164">
            <v>1.0424318400000001</v>
          </cell>
          <cell r="P164">
            <v>1.04269027</v>
          </cell>
          <cell r="Q164">
            <v>1.0435203799999999</v>
          </cell>
          <cell r="R164">
            <v>1.0483201</v>
          </cell>
          <cell r="S164">
            <v>1.0493022299999999</v>
          </cell>
          <cell r="T164">
            <v>1.0494419399999999</v>
          </cell>
          <cell r="U164">
            <v>1.0504725399999999</v>
          </cell>
          <cell r="V164">
            <v>1.05082977</v>
          </cell>
          <cell r="W164">
            <v>1.05302864</v>
          </cell>
          <cell r="X164">
            <v>1.05708549</v>
          </cell>
          <cell r="Y164">
            <v>1.0578361000000001</v>
          </cell>
          <cell r="Z164">
            <v>1.0559000000000001</v>
          </cell>
          <cell r="AA164">
            <v>1.0578316800000001</v>
          </cell>
          <cell r="AB164">
            <v>1.0589999999999999</v>
          </cell>
          <cell r="AC164">
            <v>1.05882571</v>
          </cell>
          <cell r="AD164">
            <v>1.0574222900000001</v>
          </cell>
          <cell r="AE164">
            <v>1.0602251</v>
          </cell>
          <cell r="AF164">
            <v>1.0615025600000001</v>
          </cell>
          <cell r="AG164">
            <v>1.06495874</v>
          </cell>
          <cell r="AH164">
            <v>0.99809844000000003</v>
          </cell>
        </row>
        <row r="165">
          <cell r="A165" t="str">
            <v>PWC1O</v>
          </cell>
          <cell r="B165" t="str">
            <v>PWC1OARS</v>
          </cell>
          <cell r="C165" t="str">
            <v>ON Tier 1 - TAMAR ON</v>
          </cell>
          <cell r="D165">
            <v>304.65238031519192</v>
          </cell>
          <cell r="Q165">
            <v>0.99985274000000002</v>
          </cell>
          <cell r="R165">
            <v>1.00433478</v>
          </cell>
          <cell r="S165">
            <v>1.0053271500000001</v>
          </cell>
          <cell r="T165">
            <v>1.00398644</v>
          </cell>
          <cell r="U165">
            <v>1.0072000000000001</v>
          </cell>
          <cell r="V165">
            <v>1.0082870900000001</v>
          </cell>
          <cell r="W165">
            <v>1.0103974600000001</v>
          </cell>
          <cell r="X165">
            <v>1.0113000000000001</v>
          </cell>
          <cell r="Y165">
            <v>1.01377732</v>
          </cell>
          <cell r="Z165">
            <v>1.01251829</v>
          </cell>
          <cell r="AA165">
            <v>1.01324481</v>
          </cell>
          <cell r="AB165">
            <v>1.0150165</v>
          </cell>
          <cell r="AC165">
            <v>1.0167444699999999</v>
          </cell>
          <cell r="AD165">
            <v>1.0130270400000001</v>
          </cell>
          <cell r="AE165">
            <v>1.01619806</v>
          </cell>
          <cell r="AF165">
            <v>1.0167948899999999</v>
          </cell>
          <cell r="AG165">
            <v>1.0184</v>
          </cell>
          <cell r="AH165">
            <v>1.0206278499999999</v>
          </cell>
        </row>
        <row r="166">
          <cell r="A166" t="str">
            <v>T661O</v>
          </cell>
          <cell r="B166" t="str">
            <v>T661OARS</v>
          </cell>
          <cell r="C166" t="str">
            <v>ON Tier 2 - TAMAR ON</v>
          </cell>
          <cell r="D166">
            <v>47.999999999978648</v>
          </cell>
          <cell r="E166">
            <v>1.0035966999999999</v>
          </cell>
          <cell r="F166">
            <v>1.0044771699999999</v>
          </cell>
          <cell r="G166">
            <v>1.00529417</v>
          </cell>
          <cell r="H166">
            <v>1.0083685899999999</v>
          </cell>
          <cell r="I166">
            <v>1.0083427899999999</v>
          </cell>
          <cell r="J166">
            <v>1.00913604</v>
          </cell>
          <cell r="K166">
            <v>1.0122749900000001</v>
          </cell>
          <cell r="L166">
            <v>1.0136860400000001</v>
          </cell>
          <cell r="M166">
            <v>1.0158263700000001</v>
          </cell>
          <cell r="N166">
            <v>1.0166780900000001</v>
          </cell>
          <cell r="O166">
            <v>1.0173083700000001</v>
          </cell>
          <cell r="P166">
            <v>1.01799606</v>
          </cell>
          <cell r="Q166">
            <v>1.01875559</v>
          </cell>
          <cell r="R166">
            <v>1.02066162</v>
          </cell>
          <cell r="S166">
            <v>1.0214504799999999</v>
          </cell>
          <cell r="T166">
            <v>1.02214655</v>
          </cell>
          <cell r="U166">
            <v>1.02145975</v>
          </cell>
          <cell r="V166">
            <v>1.02209865</v>
          </cell>
          <cell r="W166">
            <v>1.0245800384964701</v>
          </cell>
          <cell r="X166">
            <v>1.0266203</v>
          </cell>
          <cell r="Y166">
            <v>1.0269781099999999</v>
          </cell>
          <cell r="Z166">
            <v>1.02847804</v>
          </cell>
          <cell r="AA166">
            <v>1.0286640499999999</v>
          </cell>
          <cell r="AB166">
            <v>1.0309073099999999</v>
          </cell>
          <cell r="AC166">
            <v>1.0311821800000001</v>
          </cell>
          <cell r="AD166">
            <v>1.0351999999999999</v>
          </cell>
          <cell r="AE166">
            <v>1.0330999999999999</v>
          </cell>
          <cell r="AF166">
            <v>1.03376025</v>
          </cell>
          <cell r="AG166">
            <v>1.0368820999999999</v>
          </cell>
          <cell r="AH166">
            <v>1.0376017399999999</v>
          </cell>
        </row>
        <row r="167">
          <cell r="A167" t="str">
            <v>VWCDO</v>
          </cell>
          <cell r="B167" t="str">
            <v>VWCDOARS</v>
          </cell>
          <cell r="C167" t="str">
            <v>ON Tier 2 - TAMAR ON</v>
          </cell>
          <cell r="D167">
            <v>58.999999999986002</v>
          </cell>
          <cell r="E167">
            <v>1.06321899</v>
          </cell>
          <cell r="F167">
            <v>1.0641372499999999</v>
          </cell>
          <cell r="G167">
            <v>1.0649623800000001</v>
          </cell>
          <cell r="H167">
            <v>1.06829072</v>
          </cell>
          <cell r="I167">
            <v>1.06818338</v>
          </cell>
          <cell r="J167">
            <v>1.06900935</v>
          </cell>
          <cell r="K167">
            <v>1.0722406799999999</v>
          </cell>
          <cell r="L167">
            <v>1.00447464</v>
          </cell>
          <cell r="M167">
            <v>1.00657727</v>
          </cell>
          <cell r="N167">
            <v>1.00743012</v>
          </cell>
          <cell r="O167">
            <v>1.0080041099999999</v>
          </cell>
          <cell r="P167">
            <v>1.0086632099999999</v>
          </cell>
          <cell r="Q167">
            <v>1.00941529</v>
          </cell>
          <cell r="R167">
            <v>1.01141104</v>
          </cell>
          <cell r="S167">
            <v>1.0121997899999999</v>
          </cell>
          <cell r="T167">
            <v>1.01287935</v>
          </cell>
          <cell r="U167">
            <v>1.01194959</v>
          </cell>
          <cell r="V167">
            <v>1.0125865199999999</v>
          </cell>
          <cell r="W167">
            <v>1.01510203</v>
          </cell>
          <cell r="X167">
            <v>1.0173484399999999</v>
          </cell>
          <cell r="Y167">
            <v>1.0176518699999999</v>
          </cell>
          <cell r="Z167">
            <v>1.01926187</v>
          </cell>
          <cell r="AA167">
            <v>1.0193679</v>
          </cell>
          <cell r="AB167">
            <v>1.0215833599999999</v>
          </cell>
          <cell r="AC167">
            <v>1.0218798499999999</v>
          </cell>
          <cell r="AD167">
            <v>1.0221662</v>
          </cell>
          <cell r="AE167">
            <v>1.0232391000000001</v>
          </cell>
          <cell r="AF167">
            <v>1.0244594300000001</v>
          </cell>
          <cell r="AG167">
            <v>1.0276504900000001</v>
          </cell>
          <cell r="AH167">
            <v>1.0283616799999999</v>
          </cell>
        </row>
        <row r="168">
          <cell r="A168" t="str">
            <v>PS35O</v>
          </cell>
          <cell r="B168" t="str">
            <v>PS35OARS</v>
          </cell>
          <cell r="C168" t="str">
            <v>ON Tier 2 - TAMAR ON</v>
          </cell>
          <cell r="D168">
            <v>69.000000000025196</v>
          </cell>
          <cell r="E168">
            <v>1.0559012800000001</v>
          </cell>
          <cell r="F168">
            <v>1.0568143800000001</v>
          </cell>
          <cell r="G168">
            <v>1.0576309500000001</v>
          </cell>
          <cell r="H168">
            <v>1.06106287</v>
          </cell>
          <cell r="I168">
            <v>1.0608526899999999</v>
          </cell>
          <cell r="J168">
            <v>1.0616749400000001</v>
          </cell>
          <cell r="K168">
            <v>1.0649663199999999</v>
          </cell>
          <cell r="L168">
            <v>1.06659941</v>
          </cell>
          <cell r="M168">
            <v>1.06882996</v>
          </cell>
          <cell r="N168">
            <v>1.0697446500000001</v>
          </cell>
          <cell r="O168">
            <v>1.0703379900000001</v>
          </cell>
          <cell r="P168">
            <v>1.0710202900000001</v>
          </cell>
          <cell r="Q168">
            <v>1.0718094199999999</v>
          </cell>
          <cell r="R168">
            <v>1.0049366200000001</v>
          </cell>
          <cell r="S168">
            <v>1.0057299799999999</v>
          </cell>
          <cell r="T168">
            <v>1.0063971899999999</v>
          </cell>
          <cell r="U168">
            <v>1.00525015</v>
          </cell>
          <cell r="V168">
            <v>1.0058901200000001</v>
          </cell>
          <cell r="W168">
            <v>1.0084394299999999</v>
          </cell>
          <cell r="X168">
            <v>1.0108642800000001</v>
          </cell>
          <cell r="Y168">
            <v>1.0111150499999999</v>
          </cell>
          <cell r="Z168">
            <v>1.0128227599999999</v>
          </cell>
          <cell r="AA168">
            <v>1.0128486400000001</v>
          </cell>
          <cell r="AB168">
            <v>1.01503195</v>
          </cell>
          <cell r="AC168">
            <v>1.01535994</v>
          </cell>
          <cell r="AD168">
            <v>1.01555551</v>
          </cell>
          <cell r="AE168">
            <v>1.0167351200000001</v>
          </cell>
          <cell r="AF168">
            <v>1.0179764099999999</v>
          </cell>
          <cell r="AG168">
            <v>1.02118164</v>
          </cell>
          <cell r="AH168">
            <v>1.0218905899999999</v>
          </cell>
        </row>
        <row r="169">
          <cell r="A169" t="str">
            <v>T671O</v>
          </cell>
          <cell r="B169" t="str">
            <v>T671OARS</v>
          </cell>
          <cell r="C169" t="str">
            <v>ON Tier 2 - TAMAR ON</v>
          </cell>
          <cell r="D169">
            <v>205.16900300394323</v>
          </cell>
          <cell r="E169">
            <v>1.01009342</v>
          </cell>
          <cell r="F169">
            <v>1.0108337999999999</v>
          </cell>
          <cell r="G169">
            <v>1.0116196900000001</v>
          </cell>
          <cell r="H169">
            <v>1.0161317700000001</v>
          </cell>
          <cell r="I169">
            <v>1.0145349299999999</v>
          </cell>
          <cell r="J169">
            <v>1.0153596499999999</v>
          </cell>
          <cell r="K169">
            <v>1.0152476500000001</v>
          </cell>
          <cell r="L169">
            <v>1.01807856</v>
          </cell>
          <cell r="M169">
            <v>1.0202456</v>
          </cell>
          <cell r="N169">
            <v>1.0213180900000001</v>
          </cell>
          <cell r="O169">
            <v>1.0225699500000001</v>
          </cell>
          <cell r="P169">
            <v>1.0229492200000001</v>
          </cell>
          <cell r="Q169">
            <v>1.02377195</v>
          </cell>
          <cell r="R169">
            <v>1.0282269500000001</v>
          </cell>
          <cell r="S169">
            <v>1.02917277</v>
          </cell>
          <cell r="T169">
            <v>1.02952244</v>
          </cell>
          <cell r="U169">
            <v>1.0261897799999999</v>
          </cell>
          <cell r="V169">
            <v>1.0273094300000001</v>
          </cell>
          <cell r="W169">
            <v>1.03059195</v>
          </cell>
          <cell r="X169">
            <v>1.0341341799999999</v>
          </cell>
          <cell r="Y169">
            <v>1.03366366</v>
          </cell>
          <cell r="Z169">
            <v>1.03654504</v>
          </cell>
          <cell r="AA169">
            <v>1.0354251400000001</v>
          </cell>
          <cell r="AB169">
            <v>1.0379893099999999</v>
          </cell>
          <cell r="AC169">
            <v>1.03937971</v>
          </cell>
          <cell r="AD169">
            <v>1.0403</v>
          </cell>
          <cell r="AE169">
            <v>1.0410048300000001</v>
          </cell>
          <cell r="AF169">
            <v>1.04221304</v>
          </cell>
          <cell r="AG169">
            <v>1.0454083599999999</v>
          </cell>
          <cell r="AH169">
            <v>1.0462758299999999</v>
          </cell>
        </row>
        <row r="170">
          <cell r="A170" t="str">
            <v>DEC3O</v>
          </cell>
          <cell r="B170" t="str">
            <v>DEC3OARS</v>
          </cell>
          <cell r="C170" t="str">
            <v>ON Tier 3 - TAMAR ON</v>
          </cell>
          <cell r="D170">
            <v>246.34355908751147</v>
          </cell>
          <cell r="E170">
            <v>1.0420301999999999</v>
          </cell>
          <cell r="F170">
            <v>1.04279594</v>
          </cell>
          <cell r="G170">
            <v>1.0436616299999999</v>
          </cell>
          <cell r="H170">
            <v>1.04829682</v>
          </cell>
          <cell r="I170">
            <v>1.04647299</v>
          </cell>
          <cell r="J170">
            <v>1.0473947100000001</v>
          </cell>
          <cell r="K170">
            <v>1.04559461</v>
          </cell>
          <cell r="L170">
            <v>1.04879276</v>
          </cell>
          <cell r="M170">
            <v>1.0512271500000001</v>
          </cell>
          <cell r="N170">
            <v>1.0613418299999999</v>
          </cell>
          <cell r="O170">
            <v>1.0634984700000001</v>
          </cell>
          <cell r="P170">
            <v>1.0638410599999999</v>
          </cell>
          <cell r="Q170">
            <v>1.0652458499999999</v>
          </cell>
          <cell r="R170">
            <v>1.0681136200000001</v>
          </cell>
          <cell r="S170">
            <v>1.06902393</v>
          </cell>
          <cell r="T170">
            <v>1.0703072199999999</v>
          </cell>
          <cell r="U170">
            <v>1.0715818500000001</v>
          </cell>
          <cell r="V170">
            <v>1.07247973</v>
          </cell>
          <cell r="W170">
            <v>1.0748532</v>
          </cell>
          <cell r="X170">
            <v>1.0779683</v>
          </cell>
          <cell r="Y170">
            <v>1.07737357</v>
          </cell>
          <cell r="Z170">
            <v>1.08052601</v>
          </cell>
          <cell r="AA170">
            <v>1.0714999999999999</v>
          </cell>
          <cell r="AB170">
            <v>0.99983690999999997</v>
          </cell>
          <cell r="AC170">
            <v>1.0017117</v>
          </cell>
          <cell r="AD170">
            <v>1.00201685</v>
          </cell>
          <cell r="AE170">
            <v>1.00281606</v>
          </cell>
          <cell r="AF170">
            <v>1.0061947499999999</v>
          </cell>
          <cell r="AG170">
            <v>1.0088706300000001</v>
          </cell>
          <cell r="AH170">
            <v>1.00978598</v>
          </cell>
        </row>
        <row r="171">
          <cell r="A171" t="str">
            <v>PVC6O</v>
          </cell>
          <cell r="B171" t="str">
            <v>PVC6OARS</v>
          </cell>
          <cell r="C171" t="str">
            <v>ON Tier 2 - TAMAR ON</v>
          </cell>
          <cell r="D171">
            <v>220.63279824295049</v>
          </cell>
          <cell r="E171">
            <v>1.06133908</v>
          </cell>
          <cell r="F171">
            <v>1.0621034300000001</v>
          </cell>
          <cell r="G171">
            <v>1.06294179</v>
          </cell>
          <cell r="H171">
            <v>1.06753056</v>
          </cell>
          <cell r="I171">
            <v>0.99797146999999997</v>
          </cell>
          <cell r="J171">
            <v>0.99878769999999994</v>
          </cell>
          <cell r="K171">
            <v>0.99801377999999996</v>
          </cell>
          <cell r="L171">
            <v>1.00093152</v>
          </cell>
          <cell r="M171">
            <v>1.00306669</v>
          </cell>
          <cell r="N171">
            <v>1.00414073</v>
          </cell>
          <cell r="O171">
            <v>1.00564487</v>
          </cell>
          <cell r="P171">
            <v>1.0059800000000001</v>
          </cell>
          <cell r="Q171">
            <v>1.0067943100000001</v>
          </cell>
          <cell r="R171">
            <v>1.0113584499999999</v>
          </cell>
          <cell r="S171">
            <v>1.01230347</v>
          </cell>
          <cell r="T171">
            <v>1.0125856099999999</v>
          </cell>
          <cell r="U171">
            <v>1.00923239</v>
          </cell>
          <cell r="V171">
            <v>1.0104141099999999</v>
          </cell>
          <cell r="W171">
            <v>1.01371714</v>
          </cell>
          <cell r="X171">
            <v>1.0146999999999999</v>
          </cell>
          <cell r="Y171">
            <v>1.0163</v>
          </cell>
          <cell r="Z171">
            <v>1.0194983500000001</v>
          </cell>
          <cell r="AA171">
            <v>1.0182649399999999</v>
          </cell>
          <cell r="AB171">
            <v>1.02098409</v>
          </cell>
          <cell r="AC171">
            <v>1.0189999999999999</v>
          </cell>
          <cell r="AD171">
            <v>1.0226999999999999</v>
          </cell>
          <cell r="AE171">
            <v>1.0248675899999999</v>
          </cell>
          <cell r="AF171">
            <v>1.0245</v>
          </cell>
          <cell r="AG171">
            <v>1.0282337800000001</v>
          </cell>
          <cell r="AH171">
            <v>1.0291127200000001</v>
          </cell>
        </row>
        <row r="172">
          <cell r="A172" t="str">
            <v>DHSLO</v>
          </cell>
          <cell r="B172" t="str">
            <v>DHSLOARS</v>
          </cell>
          <cell r="C172" t="str">
            <v>ON Tier 3 - TAMAR ON</v>
          </cell>
          <cell r="D172">
            <v>209.12302915938747</v>
          </cell>
          <cell r="E172">
            <v>0.99241668000000005</v>
          </cell>
          <cell r="F172">
            <v>0.99320213999999996</v>
          </cell>
          <cell r="G172">
            <v>0.99403547000000003</v>
          </cell>
          <cell r="H172">
            <v>0.99866885000000005</v>
          </cell>
          <cell r="I172">
            <v>0.99712453000000001</v>
          </cell>
          <cell r="J172">
            <v>0.99800011</v>
          </cell>
          <cell r="K172">
            <v>0.99779384000000004</v>
          </cell>
          <cell r="L172">
            <v>1.0006764399999999</v>
          </cell>
          <cell r="M172">
            <v>1.0030020500000001</v>
          </cell>
          <cell r="N172">
            <v>1.0119848600000001</v>
          </cell>
          <cell r="O172">
            <v>1.0133239999999999</v>
          </cell>
          <cell r="P172">
            <v>1.0137233999999999</v>
          </cell>
          <cell r="Q172">
            <v>1.0165999999999999</v>
          </cell>
          <cell r="R172">
            <v>1.0177602299999999</v>
          </cell>
          <cell r="S172">
            <v>1.0186232200000001</v>
          </cell>
          <cell r="T172">
            <v>1.0204</v>
          </cell>
          <cell r="U172">
            <v>1.02126991</v>
          </cell>
          <cell r="V172">
            <v>1.02127933</v>
          </cell>
          <cell r="W172">
            <v>1.0235417099999999</v>
          </cell>
          <cell r="X172">
            <v>1.0270665400000001</v>
          </cell>
          <cell r="Y172">
            <v>1.0266025599999999</v>
          </cell>
          <cell r="Z172">
            <v>1.02951828</v>
          </cell>
          <cell r="AA172">
            <v>1.0223244499999999</v>
          </cell>
          <cell r="AB172">
            <v>1.0240561800000001</v>
          </cell>
          <cell r="AC172">
            <v>1.02549713</v>
          </cell>
          <cell r="AD172">
            <v>1.0257971299999999</v>
          </cell>
          <cell r="AE172">
            <v>1.02648826</v>
          </cell>
          <cell r="AF172">
            <v>1.0299164599999999</v>
          </cell>
          <cell r="AG172">
            <v>1.0328738399999999</v>
          </cell>
          <cell r="AH172">
            <v>1.0337551899999999</v>
          </cell>
        </row>
        <row r="173">
          <cell r="A173"/>
          <cell r="B173"/>
          <cell r="C173"/>
          <cell r="D173"/>
        </row>
        <row r="174">
          <cell r="A174" t="str">
            <v>Obligaciones Negociables Tasa Fija - Tamar</v>
          </cell>
          <cell r="B174"/>
          <cell r="C174"/>
          <cell r="D174"/>
        </row>
        <row r="175">
          <cell r="A175"/>
          <cell r="B175"/>
          <cell r="C175"/>
          <cell r="D175"/>
        </row>
        <row r="176">
          <cell r="A176" t="str">
            <v>DHSNO</v>
          </cell>
          <cell r="B176" t="str">
            <v>DHSNOARS</v>
          </cell>
          <cell r="C176" t="str">
            <v>ON Tier 3 - TAMAR ON</v>
          </cell>
          <cell r="D176">
            <v>272.86945787791348</v>
          </cell>
          <cell r="E176">
            <v>1.0014866899999999</v>
          </cell>
          <cell r="F176">
            <v>1.0021460600000001</v>
          </cell>
          <cell r="G176">
            <v>1.00298405</v>
          </cell>
          <cell r="H176">
            <v>1.00710554</v>
          </cell>
          <cell r="I176">
            <v>1.00492794</v>
          </cell>
          <cell r="J176">
            <v>1.0058269900000001</v>
          </cell>
          <cell r="K176">
            <v>1.0018444099999999</v>
          </cell>
          <cell r="L176">
            <v>1.00529439</v>
          </cell>
          <cell r="M176">
            <v>1.0076369700000001</v>
          </cell>
          <cell r="N176">
            <v>1.01885699</v>
          </cell>
          <cell r="O176">
            <v>1.02225239</v>
          </cell>
          <cell r="P176">
            <v>1.0224605499999999</v>
          </cell>
          <cell r="Q176">
            <v>1.0239070400000001</v>
          </cell>
          <cell r="R176">
            <v>1.02641081</v>
          </cell>
          <cell r="S176">
            <v>1.0273021099999999</v>
          </cell>
          <cell r="T176">
            <v>1.0284802200000001</v>
          </cell>
          <cell r="U176">
            <v>1.0307242299999999</v>
          </cell>
          <cell r="V176">
            <v>1.0317773699999999</v>
          </cell>
          <cell r="W176">
            <v>1.03406043</v>
          </cell>
          <cell r="X176">
            <v>1.0362594599999999</v>
          </cell>
          <cell r="Y176">
            <v>1.03544502</v>
          </cell>
          <cell r="Z176">
            <v>1.0387649000000001</v>
          </cell>
          <cell r="AA176">
            <v>1.02919688</v>
          </cell>
          <cell r="AB176">
            <v>1.03228487</v>
          </cell>
          <cell r="AC176">
            <v>1.0333645</v>
          </cell>
          <cell r="AD176">
            <v>1.0338503800000001</v>
          </cell>
          <cell r="AE176">
            <v>1.03472264</v>
          </cell>
          <cell r="AF176">
            <v>1.0380088999999999</v>
          </cell>
          <cell r="AG176">
            <v>1.0405096700000001</v>
          </cell>
          <cell r="AH176">
            <v>1.04151094</v>
          </cell>
        </row>
        <row r="177">
          <cell r="A177"/>
          <cell r="B177"/>
          <cell r="C177"/>
          <cell r="D177"/>
        </row>
        <row r="178">
          <cell r="A178" t="str">
            <v>Obligaciones Negociables UVA</v>
          </cell>
          <cell r="B178"/>
          <cell r="C178"/>
          <cell r="D178"/>
        </row>
        <row r="179">
          <cell r="A179"/>
          <cell r="B179"/>
          <cell r="C179"/>
          <cell r="D179"/>
        </row>
        <row r="180">
          <cell r="A180" t="str">
            <v>SNSDP</v>
          </cell>
          <cell r="B180" t="str">
            <v>SNSDPARS</v>
          </cell>
          <cell r="C180" t="str">
            <v>ON Tier 3 UVA - Tasa Fija Pesos CER</v>
          </cell>
          <cell r="D180">
            <v>20.000000000001748</v>
          </cell>
          <cell r="E180">
            <v>706.82524229000001</v>
          </cell>
          <cell r="F180">
            <v>705.37694810000005</v>
          </cell>
          <cell r="G180">
            <v>707.41218699000001</v>
          </cell>
          <cell r="H180">
            <v>706.26883042999998</v>
          </cell>
          <cell r="I180">
            <v>709.61841054000001</v>
          </cell>
          <cell r="J180">
            <v>708.07388963000005</v>
          </cell>
          <cell r="K180">
            <v>710.82884447000004</v>
          </cell>
          <cell r="L180">
            <v>709.35056082999995</v>
          </cell>
          <cell r="M180">
            <v>710.60403872999996</v>
          </cell>
          <cell r="N180">
            <v>713.37154908000002</v>
          </cell>
          <cell r="O180">
            <v>712.75438471999996</v>
          </cell>
          <cell r="P180">
            <v>715.47517338</v>
          </cell>
          <cell r="Q180">
            <v>716.06816101000004</v>
          </cell>
          <cell r="R180">
            <v>716.66984226</v>
          </cell>
          <cell r="S180">
            <v>717.73060966000003</v>
          </cell>
          <cell r="T180">
            <v>718.62650456999995</v>
          </cell>
          <cell r="U180">
            <v>718.89282416000003</v>
          </cell>
          <cell r="V180">
            <v>719.30634144999999</v>
          </cell>
          <cell r="W180">
            <v>720.11934657999996</v>
          </cell>
          <cell r="X180">
            <v>720.52956914000004</v>
          </cell>
          <cell r="Y180">
            <v>721.51106794999998</v>
          </cell>
          <cell r="Z180">
            <v>722.26455234000002</v>
          </cell>
          <cell r="AA180">
            <v>723.55365147999998</v>
          </cell>
          <cell r="AB180">
            <v>723.44951637999998</v>
          </cell>
          <cell r="AC180">
            <v>724.97597323000002</v>
          </cell>
          <cell r="AD180">
            <v>725.34345769000004</v>
          </cell>
          <cell r="AE180">
            <v>725.67830426</v>
          </cell>
          <cell r="AF180">
            <v>726.26108864000003</v>
          </cell>
          <cell r="AG180">
            <v>726.84871115999999</v>
          </cell>
          <cell r="AH180">
            <v>728.29265477000001</v>
          </cell>
        </row>
        <row r="181">
          <cell r="A181" t="str">
            <v>NZC3O</v>
          </cell>
          <cell r="B181" t="str">
            <v>NZC3OARS</v>
          </cell>
          <cell r="C181" t="str">
            <v>ON Tier 1 UVA - Tasa Fija Pesos CER</v>
          </cell>
          <cell r="D181">
            <v>379.64962630668919</v>
          </cell>
          <cell r="E181">
            <v>2048.5364093899998</v>
          </cell>
          <cell r="F181">
            <v>2030.32288963</v>
          </cell>
          <cell r="G181">
            <v>2048.4911284899999</v>
          </cell>
          <cell r="H181">
            <v>2037.7272304799999</v>
          </cell>
          <cell r="I181">
            <v>2055.5682871200002</v>
          </cell>
          <cell r="J181">
            <v>2030.4489424799999</v>
          </cell>
          <cell r="K181">
            <v>2059.9713237599999</v>
          </cell>
          <cell r="L181">
            <v>2056.22229152</v>
          </cell>
          <cell r="M181">
            <v>2056.3167226800001</v>
          </cell>
          <cell r="N181">
            <v>2058.55885102</v>
          </cell>
          <cell r="O181">
            <v>2062.7127883799999</v>
          </cell>
          <cell r="P181">
            <v>2110</v>
          </cell>
          <cell r="Q181">
            <v>2086.6319850300001</v>
          </cell>
          <cell r="R181">
            <v>2084.5968813999998</v>
          </cell>
          <cell r="S181">
            <v>2083.1293973699999</v>
          </cell>
          <cell r="T181">
            <v>2085.9440758300002</v>
          </cell>
          <cell r="U181">
            <v>2080.0703266</v>
          </cell>
          <cell r="V181">
            <v>2079.7002705300001</v>
          </cell>
          <cell r="W181">
            <v>2082.5932394199999</v>
          </cell>
          <cell r="X181">
            <v>2072.34113785</v>
          </cell>
          <cell r="Y181">
            <v>2079.4579131</v>
          </cell>
          <cell r="Z181">
            <v>2086.7831364200001</v>
          </cell>
          <cell r="AA181">
            <v>2103.6409136299999</v>
          </cell>
          <cell r="AB181">
            <v>2092.7225803699998</v>
          </cell>
          <cell r="AC181">
            <v>2102.48224914</v>
          </cell>
          <cell r="AD181">
            <v>2100</v>
          </cell>
          <cell r="AE181">
            <v>2104.2178866499999</v>
          </cell>
          <cell r="AF181">
            <v>2107.7250192000001</v>
          </cell>
          <cell r="AG181">
            <v>2110.07355736</v>
          </cell>
          <cell r="AH181">
            <v>2116.3930080199998</v>
          </cell>
        </row>
        <row r="182">
          <cell r="A182" t="str">
            <v>COC5O</v>
          </cell>
          <cell r="B182" t="str">
            <v>COC5OARS</v>
          </cell>
          <cell r="C182" t="str">
            <v>ON Tier 2 UVA - Tasa Fija Pesos CER</v>
          </cell>
          <cell r="D182">
            <v>459.74588423738805</v>
          </cell>
          <cell r="E182">
            <v>2076.79086998</v>
          </cell>
          <cell r="F182">
            <v>2058.0125027099998</v>
          </cell>
          <cell r="G182">
            <v>2077.2813608400002</v>
          </cell>
          <cell r="H182">
            <v>2067.55405135</v>
          </cell>
          <cell r="I182">
            <v>2081.8822817700002</v>
          </cell>
          <cell r="J182">
            <v>2057.52889757</v>
          </cell>
          <cell r="K182">
            <v>2089.1781737800002</v>
          </cell>
          <cell r="L182">
            <v>2088.8708462</v>
          </cell>
          <cell r="M182">
            <v>2087.3214011800001</v>
          </cell>
          <cell r="N182">
            <v>2083.16085393</v>
          </cell>
          <cell r="O182">
            <v>2093.6872472300001</v>
          </cell>
          <cell r="P182">
            <v>2109.8053214199999</v>
          </cell>
          <cell r="Q182">
            <v>2116.8923087200001</v>
          </cell>
          <cell r="R182">
            <v>2113.7037533500002</v>
          </cell>
          <cell r="S182">
            <v>2108.9206374199998</v>
          </cell>
          <cell r="T182">
            <v>2112.9307752899999</v>
          </cell>
          <cell r="U182">
            <v>2105.464974</v>
          </cell>
          <cell r="V182">
            <v>2104.7978032400001</v>
          </cell>
          <cell r="W182">
            <v>2107.2227107099998</v>
          </cell>
          <cell r="X182">
            <v>2093.8622669800002</v>
          </cell>
          <cell r="Y182">
            <v>2103.0298405499998</v>
          </cell>
          <cell r="Z182">
            <v>2111.00426367</v>
          </cell>
          <cell r="AA182">
            <v>2128.6916099499999</v>
          </cell>
          <cell r="AB182">
            <v>2117.3650971100001</v>
          </cell>
          <cell r="AC182">
            <v>2125.54284981</v>
          </cell>
          <cell r="AD182">
            <v>2137.9085052300002</v>
          </cell>
          <cell r="AE182">
            <v>2130.7596506700002</v>
          </cell>
          <cell r="AF182">
            <v>2134.2656509200001</v>
          </cell>
          <cell r="AG182">
            <v>2137.3212829700001</v>
          </cell>
          <cell r="AH182">
            <v>2141.0043724500001</v>
          </cell>
        </row>
        <row r="183">
          <cell r="A183" t="str">
            <v>MRCTO</v>
          </cell>
          <cell r="B183" t="str">
            <v>MRCTOARS</v>
          </cell>
          <cell r="C183" t="e">
            <v>#N/A</v>
          </cell>
          <cell r="D183" t="e">
            <v>#N/A</v>
          </cell>
          <cell r="E183">
            <v>433.22868</v>
          </cell>
          <cell r="F183">
            <v>433.22868</v>
          </cell>
          <cell r="G183">
            <v>433.22868</v>
          </cell>
          <cell r="H183">
            <v>433.22868</v>
          </cell>
          <cell r="I183">
            <v>433.22868</v>
          </cell>
          <cell r="J183">
            <v>433.22868</v>
          </cell>
          <cell r="K183">
            <v>433.22868</v>
          </cell>
          <cell r="L183">
            <v>433.22868</v>
          </cell>
          <cell r="M183">
            <v>433.22868</v>
          </cell>
          <cell r="N183">
            <v>433.22868</v>
          </cell>
          <cell r="O183">
            <v>433.22868</v>
          </cell>
          <cell r="P183">
            <v>433.22868</v>
          </cell>
          <cell r="Q183">
            <v>433.22868</v>
          </cell>
          <cell r="R183">
            <v>433.22868</v>
          </cell>
          <cell r="S183">
            <v>433.22868</v>
          </cell>
          <cell r="T183">
            <v>433.22868</v>
          </cell>
          <cell r="U183">
            <v>433.22868</v>
          </cell>
          <cell r="V183">
            <v>433.22868</v>
          </cell>
          <cell r="W183">
            <v>433.22868</v>
          </cell>
          <cell r="X183">
            <v>433.22868</v>
          </cell>
          <cell r="Y183">
            <v>433.22868</v>
          </cell>
          <cell r="Z183">
            <v>433.22868</v>
          </cell>
          <cell r="AA183">
            <v>433.22868</v>
          </cell>
          <cell r="AB183">
            <v>433.22868</v>
          </cell>
          <cell r="AC183">
            <v>433.22868</v>
          </cell>
          <cell r="AD183">
            <v>433.22868</v>
          </cell>
          <cell r="AE183">
            <v>433.22868</v>
          </cell>
          <cell r="AF183">
            <v>433.22868</v>
          </cell>
          <cell r="AG183">
            <v>433.22868</v>
          </cell>
          <cell r="AH183">
            <v>433.22868</v>
          </cell>
        </row>
        <row r="184">
          <cell r="A184"/>
          <cell r="B184"/>
          <cell r="C184"/>
          <cell r="D184"/>
        </row>
        <row r="185">
          <cell r="A185" t="str">
            <v>Obligaciones Negociables Hard USD - Ley Argentina</v>
          </cell>
          <cell r="B185"/>
          <cell r="C185"/>
          <cell r="D185"/>
        </row>
        <row r="186">
          <cell r="A186"/>
          <cell r="B186"/>
          <cell r="C186"/>
          <cell r="D186"/>
        </row>
        <row r="187">
          <cell r="A187" t="str">
            <v>VE2LD</v>
          </cell>
          <cell r="B187" t="str">
            <v>VE2LDUSM</v>
          </cell>
          <cell r="C187" t="str">
            <v>ON PyME Gar - Tasa Fija USD Ley Argentina ON</v>
          </cell>
          <cell r="D187">
            <v>447.24568582503275</v>
          </cell>
          <cell r="E187">
            <v>0.98907586999999997</v>
          </cell>
          <cell r="F187">
            <v>0.98959613999999996</v>
          </cell>
          <cell r="G187">
            <v>0.98933272000000005</v>
          </cell>
          <cell r="H187">
            <v>0.99063871000000003</v>
          </cell>
          <cell r="I187">
            <v>0.98885528</v>
          </cell>
          <cell r="J187">
            <v>0.98857068999999997</v>
          </cell>
          <cell r="K187">
            <v>0.99462499999999998</v>
          </cell>
          <cell r="L187">
            <v>0.99054052000000004</v>
          </cell>
          <cell r="M187">
            <v>0.98904276999999996</v>
          </cell>
          <cell r="N187">
            <v>0.99005589999999999</v>
          </cell>
          <cell r="O187">
            <v>0.99043402000000003</v>
          </cell>
          <cell r="P187">
            <v>0.98858643999999996</v>
          </cell>
          <cell r="Q187">
            <v>0.99075380000000002</v>
          </cell>
          <cell r="R187">
            <v>0.99027003999999996</v>
          </cell>
          <cell r="S187">
            <v>0.98848910000000001</v>
          </cell>
          <cell r="T187">
            <v>0.99009895000000003</v>
          </cell>
          <cell r="U187">
            <v>0.98878021999999999</v>
          </cell>
          <cell r="V187">
            <v>0.99050667000000003</v>
          </cell>
          <cell r="W187">
            <v>0.99261463999999999</v>
          </cell>
          <cell r="X187">
            <v>0.99217789000000001</v>
          </cell>
          <cell r="Y187">
            <v>0.99427558999999999</v>
          </cell>
          <cell r="Z187">
            <v>0.99270557000000004</v>
          </cell>
          <cell r="AA187">
            <v>0.99113883000000003</v>
          </cell>
          <cell r="AB187">
            <v>0.99204508999999996</v>
          </cell>
          <cell r="AC187">
            <v>0.99317151999999997</v>
          </cell>
          <cell r="AD187">
            <v>0.99515142999999995</v>
          </cell>
          <cell r="AE187">
            <v>0.99340978999999996</v>
          </cell>
          <cell r="AF187">
            <v>0.99551067000000004</v>
          </cell>
          <cell r="AG187">
            <v>0.99532651000000005</v>
          </cell>
          <cell r="AH187">
            <v>0.99514579999999997</v>
          </cell>
        </row>
        <row r="188">
          <cell r="A188" t="str">
            <v>NA1LD</v>
          </cell>
          <cell r="B188" t="str">
            <v>NA1LDUSM</v>
          </cell>
          <cell r="C188" t="str">
            <v>ON PyME Gar - Tasa Fija USD Ley Argentina ON</v>
          </cell>
          <cell r="D188">
            <v>520.30445653677907</v>
          </cell>
          <cell r="E188">
            <v>0.97942362999999999</v>
          </cell>
          <cell r="F188">
            <v>0.980016</v>
          </cell>
          <cell r="G188">
            <v>0.97951367</v>
          </cell>
          <cell r="H188">
            <v>0.98061321000000001</v>
          </cell>
          <cell r="I188">
            <v>0.97907929000000005</v>
          </cell>
          <cell r="J188">
            <v>0.97912995999999997</v>
          </cell>
          <cell r="K188">
            <v>0.98504135999999998</v>
          </cell>
          <cell r="L188">
            <v>0.98080047999999997</v>
          </cell>
          <cell r="M188">
            <v>0.97888723</v>
          </cell>
          <cell r="N188">
            <v>0.98002286999999999</v>
          </cell>
          <cell r="O188">
            <v>0.98063175999999996</v>
          </cell>
          <cell r="P188">
            <v>0.97859954999999998</v>
          </cell>
          <cell r="Q188">
            <v>0.98098651999999997</v>
          </cell>
          <cell r="R188">
            <v>0.98076781000000002</v>
          </cell>
          <cell r="S188">
            <v>0.97894685999999997</v>
          </cell>
          <cell r="T188">
            <v>0.98025393999999999</v>
          </cell>
          <cell r="U188">
            <v>0.97889132000000001</v>
          </cell>
          <cell r="V188">
            <v>0.98015980000000003</v>
          </cell>
          <cell r="W188">
            <v>0.98202988000000002</v>
          </cell>
          <cell r="X188">
            <v>0.98206501000000002</v>
          </cell>
          <cell r="Y188">
            <v>0.98376416</v>
          </cell>
          <cell r="Z188">
            <v>0.98299442999999997</v>
          </cell>
          <cell r="AA188">
            <v>0.98080634</v>
          </cell>
          <cell r="AB188">
            <v>0.98171090999999999</v>
          </cell>
          <cell r="AC188">
            <v>0.98260438999999999</v>
          </cell>
          <cell r="AD188">
            <v>0.98541597999999997</v>
          </cell>
          <cell r="AE188">
            <v>0.96913205000000002</v>
          </cell>
          <cell r="AF188">
            <v>0.97153392999999999</v>
          </cell>
          <cell r="AG188">
            <v>0.97193826000000005</v>
          </cell>
          <cell r="AH188">
            <v>0.97171328999999995</v>
          </cell>
        </row>
        <row r="189">
          <cell r="A189" t="str">
            <v>OR1LD</v>
          </cell>
          <cell r="B189" t="str">
            <v>OR1LDUSM</v>
          </cell>
          <cell r="C189" t="str">
            <v>ON PyME Gar - Tasa Fija USD Ley Argentina ON</v>
          </cell>
          <cell r="D189">
            <v>543.47302358752597</v>
          </cell>
          <cell r="E189">
            <v>0.97826073000000002</v>
          </cell>
          <cell r="F189">
            <v>0.97881373999999999</v>
          </cell>
          <cell r="G189">
            <v>0.97807568</v>
          </cell>
          <cell r="H189">
            <v>0.97935024999999998</v>
          </cell>
          <cell r="I189">
            <v>0.97817076999999997</v>
          </cell>
          <cell r="J189">
            <v>0.97785747999999995</v>
          </cell>
          <cell r="K189">
            <v>0.98357426000000003</v>
          </cell>
          <cell r="L189">
            <v>0.97955650999999999</v>
          </cell>
          <cell r="M189">
            <v>0.97765435000000001</v>
          </cell>
          <cell r="N189">
            <v>0.97884358000000005</v>
          </cell>
          <cell r="O189">
            <v>0.9796627</v>
          </cell>
          <cell r="P189">
            <v>0.97758763000000004</v>
          </cell>
          <cell r="Q189">
            <v>0.97978463000000005</v>
          </cell>
          <cell r="R189">
            <v>0.97954801999999996</v>
          </cell>
          <cell r="S189">
            <v>0.97791355000000002</v>
          </cell>
          <cell r="T189">
            <v>0.97899787000000005</v>
          </cell>
          <cell r="U189">
            <v>0.97749487999999995</v>
          </cell>
          <cell r="V189">
            <v>0.97866620000000004</v>
          </cell>
          <cell r="W189">
            <v>0.98025158000000001</v>
          </cell>
          <cell r="X189">
            <v>0.98027357999999998</v>
          </cell>
          <cell r="Y189">
            <v>0.98164280999999998</v>
          </cell>
          <cell r="Z189">
            <v>0.98124217000000002</v>
          </cell>
          <cell r="AA189">
            <v>0.97944111</v>
          </cell>
          <cell r="AB189">
            <v>0.98000485999999998</v>
          </cell>
          <cell r="AC189">
            <v>0.98089614000000003</v>
          </cell>
          <cell r="AD189">
            <v>0.98348972999999995</v>
          </cell>
          <cell r="AE189">
            <v>0.98108645000000005</v>
          </cell>
          <cell r="AF189">
            <v>0.98358643999999995</v>
          </cell>
          <cell r="AG189">
            <v>0.98437527000000002</v>
          </cell>
          <cell r="AH189">
            <v>0.98406587999999995</v>
          </cell>
        </row>
        <row r="190">
          <cell r="A190" t="str">
            <v>BYCWD</v>
          </cell>
          <cell r="B190" t="str">
            <v>BYCWDUSM</v>
          </cell>
          <cell r="C190" t="str">
            <v>ON Tier 1 - Tasa Fija USD Ley Argentina ON</v>
          </cell>
          <cell r="D190">
            <v>47.999999999978648</v>
          </cell>
          <cell r="E190">
            <v>1.0276308000000001</v>
          </cell>
          <cell r="F190">
            <v>1.0275204899999999</v>
          </cell>
          <cell r="G190">
            <v>1.02776866</v>
          </cell>
          <cell r="H190">
            <v>1.0295449400000001</v>
          </cell>
          <cell r="I190">
            <v>1.02838574</v>
          </cell>
          <cell r="J190">
            <v>1.0262022500000001</v>
          </cell>
          <cell r="K190">
            <v>1.0294486899999999</v>
          </cell>
          <cell r="L190">
            <v>1.02835744</v>
          </cell>
          <cell r="M190">
            <v>1.0290556</v>
          </cell>
          <cell r="N190">
            <v>1.0292056000000001</v>
          </cell>
          <cell r="O190">
            <v>1.0289670799999999</v>
          </cell>
          <cell r="P190">
            <v>1.02860135</v>
          </cell>
          <cell r="Q190">
            <v>1.0285122499999999</v>
          </cell>
          <cell r="R190">
            <v>1.0273188799999999</v>
          </cell>
          <cell r="S190">
            <v>1.0269583099999999</v>
          </cell>
          <cell r="T190">
            <v>1.02830062</v>
          </cell>
          <cell r="U190">
            <v>1.02757531</v>
          </cell>
          <cell r="V190">
            <v>1.0295000000000001</v>
          </cell>
          <cell r="W190">
            <v>1.0307949300000001</v>
          </cell>
          <cell r="X190">
            <v>1.0291017499999999</v>
          </cell>
          <cell r="Y190">
            <v>1.0306610700000001</v>
          </cell>
          <cell r="Z190">
            <v>1.0281729399999999</v>
          </cell>
          <cell r="AA190">
            <v>1.0299957399999999</v>
          </cell>
          <cell r="AB190">
            <v>1.02979592</v>
          </cell>
          <cell r="AC190">
            <v>1.03089795</v>
          </cell>
          <cell r="AD190">
            <v>1.0290202900000001</v>
          </cell>
          <cell r="AE190">
            <v>1.03033945</v>
          </cell>
          <cell r="AF190">
            <v>1.0304717400000001</v>
          </cell>
          <cell r="AG190">
            <v>1.02938018</v>
          </cell>
          <cell r="AH190">
            <v>1.0293151300000001</v>
          </cell>
        </row>
        <row r="191">
          <cell r="A191" t="str">
            <v>BYCXD</v>
          </cell>
          <cell r="B191" t="str">
            <v>BYCXDUSM</v>
          </cell>
          <cell r="C191" t="str">
            <v>ON Tier 1 - Tasa Fija USD Ley Argentina ON</v>
          </cell>
          <cell r="D191">
            <v>78.000000000026901</v>
          </cell>
          <cell r="E191">
            <v>1.0209476500000001</v>
          </cell>
          <cell r="F191">
            <v>1.0208326299999999</v>
          </cell>
          <cell r="G191">
            <v>1.0211276600000001</v>
          </cell>
          <cell r="H191">
            <v>1.0232240100000001</v>
          </cell>
          <cell r="I191">
            <v>1.0217436200000001</v>
          </cell>
          <cell r="J191">
            <v>1.01916564</v>
          </cell>
          <cell r="K191">
            <v>1.0232566400000001</v>
          </cell>
          <cell r="L191">
            <v>1.02177571</v>
          </cell>
          <cell r="M191">
            <v>1.02253397</v>
          </cell>
          <cell r="N191">
            <v>1.0227374899999999</v>
          </cell>
          <cell r="O191">
            <v>1.02243094</v>
          </cell>
          <cell r="P191">
            <v>1.0219147399999999</v>
          </cell>
          <cell r="Q191">
            <v>1.0218850799999999</v>
          </cell>
          <cell r="R191">
            <v>1.0203453199999999</v>
          </cell>
          <cell r="S191">
            <v>1.0197984499999999</v>
          </cell>
          <cell r="T191">
            <v>1.0215320400000001</v>
          </cell>
          <cell r="U191">
            <v>1.0205708499999999</v>
          </cell>
          <cell r="V191">
            <v>1.02326059</v>
          </cell>
          <cell r="W191">
            <v>1.02477128</v>
          </cell>
          <cell r="X191">
            <v>1.0225642399999999</v>
          </cell>
          <cell r="Y191">
            <v>1.02466649</v>
          </cell>
          <cell r="Z191">
            <v>1.02132778</v>
          </cell>
          <cell r="AA191">
            <v>1.0236177799999999</v>
          </cell>
          <cell r="AB191">
            <v>1.02336585</v>
          </cell>
          <cell r="AC191">
            <v>1.02486644</v>
          </cell>
          <cell r="AD191">
            <v>1.0223867</v>
          </cell>
          <cell r="AE191">
            <v>1.0241078800000001</v>
          </cell>
          <cell r="AF191">
            <v>1.0243262900000001</v>
          </cell>
          <cell r="AG191">
            <v>1.0226824400000001</v>
          </cell>
          <cell r="AH191">
            <v>1.0225602499999999</v>
          </cell>
        </row>
        <row r="192">
          <cell r="A192" t="str">
            <v>YM41D</v>
          </cell>
          <cell r="B192" t="str">
            <v>YM41DUSM</v>
          </cell>
          <cell r="C192" t="str">
            <v>YM41O - Z-Spread D</v>
          </cell>
          <cell r="D192">
            <v>87.000000000003041</v>
          </cell>
          <cell r="E192">
            <v>1.01623244</v>
          </cell>
          <cell r="F192">
            <v>1.0161273900000001</v>
          </cell>
          <cell r="G192">
            <v>1.0164735600000001</v>
          </cell>
          <cell r="H192">
            <v>1.0187471400000001</v>
          </cell>
          <cell r="I192">
            <v>1.01724342</v>
          </cell>
          <cell r="J192">
            <v>1.0199940199999999</v>
          </cell>
          <cell r="K192">
            <v>1.0242644299999999</v>
          </cell>
          <cell r="L192">
            <v>1.0164899000000001</v>
          </cell>
          <cell r="M192">
            <v>1.0173633099999999</v>
          </cell>
          <cell r="N192">
            <v>1.01763143</v>
          </cell>
          <cell r="O192">
            <v>1.01736431</v>
          </cell>
          <cell r="P192">
            <v>1.01686404</v>
          </cell>
          <cell r="Q192">
            <v>1.0169127200000001</v>
          </cell>
          <cell r="R192">
            <v>1.0154688599999999</v>
          </cell>
          <cell r="S192">
            <v>1.0149279099999999</v>
          </cell>
          <cell r="T192">
            <v>1.01678632</v>
          </cell>
          <cell r="U192">
            <v>1.0158326200000001</v>
          </cell>
          <cell r="V192">
            <v>1.0186787500000001</v>
          </cell>
          <cell r="W192">
            <v>1.02042074</v>
          </cell>
          <cell r="X192">
            <v>1.01818035</v>
          </cell>
          <cell r="Y192">
            <v>1.02043952</v>
          </cell>
          <cell r="Z192">
            <v>1.01699826</v>
          </cell>
          <cell r="AA192">
            <v>1.0180864599999999</v>
          </cell>
          <cell r="AB192">
            <v>1.0179984</v>
          </cell>
          <cell r="AC192">
            <v>1.0196343999999999</v>
          </cell>
          <cell r="AD192">
            <v>1.01713951</v>
          </cell>
          <cell r="AE192">
            <v>1.0038541999999999</v>
          </cell>
          <cell r="AF192">
            <v>1.0041617199999999</v>
          </cell>
          <cell r="AG192">
            <v>1.0026690599999999</v>
          </cell>
          <cell r="AH192">
            <v>1.00259959</v>
          </cell>
        </row>
        <row r="193">
          <cell r="A193" t="str">
            <v>YM37D</v>
          </cell>
          <cell r="B193" t="str">
            <v>YM37DUSM</v>
          </cell>
          <cell r="C193" t="str">
            <v>YM37O - Z-Spread D</v>
          </cell>
          <cell r="D193">
            <v>201.47577590037679</v>
          </cell>
          <cell r="E193">
            <v>1.0258961499999999</v>
          </cell>
          <cell r="F193">
            <v>1.0234931300000001</v>
          </cell>
          <cell r="G193">
            <v>1.02185368</v>
          </cell>
          <cell r="H193">
            <v>1.02624096</v>
          </cell>
          <cell r="I193">
            <v>1.02367699</v>
          </cell>
          <cell r="J193">
            <v>1.0209983300000001</v>
          </cell>
          <cell r="K193">
            <v>1.0273281400000001</v>
          </cell>
          <cell r="L193">
            <v>1.0243947499999999</v>
          </cell>
          <cell r="M193">
            <v>1.0248073799999999</v>
          </cell>
          <cell r="N193">
            <v>1.02528511</v>
          </cell>
          <cell r="O193">
            <v>1.02505789</v>
          </cell>
          <cell r="P193">
            <v>1.02391455</v>
          </cell>
          <cell r="Q193">
            <v>1.0245948</v>
          </cell>
          <cell r="R193">
            <v>1.0226444699999999</v>
          </cell>
          <cell r="S193">
            <v>1.0283946900000001</v>
          </cell>
          <cell r="T193">
            <v>1.03094672</v>
          </cell>
          <cell r="U193">
            <v>1.0294751600000001</v>
          </cell>
          <cell r="V193">
            <v>1.0308518600000001</v>
          </cell>
          <cell r="W193">
            <v>1.0333135</v>
          </cell>
          <cell r="X193">
            <v>1.0226022800000001</v>
          </cell>
          <cell r="Y193">
            <v>1.0295683099999999</v>
          </cell>
          <cell r="Z193">
            <v>1.03100101</v>
          </cell>
          <cell r="AA193">
            <v>1.0331373800000001</v>
          </cell>
          <cell r="AB193">
            <v>1.033153</v>
          </cell>
          <cell r="AC193">
            <v>1.0284476199999999</v>
          </cell>
          <cell r="AD193">
            <v>1.0258129300000001</v>
          </cell>
          <cell r="AE193">
            <v>1.02755532</v>
          </cell>
          <cell r="AF193">
            <v>1.0283320199999999</v>
          </cell>
          <cell r="AG193">
            <v>1.02580739</v>
          </cell>
          <cell r="AH193">
            <v>1.0369999999999999</v>
          </cell>
        </row>
        <row r="194">
          <cell r="A194" t="str">
            <v>YFCMD</v>
          </cell>
          <cell r="B194" t="str">
            <v>YFCMDUSM</v>
          </cell>
          <cell r="C194" t="str">
            <v>YFCMO - Z-Spread D</v>
          </cell>
          <cell r="D194">
            <v>214.7739361001365</v>
          </cell>
          <cell r="E194">
            <v>1.0209578800000001</v>
          </cell>
          <cell r="F194">
            <v>1.0210149100000001</v>
          </cell>
          <cell r="G194">
            <v>1.02138752</v>
          </cell>
          <cell r="H194">
            <v>1.02383526</v>
          </cell>
          <cell r="I194">
            <v>1.02141616</v>
          </cell>
          <cell r="J194">
            <v>1.01881164</v>
          </cell>
          <cell r="K194">
            <v>1.0252555999999999</v>
          </cell>
          <cell r="L194">
            <v>1.02217231</v>
          </cell>
          <cell r="M194">
            <v>1.02245257</v>
          </cell>
          <cell r="N194">
            <v>1.0229430799999999</v>
          </cell>
          <cell r="O194">
            <v>1.02255593</v>
          </cell>
          <cell r="P194">
            <v>1.0214049700000001</v>
          </cell>
          <cell r="Q194">
            <v>1.0221674599999999</v>
          </cell>
          <cell r="R194">
            <v>1.0201915100000001</v>
          </cell>
          <cell r="S194">
            <v>1.01883944</v>
          </cell>
          <cell r="T194">
            <v>1.02145913</v>
          </cell>
          <cell r="U194">
            <v>1.01999705</v>
          </cell>
          <cell r="V194">
            <v>1.02371122</v>
          </cell>
          <cell r="W194">
            <v>1.0263004099999999</v>
          </cell>
          <cell r="X194">
            <v>1.02350819</v>
          </cell>
          <cell r="Y194">
            <v>1.0268952099999999</v>
          </cell>
          <cell r="Z194">
            <v>1.02207402</v>
          </cell>
          <cell r="AA194">
            <v>1.02409723</v>
          </cell>
          <cell r="AB194">
            <v>1.0242175600000001</v>
          </cell>
          <cell r="AC194">
            <v>1.0249999999999999</v>
          </cell>
          <cell r="AD194">
            <v>1.02251274</v>
          </cell>
          <cell r="AE194">
            <v>1.0241290300000001</v>
          </cell>
          <cell r="AF194">
            <v>1.0249599</v>
          </cell>
          <cell r="AG194">
            <v>1.02238531</v>
          </cell>
          <cell r="AH194">
            <v>1.0221838000000001</v>
          </cell>
        </row>
        <row r="195">
          <cell r="A195" t="str">
            <v>PFC2D</v>
          </cell>
          <cell r="B195" t="str">
            <v>PFC2DUSM</v>
          </cell>
          <cell r="C195" t="str">
            <v>ON Tier 1 - Tasa Fija USD Ley Argentina ON</v>
          </cell>
          <cell r="D195">
            <v>267.71568665293671</v>
          </cell>
          <cell r="E195">
            <v>1.0397987399999999</v>
          </cell>
          <cell r="F195">
            <v>1.0399533999999999</v>
          </cell>
          <cell r="G195">
            <v>1.0402746199999999</v>
          </cell>
          <cell r="H195">
            <v>1.0424999699999999</v>
          </cell>
          <cell r="I195">
            <v>1.03986077</v>
          </cell>
          <cell r="J195">
            <v>1.03768916</v>
          </cell>
          <cell r="K195">
            <v>1.0446185299999999</v>
          </cell>
          <cell r="L195">
            <v>1.034</v>
          </cell>
          <cell r="M195">
            <v>1.04074409</v>
          </cell>
          <cell r="N195">
            <v>1.0413444300000001</v>
          </cell>
          <cell r="O195">
            <v>1.0409866699999999</v>
          </cell>
          <cell r="P195">
            <v>1.03956838</v>
          </cell>
          <cell r="Q195">
            <v>1.0407573000000001</v>
          </cell>
          <cell r="R195">
            <v>1.03886214</v>
          </cell>
          <cell r="S195">
            <v>1.03719355</v>
          </cell>
          <cell r="T195">
            <v>1.03987071</v>
          </cell>
          <cell r="U195">
            <v>1.0383358600000001</v>
          </cell>
          <cell r="V195">
            <v>1.04194136</v>
          </cell>
          <cell r="W195">
            <v>1.0446788199999999</v>
          </cell>
          <cell r="X195">
            <v>1.04213259</v>
          </cell>
          <cell r="Y195">
            <v>1.0456390499999999</v>
          </cell>
          <cell r="Z195">
            <v>1.0409236900000001</v>
          </cell>
          <cell r="AA195">
            <v>1.04216442</v>
          </cell>
          <cell r="AB195">
            <v>1.0425093700000001</v>
          </cell>
          <cell r="AC195">
            <v>1.0446612799999999</v>
          </cell>
          <cell r="AD195">
            <v>1.04301804</v>
          </cell>
          <cell r="AE195">
            <v>1.0440063900000001</v>
          </cell>
          <cell r="AF195">
            <v>1.0451225900000001</v>
          </cell>
          <cell r="AG195">
            <v>1.04252696</v>
          </cell>
          <cell r="AH195">
            <v>1.0423038600000001</v>
          </cell>
        </row>
        <row r="196">
          <cell r="A196" t="str">
            <v>YM38D</v>
          </cell>
          <cell r="B196" t="str">
            <v>YM38DUSM</v>
          </cell>
          <cell r="C196" t="str">
            <v>YM38O - Z-Spread D</v>
          </cell>
          <cell r="D196">
            <v>272.26037886759167</v>
          </cell>
          <cell r="E196">
            <v>1.0345243900000001</v>
          </cell>
          <cell r="F196">
            <v>1.03499933</v>
          </cell>
          <cell r="G196">
            <v>1.03597907</v>
          </cell>
          <cell r="H196">
            <v>1.03582817</v>
          </cell>
          <cell r="I196">
            <v>1.03297036</v>
          </cell>
          <cell r="J196">
            <v>1.04411086</v>
          </cell>
          <cell r="K196">
            <v>1.0409217200000001</v>
          </cell>
          <cell r="L196">
            <v>1.0433563800000001</v>
          </cell>
          <cell r="M196">
            <v>1.0430265000000001</v>
          </cell>
          <cell r="N196">
            <v>1.0436362699999999</v>
          </cell>
          <cell r="O196">
            <v>1.0449999999999999</v>
          </cell>
          <cell r="P196">
            <v>1.0409941300000001</v>
          </cell>
          <cell r="Q196">
            <v>1.04104164</v>
          </cell>
          <cell r="R196">
            <v>1.03914131</v>
          </cell>
          <cell r="S196">
            <v>1.0374579799999999</v>
          </cell>
          <cell r="T196">
            <v>1.0409847699999999</v>
          </cell>
          <cell r="U196">
            <v>1.0394024900000001</v>
          </cell>
          <cell r="V196">
            <v>1.0459983500000001</v>
          </cell>
          <cell r="W196">
            <v>1.0387996900000001</v>
          </cell>
          <cell r="X196">
            <v>1.0437906400000001</v>
          </cell>
          <cell r="Y196">
            <v>1.0471989799999999</v>
          </cell>
          <cell r="Z196">
            <v>1.0425789000000001</v>
          </cell>
          <cell r="AA196">
            <v>1.03931116</v>
          </cell>
          <cell r="AB196">
            <v>1.0450259500000001</v>
          </cell>
          <cell r="AC196">
            <v>1.04250563</v>
          </cell>
          <cell r="AD196">
            <v>1.04095147</v>
          </cell>
          <cell r="AE196">
            <v>1.0522016700000001</v>
          </cell>
          <cell r="AF196">
            <v>1.0532565899999999</v>
          </cell>
          <cell r="AG196">
            <v>1.0434844299999999</v>
          </cell>
          <cell r="AH196">
            <v>1.0470015800000001</v>
          </cell>
        </row>
        <row r="197">
          <cell r="A197" t="str">
            <v>PN38D</v>
          </cell>
          <cell r="B197" t="str">
            <v>PN38DUSM</v>
          </cell>
          <cell r="C197" t="str">
            <v>ON Tier 1 - Tasa Fija USD Ley Argentina ON</v>
          </cell>
          <cell r="D197">
            <v>296.32239394912057</v>
          </cell>
          <cell r="E197">
            <v>1.0281389400000001</v>
          </cell>
          <cell r="F197">
            <v>1.0283542800000001</v>
          </cell>
          <cell r="G197">
            <v>1.0286352811494199</v>
          </cell>
          <cell r="H197">
            <v>1.0306812999999999</v>
          </cell>
          <cell r="I197">
            <v>1.0280199999999999</v>
          </cell>
          <cell r="J197">
            <v>1.02618224</v>
          </cell>
          <cell r="K197">
            <v>1.03316585475529</v>
          </cell>
          <cell r="L197">
            <v>1.02926658</v>
          </cell>
          <cell r="M197">
            <v>1.02882194</v>
          </cell>
          <cell r="N197">
            <v>1.0294775300000001</v>
          </cell>
          <cell r="O197">
            <v>1.02916501</v>
          </cell>
          <cell r="P197">
            <v>1.06298282</v>
          </cell>
          <cell r="Q197">
            <v>1.02905088</v>
          </cell>
          <cell r="R197">
            <v>1.0272995897647399</v>
          </cell>
          <cell r="S197">
            <v>1.02551371</v>
          </cell>
          <cell r="T197">
            <v>1.02813113</v>
          </cell>
          <cell r="U197">
            <v>1.0266131599999999</v>
          </cell>
          <cell r="V197">
            <v>1.03002628</v>
          </cell>
          <cell r="W197">
            <v>1.03277051</v>
          </cell>
          <cell r="X197">
            <v>1.03047822</v>
          </cell>
          <cell r="Y197">
            <v>1.03392567481123</v>
          </cell>
          <cell r="Z197">
            <v>1.02947237370032</v>
          </cell>
          <cell r="AA197">
            <v>1.0302065600000001</v>
          </cell>
          <cell r="AB197">
            <v>1.0306934400000001</v>
          </cell>
          <cell r="AC197">
            <v>1.0327355300000001</v>
          </cell>
          <cell r="AD197">
            <v>1.03164239</v>
          </cell>
          <cell r="AE197">
            <v>1.0322182</v>
          </cell>
          <cell r="AF197">
            <v>1.0334821657822</v>
          </cell>
          <cell r="AG197">
            <v>1.0310423900000001</v>
          </cell>
          <cell r="AH197">
            <v>1.0308263799999999</v>
          </cell>
        </row>
        <row r="198">
          <cell r="A198" t="str">
            <v>BYZ1D</v>
          </cell>
          <cell r="B198" t="str">
            <v>BYZ1DUSM</v>
          </cell>
          <cell r="C198" t="str">
            <v>ON Tier 1 - Tasa Fija USD Ley Argentina ON</v>
          </cell>
          <cell r="D198">
            <v>290.05569725619591</v>
          </cell>
          <cell r="E198">
            <v>0.99802583</v>
          </cell>
          <cell r="F198">
            <v>0.99821994000000003</v>
          </cell>
          <cell r="G198">
            <v>0.99850454</v>
          </cell>
          <cell r="H198">
            <v>1.0005373799999999</v>
          </cell>
          <cell r="I198">
            <v>0.99795356000000002</v>
          </cell>
          <cell r="J198">
            <v>0.99608432000000002</v>
          </cell>
          <cell r="K198">
            <v>1.0028610200000001</v>
          </cell>
          <cell r="L198">
            <v>0.99912374000000004</v>
          </cell>
          <cell r="M198">
            <v>0.99875521</v>
          </cell>
          <cell r="N198">
            <v>0.99937816999999995</v>
          </cell>
          <cell r="O198">
            <v>0.99906134999999996</v>
          </cell>
          <cell r="P198">
            <v>0.99760784999999996</v>
          </cell>
          <cell r="Q198">
            <v>0.99892190000000003</v>
          </cell>
          <cell r="R198">
            <v>0.99718108000000005</v>
          </cell>
          <cell r="S198">
            <v>0.99547289999999999</v>
          </cell>
          <cell r="T198">
            <v>0.99803512999999999</v>
          </cell>
          <cell r="U198">
            <v>0.99655477000000003</v>
          </cell>
          <cell r="V198">
            <v>0.99992490000000001</v>
          </cell>
          <cell r="W198">
            <v>1.0025941700000001</v>
          </cell>
          <cell r="X198">
            <v>1.00029791</v>
          </cell>
          <cell r="Y198">
            <v>1.0036691799999999</v>
          </cell>
          <cell r="Z198">
            <v>0.99926557999999999</v>
          </cell>
          <cell r="AA198">
            <v>1.00010971</v>
          </cell>
          <cell r="AB198">
            <v>1.00054771</v>
          </cell>
          <cell r="AC198">
            <v>1.0025637700000001</v>
          </cell>
          <cell r="AD198">
            <v>1.0013563400000001</v>
          </cell>
          <cell r="AE198">
            <v>1.0020248</v>
          </cell>
          <cell r="AF198">
            <v>1.0032154799999999</v>
          </cell>
          <cell r="AG198">
            <v>1.0007961999999999</v>
          </cell>
          <cell r="AH198">
            <v>1.0005840699999999</v>
          </cell>
        </row>
        <row r="199">
          <cell r="A199" t="str">
            <v>BF40D</v>
          </cell>
          <cell r="B199" t="str">
            <v>BF40DUSM</v>
          </cell>
          <cell r="C199" t="str">
            <v>ON Tier 1 - Tasa Fija USD Ley Argentina ON</v>
          </cell>
          <cell r="D199">
            <v>313.61804793325126</v>
          </cell>
          <cell r="E199">
            <v>1.0109944399999999</v>
          </cell>
          <cell r="F199">
            <v>1.01124401</v>
          </cell>
          <cell r="G199">
            <v>1.01149457</v>
          </cell>
          <cell r="H199">
            <v>1.0134061999999999</v>
          </cell>
          <cell r="I199">
            <v>1.0107689500000001</v>
          </cell>
          <cell r="J199">
            <v>1.0091566999999999</v>
          </cell>
          <cell r="K199">
            <v>1.01608199</v>
          </cell>
          <cell r="L199">
            <v>1.01210165</v>
          </cell>
          <cell r="M199">
            <v>1.01150786</v>
          </cell>
          <cell r="N199">
            <v>1.01218955</v>
          </cell>
          <cell r="O199">
            <v>1.0119110600000001</v>
          </cell>
          <cell r="P199">
            <v>1.01034453</v>
          </cell>
          <cell r="Q199">
            <v>1.0118674999999999</v>
          </cell>
          <cell r="R199">
            <v>1.01022838</v>
          </cell>
          <cell r="S199">
            <v>1.00839558</v>
          </cell>
          <cell r="T199">
            <v>1.0109396399999999</v>
          </cell>
          <cell r="U199">
            <v>1.0094511100000001</v>
          </cell>
          <cell r="V199">
            <v>1.0126992500000001</v>
          </cell>
          <cell r="W199">
            <v>1.0154085900000001</v>
          </cell>
          <cell r="X199">
            <v>1.01330425</v>
          </cell>
          <cell r="Y199">
            <v>1.0166659</v>
          </cell>
          <cell r="Z199">
            <v>1.01243858</v>
          </cell>
          <cell r="AA199">
            <v>1.0128525399999999</v>
          </cell>
          <cell r="AB199">
            <v>1.01341814</v>
          </cell>
          <cell r="AC199">
            <v>1.01536432</v>
          </cell>
          <cell r="AD199">
            <v>1.0146260899999999</v>
          </cell>
          <cell r="AE199">
            <v>1.0149381099999999</v>
          </cell>
          <cell r="AF199">
            <v>1.01627764</v>
          </cell>
          <cell r="AG199">
            <v>1.0139727599999999</v>
          </cell>
          <cell r="AH199">
            <v>1.0137636800000001</v>
          </cell>
        </row>
        <row r="200">
          <cell r="A200" t="str">
            <v>PN34D</v>
          </cell>
          <cell r="B200" t="str">
            <v>PN34DUSM</v>
          </cell>
          <cell r="C200" t="str">
            <v>ON Tier 1 - Tasa Fija USD Ley Argentina ON</v>
          </cell>
          <cell r="D200">
            <v>344.63815375152069</v>
          </cell>
          <cell r="AG200">
            <v>1.0089548100000001</v>
          </cell>
          <cell r="AH200">
            <v>1.0087545099999999</v>
          </cell>
        </row>
        <row r="201">
          <cell r="A201" t="str">
            <v>TTCBD</v>
          </cell>
          <cell r="B201" t="str">
            <v>TTCBDUSM</v>
          </cell>
          <cell r="C201" t="str">
            <v>ON Tier 1 - Tasa Fija USD Ley Argentina ON</v>
          </cell>
          <cell r="D201">
            <v>353.07744923133379</v>
          </cell>
          <cell r="E201">
            <v>1.0500381999999999</v>
          </cell>
          <cell r="F201">
            <v>1.05040238</v>
          </cell>
          <cell r="G201">
            <v>1.05055554</v>
          </cell>
          <cell r="H201">
            <v>1.05</v>
          </cell>
          <cell r="I201">
            <v>1.04950422</v>
          </cell>
          <cell r="J201">
            <v>1.0489999999999999</v>
          </cell>
          <cell r="K201">
            <v>1.05553937</v>
          </cell>
          <cell r="L201">
            <v>1.05114245</v>
          </cell>
          <cell r="M201">
            <v>1.0500655699999999</v>
          </cell>
          <cell r="N201">
            <v>1.0455000000000001</v>
          </cell>
          <cell r="O201">
            <v>1.05069521</v>
          </cell>
          <cell r="P201">
            <v>1.0489187799999999</v>
          </cell>
          <cell r="Q201">
            <v>1.05085523</v>
          </cell>
          <cell r="R201">
            <v>1.0495007199999999</v>
          </cell>
          <cell r="S201">
            <v>1.0474579900000001</v>
          </cell>
          <cell r="T201">
            <v>1.0498681999999999</v>
          </cell>
          <cell r="U201">
            <v>1.0484013599999999</v>
          </cell>
          <cell r="V201">
            <v>1.05126268</v>
          </cell>
          <cell r="W201">
            <v>1.05395704</v>
          </cell>
          <cell r="X201">
            <v>1.05236335</v>
          </cell>
          <cell r="Y201">
            <v>1.0555672</v>
          </cell>
          <cell r="Z201">
            <v>1.04947652</v>
          </cell>
          <cell r="AA201">
            <v>1.05135538</v>
          </cell>
          <cell r="AB201">
            <v>1.05217706</v>
          </cell>
          <cell r="AC201">
            <v>1.0538913700000001</v>
          </cell>
          <cell r="AD201">
            <v>1.0542554900000001</v>
          </cell>
          <cell r="AE201">
            <v>1.0537333</v>
          </cell>
          <cell r="AF201">
            <v>1.0553754099999999</v>
          </cell>
          <cell r="AG201">
            <v>1.0534601800000001</v>
          </cell>
          <cell r="AH201">
            <v>1.0532644099999999</v>
          </cell>
        </row>
        <row r="202">
          <cell r="A202" t="str">
            <v>TTC8D</v>
          </cell>
          <cell r="B202" t="str">
            <v>TTC8DUSM</v>
          </cell>
          <cell r="C202" t="str">
            <v>ON Tier 1 - Tasa Fija USD Ley Argentina ON</v>
          </cell>
          <cell r="D202">
            <v>363.84711780663679</v>
          </cell>
          <cell r="E202">
            <v>1.0266389499999999</v>
          </cell>
          <cell r="F202">
            <v>1.0270158</v>
          </cell>
          <cell r="G202">
            <v>1.0325</v>
          </cell>
          <cell r="H202">
            <v>1.0286738900000001</v>
          </cell>
          <cell r="I202">
            <v>1.02606018</v>
          </cell>
          <cell r="J202">
            <v>1.0251576600000001</v>
          </cell>
          <cell r="K202">
            <v>1.028</v>
          </cell>
          <cell r="L202">
            <v>1.0277185799999999</v>
          </cell>
          <cell r="M202">
            <v>1.02657814</v>
          </cell>
          <cell r="N202">
            <v>1.0273818699999999</v>
          </cell>
          <cell r="O202">
            <v>1.02723517</v>
          </cell>
          <cell r="P202">
            <v>1.02545474</v>
          </cell>
          <cell r="Q202">
            <v>1.0274249799999999</v>
          </cell>
          <cell r="R202">
            <v>1.02614022</v>
          </cell>
          <cell r="S202">
            <v>1.0240984099999999</v>
          </cell>
          <cell r="T202">
            <v>1.02644275</v>
          </cell>
          <cell r="U202">
            <v>1.02500364</v>
          </cell>
          <cell r="V202">
            <v>1.0277509300000001</v>
          </cell>
          <cell r="W202">
            <v>1.0303948700000001</v>
          </cell>
          <cell r="X202">
            <v>1.0289107900000001</v>
          </cell>
          <cell r="Y202">
            <v>1.0320332000000001</v>
          </cell>
          <cell r="Z202">
            <v>1.02853919</v>
          </cell>
          <cell r="AA202">
            <v>1.02783063</v>
          </cell>
          <cell r="AB202">
            <v>1.0286767400000001</v>
          </cell>
          <cell r="AC202">
            <v>1.03032605</v>
          </cell>
          <cell r="AD202">
            <v>1.03085746</v>
          </cell>
          <cell r="AE202">
            <v>1.0295000000000001</v>
          </cell>
          <cell r="AF202">
            <v>1.0285</v>
          </cell>
          <cell r="AG202">
            <v>1.0300509099999999</v>
          </cell>
          <cell r="AH202">
            <v>1.0298588</v>
          </cell>
        </row>
        <row r="203">
          <cell r="A203" t="str">
            <v>PLC1D</v>
          </cell>
          <cell r="B203" t="str">
            <v>PLC1DUSM</v>
          </cell>
          <cell r="C203" t="str">
            <v>ON Tier 1 - Tasa Fija USD Ley Argentina ON</v>
          </cell>
          <cell r="D203">
            <v>447.6416706197133</v>
          </cell>
          <cell r="E203">
            <v>1.0402149199999999</v>
          </cell>
          <cell r="F203">
            <v>1.0407801400000001</v>
          </cell>
          <cell r="G203">
            <v>1.0406454000000001</v>
          </cell>
          <cell r="H203">
            <v>1.04155825</v>
          </cell>
          <cell r="I203">
            <v>1.0391496099999999</v>
          </cell>
          <cell r="J203">
            <v>1.039323</v>
          </cell>
          <cell r="K203">
            <v>1.0460876699999999</v>
          </cell>
          <cell r="L203">
            <v>1.044</v>
          </cell>
          <cell r="M203">
            <v>1.0391985800000001</v>
          </cell>
          <cell r="N203">
            <v>1.04019975</v>
          </cell>
          <cell r="O203">
            <v>1.04033574</v>
          </cell>
          <cell r="P203">
            <v>1.03823434</v>
          </cell>
          <cell r="Q203">
            <v>1.04083573</v>
          </cell>
          <cell r="R203">
            <v>1.0401614800000001</v>
          </cell>
          <cell r="S203">
            <v>1.0378814700000001</v>
          </cell>
          <cell r="T203">
            <v>1.0397746800000001</v>
          </cell>
          <cell r="U203">
            <v>1.0384110799999999</v>
          </cell>
          <cell r="V203">
            <v>1.0402384200000001</v>
          </cell>
          <cell r="W203">
            <v>1.04262488</v>
          </cell>
          <cell r="X203">
            <v>1.04219631</v>
          </cell>
          <cell r="Y203">
            <v>1.0447472499999999</v>
          </cell>
          <cell r="Z203">
            <v>1.04266298</v>
          </cell>
          <cell r="AA203">
            <v>1.0402360100000001</v>
          </cell>
          <cell r="AB203">
            <v>1.04142325</v>
          </cell>
          <cell r="AC203">
            <v>1.0425399399999999</v>
          </cell>
          <cell r="AD203">
            <v>1.04107466</v>
          </cell>
          <cell r="AE203">
            <v>1.0428911000000001</v>
          </cell>
          <cell r="AF203">
            <v>1.0450770899999999</v>
          </cell>
          <cell r="AG203">
            <v>1.0442113200000001</v>
          </cell>
          <cell r="AH203">
            <v>1.044028</v>
          </cell>
        </row>
        <row r="204">
          <cell r="A204" t="str">
            <v>PLC3D</v>
          </cell>
          <cell r="B204" t="str">
            <v>PLC3DUSM</v>
          </cell>
          <cell r="C204" t="str">
            <v>ON Tier 1 - Tasa Fija USD Ley Argentina ON</v>
          </cell>
          <cell r="D204">
            <v>538.29709431924005</v>
          </cell>
          <cell r="AG204">
            <v>1.04875889</v>
          </cell>
          <cell r="AH204">
            <v>1.0400070299999999</v>
          </cell>
        </row>
        <row r="205">
          <cell r="A205" t="str">
            <v>OLC5D</v>
          </cell>
          <cell r="B205" t="str">
            <v>OLC5DUSM</v>
          </cell>
          <cell r="C205" t="str">
            <v>ON Tier 1 - Tasa Fija USD Ley Argentina ON</v>
          </cell>
          <cell r="D205">
            <v>568.7262637582877</v>
          </cell>
          <cell r="E205">
            <v>1.0665670599999999</v>
          </cell>
          <cell r="F205">
            <v>1.06733459</v>
          </cell>
          <cell r="G205">
            <v>1.06663832</v>
          </cell>
          <cell r="H205">
            <v>1.0669180700000001</v>
          </cell>
          <cell r="I205">
            <v>1.06512311</v>
          </cell>
          <cell r="J205">
            <v>1.06634848</v>
          </cell>
          <cell r="K205">
            <v>1.07263636</v>
          </cell>
          <cell r="L205">
            <v>1.0694999999999999</v>
          </cell>
          <cell r="M205">
            <v>1.0642695</v>
          </cell>
          <cell r="N205">
            <v>1.0655665400000001</v>
          </cell>
          <cell r="O205">
            <v>1.0662615799999999</v>
          </cell>
          <cell r="P205">
            <v>1.0637262300000001</v>
          </cell>
          <cell r="Q205">
            <v>1.0669450199999999</v>
          </cell>
          <cell r="R205">
            <v>1.06705703</v>
          </cell>
          <cell r="S205">
            <v>1.0646643200000001</v>
          </cell>
          <cell r="T205">
            <v>1.0634752700000001</v>
          </cell>
          <cell r="U205">
            <v>1.0549999999999999</v>
          </cell>
          <cell r="V205">
            <v>1.06489203</v>
          </cell>
          <cell r="W205">
            <v>1.06665612</v>
          </cell>
          <cell r="X205">
            <v>1.0620000000000001</v>
          </cell>
          <cell r="Y205">
            <v>1.06906653</v>
          </cell>
          <cell r="Z205">
            <v>1.0654999000000001</v>
          </cell>
          <cell r="AA205">
            <v>1.0668849600000001</v>
          </cell>
          <cell r="AB205">
            <v>1.06621207</v>
          </cell>
          <cell r="AC205">
            <v>1.06661892</v>
          </cell>
          <cell r="AD205">
            <v>1.07157999</v>
          </cell>
          <cell r="AE205">
            <v>1.06741347</v>
          </cell>
          <cell r="AF205">
            <v>1.07034399</v>
          </cell>
          <cell r="AG205">
            <v>1.07109784</v>
          </cell>
          <cell r="AH205">
            <v>1.0708510099999999</v>
          </cell>
        </row>
        <row r="206">
          <cell r="A206" t="str">
            <v>BF44D</v>
          </cell>
          <cell r="B206" t="str">
            <v>BF44DUSM</v>
          </cell>
          <cell r="C206" t="str">
            <v>ON Tier 1 - Tasa Fija USD Ley Argentina ON</v>
          </cell>
          <cell r="D206">
            <v>546.72931383365153</v>
          </cell>
          <cell r="E206">
            <v>1.0174842399999999</v>
          </cell>
          <cell r="F206">
            <v>1.0181990700000001</v>
          </cell>
          <cell r="G206">
            <v>1.01766307</v>
          </cell>
          <cell r="H206">
            <v>1.0179960699999999</v>
          </cell>
          <cell r="I206">
            <v>1.01610209</v>
          </cell>
          <cell r="J206">
            <v>1.0171882800000001</v>
          </cell>
          <cell r="K206">
            <v>1.0233548699999999</v>
          </cell>
          <cell r="L206">
            <v>1.0182943</v>
          </cell>
          <cell r="M206">
            <v>1.01548477</v>
          </cell>
          <cell r="N206">
            <v>1.0166764500000001</v>
          </cell>
          <cell r="O206">
            <v>1.01721631</v>
          </cell>
          <cell r="P206">
            <v>1.0148515199999999</v>
          </cell>
          <cell r="Q206">
            <v>1.0178905199999999</v>
          </cell>
          <cell r="R206">
            <v>1.01787625</v>
          </cell>
          <cell r="S206">
            <v>1.01555302</v>
          </cell>
          <cell r="T206">
            <v>1.0167679300000001</v>
          </cell>
          <cell r="U206">
            <v>1.01546878</v>
          </cell>
          <cell r="V206">
            <v>1.01619953</v>
          </cell>
          <cell r="W206">
            <v>1.01805301</v>
          </cell>
          <cell r="X206">
            <v>1.0187406000000001</v>
          </cell>
          <cell r="Y206">
            <v>1.0203957400000001</v>
          </cell>
          <cell r="Z206">
            <v>1.0200871199999999</v>
          </cell>
          <cell r="AA206">
            <v>1.0161841899999999</v>
          </cell>
          <cell r="AB206">
            <v>1.0174886700000001</v>
          </cell>
          <cell r="AC206">
            <v>1.0179952000000001</v>
          </cell>
          <cell r="AD206">
            <v>1.02242934</v>
          </cell>
          <cell r="AE206">
            <v>1.0187228100000001</v>
          </cell>
          <cell r="AF206">
            <v>1.0214082600000001</v>
          </cell>
          <cell r="AG206">
            <v>1.0217988899999999</v>
          </cell>
          <cell r="AH206">
            <v>1.02158723</v>
          </cell>
        </row>
        <row r="207">
          <cell r="A207" t="str">
            <v>YM40D</v>
          </cell>
          <cell r="B207" t="str">
            <v>YM40DUSM</v>
          </cell>
          <cell r="C207" t="str">
            <v>YM40O - Z-Spread D</v>
          </cell>
          <cell r="D207">
            <v>640.83624038115227</v>
          </cell>
          <cell r="E207">
            <v>1.0463383100000001</v>
          </cell>
          <cell r="F207">
            <v>1.04714551</v>
          </cell>
          <cell r="G207">
            <v>1.04606646</v>
          </cell>
          <cell r="H207">
            <v>1.0461791</v>
          </cell>
          <cell r="I207">
            <v>1.0449326000000001</v>
          </cell>
          <cell r="J207">
            <v>1.04633635</v>
          </cell>
          <cell r="K207">
            <v>1.05211882</v>
          </cell>
          <cell r="L207">
            <v>1.0469649299999999</v>
          </cell>
          <cell r="M207">
            <v>1.04348957</v>
          </cell>
          <cell r="N207">
            <v>1.0449145399999999</v>
          </cell>
          <cell r="O207">
            <v>1.04597155</v>
          </cell>
          <cell r="P207">
            <v>1.0432867400000001</v>
          </cell>
          <cell r="Q207">
            <v>1.0465585799999999</v>
          </cell>
          <cell r="R207">
            <v>1.0469918</v>
          </cell>
          <cell r="S207">
            <v>1.04473748</v>
          </cell>
          <cell r="T207">
            <v>1.04529231</v>
          </cell>
          <cell r="U207">
            <v>1.0438478</v>
          </cell>
          <cell r="V207">
            <v>1.0437304599999999</v>
          </cell>
          <cell r="W207">
            <v>1.04498677</v>
          </cell>
          <cell r="X207">
            <v>1.04647731</v>
          </cell>
          <cell r="Y207">
            <v>1.04722498</v>
          </cell>
          <cell r="Z207">
            <v>1.0485382000000001</v>
          </cell>
          <cell r="AA207">
            <v>1.04382982</v>
          </cell>
          <cell r="AB207">
            <v>1.0449212800000001</v>
          </cell>
          <cell r="AC207">
            <v>1.0450103799999999</v>
          </cell>
          <cell r="AD207">
            <v>1.0507281799999999</v>
          </cell>
          <cell r="AE207">
            <v>1.0458546500000001</v>
          </cell>
          <cell r="AF207">
            <v>1.0490919400000001</v>
          </cell>
          <cell r="AG207">
            <v>1.05077029</v>
          </cell>
          <cell r="AH207">
            <v>1.05044348</v>
          </cell>
        </row>
        <row r="208">
          <cell r="A208" t="str">
            <v>YMCYD</v>
          </cell>
          <cell r="B208" t="str">
            <v>YMCYDUSM</v>
          </cell>
          <cell r="C208" t="str">
            <v>YMCYO - Z-Spread D</v>
          </cell>
          <cell r="D208">
            <v>688.98595008630514</v>
          </cell>
          <cell r="E208">
            <v>1.03598721</v>
          </cell>
          <cell r="F208">
            <v>1.0359432099999999</v>
          </cell>
          <cell r="G208">
            <v>1.0436636399999999</v>
          </cell>
          <cell r="H208">
            <v>1.0401710200000001</v>
          </cell>
          <cell r="I208">
            <v>1.0388587600000001</v>
          </cell>
          <cell r="J208">
            <v>1.04020644</v>
          </cell>
          <cell r="K208">
            <v>1.04568449</v>
          </cell>
          <cell r="L208">
            <v>1.04066689</v>
          </cell>
          <cell r="M208">
            <v>1.0370245600000001</v>
          </cell>
          <cell r="N208">
            <v>1.0385126899999999</v>
          </cell>
          <cell r="O208">
            <v>1.0397872100000001</v>
          </cell>
          <cell r="P208">
            <v>1.03702641</v>
          </cell>
          <cell r="Q208">
            <v>1.04024216</v>
          </cell>
          <cell r="R208">
            <v>1.04079097</v>
          </cell>
          <cell r="S208">
            <v>1.0368378</v>
          </cell>
          <cell r="T208">
            <v>1.0369965400000001</v>
          </cell>
          <cell r="U208">
            <v>1.0354824199999999</v>
          </cell>
          <cell r="V208">
            <v>1.0350529399999999</v>
          </cell>
          <cell r="W208">
            <v>1.0359799999999999</v>
          </cell>
          <cell r="X208">
            <v>1.0376959100000001</v>
          </cell>
          <cell r="Y208">
            <v>1.03801297</v>
          </cell>
          <cell r="Z208">
            <v>1.0399568299999999</v>
          </cell>
          <cell r="AA208">
            <v>1.04353568</v>
          </cell>
          <cell r="AB208">
            <v>1.04424736</v>
          </cell>
          <cell r="AC208">
            <v>1.0441799599999999</v>
          </cell>
          <cell r="AD208">
            <v>1.0501627200000001</v>
          </cell>
          <cell r="AE208">
            <v>1.04496217</v>
          </cell>
          <cell r="AF208">
            <v>1.04836025</v>
          </cell>
          <cell r="AG208">
            <v>1.0341349</v>
          </cell>
          <cell r="AH208">
            <v>1.0245205799999999</v>
          </cell>
        </row>
        <row r="209">
          <cell r="A209" t="str">
            <v>YMCZD</v>
          </cell>
          <cell r="B209" t="str">
            <v>YMCZDUSM</v>
          </cell>
          <cell r="C209" t="str">
            <v>YMCZO - Z-Spread D</v>
          </cell>
          <cell r="D209">
            <v>693.10694911580151</v>
          </cell>
          <cell r="E209">
            <v>1.09689736</v>
          </cell>
          <cell r="F209">
            <v>1.09769271</v>
          </cell>
          <cell r="G209">
            <v>1.0962702099999999</v>
          </cell>
          <cell r="H209">
            <v>1.09624017</v>
          </cell>
          <cell r="I209">
            <v>1.0952600699999999</v>
          </cell>
          <cell r="J209">
            <v>1.0966149599999999</v>
          </cell>
          <cell r="K209">
            <v>1.10230044</v>
          </cell>
          <cell r="L209">
            <v>1.0934999999999999</v>
          </cell>
          <cell r="M209">
            <v>1.08948625</v>
          </cell>
          <cell r="N209">
            <v>1.0909966</v>
          </cell>
          <cell r="O209">
            <v>1.0922831200000001</v>
          </cell>
          <cell r="P209">
            <v>1.08937694</v>
          </cell>
          <cell r="Q209">
            <v>1.0926818199999999</v>
          </cell>
          <cell r="R209">
            <v>1.0931394000000001</v>
          </cell>
          <cell r="S209">
            <v>1.09088874</v>
          </cell>
          <cell r="T209">
            <v>1.0911108199999999</v>
          </cell>
          <cell r="U209">
            <v>1.0894944799999999</v>
          </cell>
          <cell r="V209">
            <v>1.0890133500000001</v>
          </cell>
          <cell r="W209">
            <v>1.0898631299999999</v>
          </cell>
          <cell r="X209">
            <v>1.09160711</v>
          </cell>
          <cell r="Y209">
            <v>1.09190063</v>
          </cell>
          <cell r="Z209">
            <v>1.0938806999999999</v>
          </cell>
          <cell r="AA209">
            <v>1.0889047599999999</v>
          </cell>
          <cell r="AB209">
            <v>1.0896962800000001</v>
          </cell>
          <cell r="AC209">
            <v>1.0896006899999999</v>
          </cell>
          <cell r="AD209">
            <v>1.0957470499999999</v>
          </cell>
          <cell r="AE209">
            <v>1.09035448</v>
          </cell>
          <cell r="AF209">
            <v>1.0938335100000001</v>
          </cell>
          <cell r="AG209">
            <v>1.0680000000000001</v>
          </cell>
          <cell r="AH209">
            <v>1.06718476</v>
          </cell>
        </row>
        <row r="210">
          <cell r="A210" t="str">
            <v>GN47D</v>
          </cell>
          <cell r="B210" t="str">
            <v>GN47DUSM</v>
          </cell>
          <cell r="C210" t="str">
            <v>ON Tier 1 - Tasa Fija USD Ley Argentina ON</v>
          </cell>
          <cell r="D210">
            <v>683.78244434554199</v>
          </cell>
          <cell r="E210">
            <v>1.03715676</v>
          </cell>
          <cell r="F210">
            <v>1.0379638099999999</v>
          </cell>
          <cell r="G210">
            <v>1.03660343</v>
          </cell>
          <cell r="H210">
            <v>1.03670548</v>
          </cell>
          <cell r="I210">
            <v>1.0358957200000001</v>
          </cell>
          <cell r="J210">
            <v>1.03723604</v>
          </cell>
          <cell r="K210">
            <v>1.04263438</v>
          </cell>
          <cell r="L210">
            <v>1.0376759799999999</v>
          </cell>
          <cell r="M210">
            <v>1.0340408299999999</v>
          </cell>
          <cell r="N210">
            <v>1.03554345</v>
          </cell>
          <cell r="O210">
            <v>1.03686502</v>
          </cell>
          <cell r="P210">
            <v>1.0341099</v>
          </cell>
          <cell r="Q210">
            <v>1.0373089</v>
          </cell>
          <cell r="R210">
            <v>1.0379061199999999</v>
          </cell>
          <cell r="S210">
            <v>1.03581926</v>
          </cell>
          <cell r="T210">
            <v>1.0360065899999999</v>
          </cell>
          <cell r="U210">
            <v>1.0344881500000001</v>
          </cell>
          <cell r="V210">
            <v>1.0339976399999999</v>
          </cell>
          <cell r="W210">
            <v>1.03486948</v>
          </cell>
          <cell r="X210">
            <v>1.03663679</v>
          </cell>
          <cell r="Y210">
            <v>1.03686776</v>
          </cell>
          <cell r="Z210">
            <v>1.0389468100000001</v>
          </cell>
          <cell r="AA210">
            <v>1.0342038</v>
          </cell>
          <cell r="AB210">
            <v>1.0350470199999999</v>
          </cell>
          <cell r="AC210">
            <v>1.0349657299999999</v>
          </cell>
          <cell r="AD210">
            <v>1.04095593</v>
          </cell>
          <cell r="AE210">
            <v>1.03576669</v>
          </cell>
          <cell r="AF210">
            <v>1.0391764800000001</v>
          </cell>
          <cell r="AG210">
            <v>1.0414880200000001</v>
          </cell>
          <cell r="AH210">
            <v>1.0410913799999999</v>
          </cell>
        </row>
        <row r="211">
          <cell r="A211" t="str">
            <v>YFCLD</v>
          </cell>
          <cell r="B211" t="str">
            <v>YFCLDUSM</v>
          </cell>
          <cell r="C211" t="str">
            <v>YFCLO - Z-Spread D</v>
          </cell>
          <cell r="D211">
            <v>719.60319157119511</v>
          </cell>
          <cell r="E211">
            <v>1.0336695300000001</v>
          </cell>
          <cell r="F211">
            <v>1.03446584</v>
          </cell>
          <cell r="G211">
            <v>1.0328985900000001</v>
          </cell>
          <cell r="H211">
            <v>1.03308066</v>
          </cell>
          <cell r="I211">
            <v>1.0325362600000001</v>
          </cell>
          <cell r="J211">
            <v>1.0336931700000001</v>
          </cell>
          <cell r="K211">
            <v>1.0389826</v>
          </cell>
          <cell r="L211">
            <v>1.0341066299999999</v>
          </cell>
          <cell r="M211">
            <v>1.0303809799999999</v>
          </cell>
          <cell r="N211">
            <v>1.03194816</v>
          </cell>
          <cell r="O211">
            <v>1.0396214500000001</v>
          </cell>
          <cell r="P211">
            <v>1.0366369099999999</v>
          </cell>
          <cell r="Q211">
            <v>1.0397769699999999</v>
          </cell>
          <cell r="R211">
            <v>1.04037757</v>
          </cell>
          <cell r="S211">
            <v>1.03836883</v>
          </cell>
          <cell r="T211">
            <v>1.0383554699999999</v>
          </cell>
          <cell r="U211">
            <v>1.03670215</v>
          </cell>
          <cell r="V211">
            <v>1.0360652800000001</v>
          </cell>
          <cell r="W211">
            <v>1.0366955099999999</v>
          </cell>
          <cell r="X211">
            <v>1.03853339</v>
          </cell>
          <cell r="Y211">
            <v>1.03848133</v>
          </cell>
          <cell r="Z211">
            <v>1.04093787</v>
          </cell>
          <cell r="AA211">
            <v>1.03629237</v>
          </cell>
          <cell r="AB211">
            <v>1.03688589</v>
          </cell>
          <cell r="AC211">
            <v>1.03676313</v>
          </cell>
          <cell r="AD211">
            <v>1.04279341</v>
          </cell>
          <cell r="AE211">
            <v>1.03745245</v>
          </cell>
          <cell r="AF211">
            <v>1.04101098</v>
          </cell>
          <cell r="AG211">
            <v>1.0436467899999999</v>
          </cell>
          <cell r="AH211">
            <v>1.0431683700000001</v>
          </cell>
        </row>
        <row r="212">
          <cell r="A212" t="str">
            <v>YFCOD</v>
          </cell>
          <cell r="B212" t="str">
            <v>YFCODUSM</v>
          </cell>
          <cell r="C212" t="str">
            <v>YFCOO - Z-Spread D</v>
          </cell>
          <cell r="D212">
            <v>742.33213103295861</v>
          </cell>
          <cell r="E212">
            <v>1.0801986699999999</v>
          </cell>
          <cell r="F212">
            <v>1.07246833</v>
          </cell>
          <cell r="G212">
            <v>1.0706765300000001</v>
          </cell>
          <cell r="H212">
            <v>1.0805006800000001</v>
          </cell>
          <cell r="I212">
            <v>1.07970495</v>
          </cell>
          <cell r="J212">
            <v>1.0807042600000001</v>
          </cell>
          <cell r="K212">
            <v>1.08590454</v>
          </cell>
          <cell r="L212">
            <v>1.0811151699999999</v>
          </cell>
          <cell r="M212">
            <v>1.0773538199999999</v>
          </cell>
          <cell r="N212">
            <v>1.0283365600000001</v>
          </cell>
          <cell r="O212">
            <v>1.0299685300000001</v>
          </cell>
          <cell r="P212">
            <v>1.02708858</v>
          </cell>
          <cell r="Q212">
            <v>1.03014761</v>
          </cell>
          <cell r="R212">
            <v>1.0307818399999999</v>
          </cell>
          <cell r="S212">
            <v>1.02887789</v>
          </cell>
          <cell r="T212">
            <v>1.0287345299999999</v>
          </cell>
          <cell r="U212">
            <v>1.0270215</v>
          </cell>
          <cell r="V212">
            <v>1.02630665</v>
          </cell>
          <cell r="W212">
            <v>1.0267944600000001</v>
          </cell>
          <cell r="X212">
            <v>1.0286655300000001</v>
          </cell>
          <cell r="Y212">
            <v>1.0284231699999999</v>
          </cell>
          <cell r="Z212">
            <v>1.0311282799999999</v>
          </cell>
          <cell r="AA212">
            <v>1.0266490100000001</v>
          </cell>
          <cell r="AB212">
            <v>1.02709202</v>
          </cell>
          <cell r="AC212">
            <v>1.0269571099999999</v>
          </cell>
          <cell r="AD212">
            <v>1.03293112</v>
          </cell>
          <cell r="AE212">
            <v>1.02758131</v>
          </cell>
          <cell r="AF212">
            <v>1.0312072400000001</v>
          </cell>
          <cell r="AG212">
            <v>1.03409839</v>
          </cell>
          <cell r="AH212">
            <v>1.03358211</v>
          </cell>
        </row>
        <row r="213">
          <cell r="A213" t="str">
            <v>YM42D</v>
          </cell>
          <cell r="B213" t="str">
            <v>YM42DUSM</v>
          </cell>
          <cell r="C213" t="str">
            <v>YM42O - Z-Spread D</v>
          </cell>
          <cell r="D213">
            <v>798.08347117493486</v>
          </cell>
          <cell r="E213">
            <v>1.0519937100000001</v>
          </cell>
          <cell r="F213">
            <v>1.0495691300000001</v>
          </cell>
          <cell r="G213">
            <v>1.0549459699999999</v>
          </cell>
          <cell r="H213">
            <v>1.05693367</v>
          </cell>
          <cell r="I213">
            <v>1.0547388099999999</v>
          </cell>
          <cell r="J213">
            <v>1.0521976099999999</v>
          </cell>
          <cell r="K213">
            <v>1.05063252</v>
          </cell>
          <cell r="L213">
            <v>1.0541425600000001</v>
          </cell>
          <cell r="M213">
            <v>1.0539910400000001</v>
          </cell>
          <cell r="N213">
            <v>1.05249937</v>
          </cell>
          <cell r="O213">
            <v>1.0520007</v>
          </cell>
          <cell r="P213">
            <v>1.0510321499999999</v>
          </cell>
          <cell r="Q213">
            <v>1.05593743</v>
          </cell>
          <cell r="R213">
            <v>1.05410559</v>
          </cell>
          <cell r="S213">
            <v>1.0515704800000001</v>
          </cell>
          <cell r="T213">
            <v>1.0521183999999999</v>
          </cell>
          <cell r="U213">
            <v>1.0504118899999999</v>
          </cell>
          <cell r="V213">
            <v>1.04898589</v>
          </cell>
          <cell r="W213">
            <v>1.0499960500000001</v>
          </cell>
          <cell r="X213">
            <v>1.0488651899999999</v>
          </cell>
          <cell r="Y213">
            <v>1.0412548399999999</v>
          </cell>
          <cell r="Z213">
            <v>1.0444767800000001</v>
          </cell>
          <cell r="AA213">
            <v>1.04541909</v>
          </cell>
          <cell r="AB213">
            <v>1.0450488899999999</v>
          </cell>
          <cell r="AC213">
            <v>1.0449710999999999</v>
          </cell>
          <cell r="AD213">
            <v>1.0435886000000001</v>
          </cell>
          <cell r="AE213">
            <v>1.04497474</v>
          </cell>
          <cell r="AF213">
            <v>1.0425423899999999</v>
          </cell>
          <cell r="AG213">
            <v>1.0464037799999999</v>
          </cell>
          <cell r="AH213">
            <v>1.0489861</v>
          </cell>
        </row>
        <row r="214">
          <cell r="A214" t="str">
            <v>PLC6D</v>
          </cell>
          <cell r="B214" t="str">
            <v>PLC6DUSM</v>
          </cell>
          <cell r="C214" t="str">
            <v>ON Tier 1 - Tasa Fija USD Ley Argentina ON</v>
          </cell>
          <cell r="D214">
            <v>788.21457667148104</v>
          </cell>
          <cell r="E214">
            <v>1.05699794</v>
          </cell>
          <cell r="F214">
            <v>1.0577124200000001</v>
          </cell>
          <cell r="G214">
            <v>1.0555285599999999</v>
          </cell>
          <cell r="H214">
            <v>1.0595000000000001</v>
          </cell>
          <cell r="I214">
            <v>1.0565010399999999</v>
          </cell>
          <cell r="J214">
            <v>1.0615017499999999</v>
          </cell>
          <cell r="K214">
            <v>1.06171598</v>
          </cell>
          <cell r="L214">
            <v>1.0572712500000001</v>
          </cell>
          <cell r="M214">
            <v>1.0535135600000001</v>
          </cell>
          <cell r="N214">
            <v>1.05525355</v>
          </cell>
          <cell r="O214">
            <v>1.05731212</v>
          </cell>
          <cell r="P214">
            <v>1.05430052</v>
          </cell>
          <cell r="Q214">
            <v>1.06314069</v>
          </cell>
          <cell r="R214">
            <v>1.05851008</v>
          </cell>
          <cell r="S214">
            <v>1.0570557199999999</v>
          </cell>
          <cell r="T214">
            <v>1.0554853200000001</v>
          </cell>
          <cell r="U214">
            <v>1.0534461399999999</v>
          </cell>
          <cell r="V214">
            <v>1.05262283</v>
          </cell>
          <cell r="W214">
            <v>1.05261392</v>
          </cell>
          <cell r="X214">
            <v>1.05440719</v>
          </cell>
          <cell r="Y214">
            <v>1.05358698</v>
          </cell>
          <cell r="Z214">
            <v>1.0579752899999999</v>
          </cell>
          <cell r="AA214">
            <v>1.0532517299999999</v>
          </cell>
          <cell r="AB214">
            <v>1.05302604</v>
          </cell>
          <cell r="AC214">
            <v>1.05294201</v>
          </cell>
          <cell r="AD214">
            <v>1.04697906</v>
          </cell>
          <cell r="AE214">
            <v>1.0440670999999999</v>
          </cell>
          <cell r="AF214">
            <v>1.0570734399999999</v>
          </cell>
          <cell r="AG214">
            <v>1.06068564</v>
          </cell>
          <cell r="AH214">
            <v>1.0599897</v>
          </cell>
        </row>
        <row r="215">
          <cell r="A215" t="str">
            <v>TLCUD</v>
          </cell>
          <cell r="B215" t="str">
            <v>TLCUDUSM</v>
          </cell>
          <cell r="C215" t="str">
            <v>ON Tier 1 - Tasa Fija USD Ley Argentina ON</v>
          </cell>
          <cell r="D215">
            <v>819.09396611023851</v>
          </cell>
          <cell r="E215">
            <v>1.0558988199999999</v>
          </cell>
          <cell r="F215">
            <v>1.0566082299999999</v>
          </cell>
          <cell r="G215">
            <v>1.05437493</v>
          </cell>
          <cell r="H215">
            <v>1.0222737900000001</v>
          </cell>
          <cell r="I215">
            <v>1.0226724</v>
          </cell>
          <cell r="J215">
            <v>1.02287109</v>
          </cell>
          <cell r="K215">
            <v>1.0277573499999999</v>
          </cell>
          <cell r="L215">
            <v>1.02337682</v>
          </cell>
          <cell r="M215">
            <v>1.0196076300000001</v>
          </cell>
          <cell r="N215">
            <v>1.0213547700000001</v>
          </cell>
          <cell r="O215">
            <v>1.0234578000000001</v>
          </cell>
          <cell r="P215">
            <v>1.0204443000000001</v>
          </cell>
          <cell r="Q215">
            <v>1.02312899</v>
          </cell>
          <cell r="R215">
            <v>1.0237060200000001</v>
          </cell>
          <cell r="S215">
            <v>1.01600001</v>
          </cell>
          <cell r="T215">
            <v>1.0215824499999999</v>
          </cell>
          <cell r="U215">
            <v>1.0195267100000001</v>
          </cell>
          <cell r="V215">
            <v>1.0186520100000001</v>
          </cell>
          <cell r="W215">
            <v>1.01167075</v>
          </cell>
          <cell r="X215">
            <v>1.02038345</v>
          </cell>
          <cell r="Y215">
            <v>1.0194776299999999</v>
          </cell>
          <cell r="Z215">
            <v>1.02292904</v>
          </cell>
          <cell r="AA215">
            <v>1.0192978100000001</v>
          </cell>
          <cell r="AB215">
            <v>1.01900594</v>
          </cell>
          <cell r="AC215">
            <v>1.0189089200000001</v>
          </cell>
          <cell r="AD215">
            <v>1.0099935600000001</v>
          </cell>
          <cell r="AE215">
            <v>1.01914259</v>
          </cell>
          <cell r="AF215">
            <v>1.0230263500000001</v>
          </cell>
          <cell r="AG215">
            <v>1.0267153600000001</v>
          </cell>
          <cell r="AH215">
            <v>1.02600146</v>
          </cell>
        </row>
        <row r="216">
          <cell r="A216" t="str">
            <v>OLC6D</v>
          </cell>
          <cell r="B216" t="str">
            <v>OLC6DUSM</v>
          </cell>
          <cell r="C216" t="str">
            <v>ON Tier 1 - Tasa Fija USD Ley Argentina ON</v>
          </cell>
          <cell r="D216">
            <v>874.32343992117569</v>
          </cell>
          <cell r="E216">
            <v>1.0599968</v>
          </cell>
          <cell r="F216">
            <v>1.0610452399999999</v>
          </cell>
          <cell r="G216">
            <v>1.0647363400000001</v>
          </cell>
          <cell r="H216">
            <v>1.0662617299999999</v>
          </cell>
          <cell r="I216">
            <v>1.06546666</v>
          </cell>
          <cell r="J216">
            <v>1.0661552999999999</v>
          </cell>
          <cell r="K216">
            <v>1.07103773</v>
          </cell>
          <cell r="L216">
            <v>1.0671644</v>
          </cell>
          <cell r="M216">
            <v>1.0636003300000001</v>
          </cell>
          <cell r="N216">
            <v>1.0655233799999999</v>
          </cell>
          <cell r="O216">
            <v>1.0681984499999999</v>
          </cell>
          <cell r="P216">
            <v>1.06499992</v>
          </cell>
          <cell r="Q216">
            <v>1.0653358799999999</v>
          </cell>
          <cell r="R216">
            <v>1.0672620100000001</v>
          </cell>
          <cell r="S216">
            <v>1.06622865</v>
          </cell>
          <cell r="T216">
            <v>1.0708178100000001</v>
          </cell>
          <cell r="U216">
            <v>1.0585</v>
          </cell>
          <cell r="V216">
            <v>1.0619453000000001</v>
          </cell>
          <cell r="W216">
            <v>1.06125845</v>
          </cell>
          <cell r="X216">
            <v>1.0625699500000001</v>
          </cell>
          <cell r="Y216">
            <v>1.05544018</v>
          </cell>
          <cell r="Z216">
            <v>1.0649374899999999</v>
          </cell>
          <cell r="AA216">
            <v>1.0630294199999999</v>
          </cell>
          <cell r="AB216">
            <v>1.0529999999999999</v>
          </cell>
          <cell r="AC216">
            <v>1.0618194299999999</v>
          </cell>
          <cell r="AD216">
            <v>1.06601206</v>
          </cell>
          <cell r="AE216">
            <v>1.0613335100000001</v>
          </cell>
          <cell r="AF216">
            <v>1.0655010899999999</v>
          </cell>
          <cell r="AG216">
            <v>1.06991203</v>
          </cell>
          <cell r="AH216">
            <v>1.0688995999999999</v>
          </cell>
        </row>
        <row r="217">
          <cell r="A217" t="str">
            <v>OLC7D</v>
          </cell>
          <cell r="B217" t="str">
            <v>OLC7DUSM</v>
          </cell>
          <cell r="C217" t="str">
            <v>ON Tier 1 - Tasa Fija USD Ley Argentina ON</v>
          </cell>
          <cell r="D217">
            <v>1111.1111595104396</v>
          </cell>
          <cell r="E217">
            <v>1.0386365099999999</v>
          </cell>
          <cell r="F217">
            <v>1.0383178099999999</v>
          </cell>
          <cell r="G217">
            <v>1.0333352600000001</v>
          </cell>
          <cell r="H217">
            <v>1.03904778</v>
          </cell>
          <cell r="I217">
            <v>1.0432473799999999</v>
          </cell>
          <cell r="J217">
            <v>1.0339045</v>
          </cell>
          <cell r="K217">
            <v>1.0394433000000001</v>
          </cell>
          <cell r="L217">
            <v>1.03823976</v>
          </cell>
          <cell r="M217">
            <v>1.03679006</v>
          </cell>
          <cell r="N217">
            <v>1.03907203</v>
          </cell>
          <cell r="O217">
            <v>1.0434703400000001</v>
          </cell>
          <cell r="P217">
            <v>1.0400551899999999</v>
          </cell>
          <cell r="Q217">
            <v>1.03867121</v>
          </cell>
          <cell r="R217">
            <v>1.0365079500000001</v>
          </cell>
          <cell r="S217">
            <v>1.03770114</v>
          </cell>
          <cell r="T217">
            <v>1.0360663299999999</v>
          </cell>
          <cell r="U217">
            <v>1.0310119799999999</v>
          </cell>
          <cell r="V217">
            <v>1.0326552099999999</v>
          </cell>
          <cell r="W217">
            <v>1.0301311200000001</v>
          </cell>
          <cell r="X217">
            <v>1.02780644</v>
          </cell>
          <cell r="Y217">
            <v>1.02501069</v>
          </cell>
          <cell r="Z217">
            <v>1.0281132900000001</v>
          </cell>
          <cell r="AA217">
            <v>1.03550556</v>
          </cell>
          <cell r="AB217">
            <v>1.0292486000000001</v>
          </cell>
          <cell r="AC217">
            <v>1.0315415100000001</v>
          </cell>
          <cell r="AD217">
            <v>1.0288302300000001</v>
          </cell>
          <cell r="AE217">
            <v>1.02754615</v>
          </cell>
          <cell r="AF217">
            <v>1.03197925</v>
          </cell>
          <cell r="AG217">
            <v>1.0374047500000001</v>
          </cell>
          <cell r="AH217">
            <v>1.03522421</v>
          </cell>
        </row>
        <row r="218">
          <cell r="A218" t="str">
            <v>HJCFD</v>
          </cell>
          <cell r="B218" t="str">
            <v>HJCFDUSM</v>
          </cell>
          <cell r="C218" t="str">
            <v>ON Tier 1 - Tasa Fija USD Ley Argentina ON</v>
          </cell>
          <cell r="D218">
            <v>7.9999999999970495</v>
          </cell>
          <cell r="E218">
            <v>1.0213723800000001</v>
          </cell>
          <cell r="F218">
            <v>1.0205828800000001</v>
          </cell>
          <cell r="G218">
            <v>1.02071946</v>
          </cell>
          <cell r="H218">
            <v>1.02392035</v>
          </cell>
          <cell r="I218">
            <v>1.02327948</v>
          </cell>
          <cell r="J218">
            <v>1.0219607399999999</v>
          </cell>
          <cell r="K218">
            <v>1.02379091</v>
          </cell>
          <cell r="L218">
            <v>1.0232509999999999</v>
          </cell>
          <cell r="M218">
            <v>1.02372321</v>
          </cell>
          <cell r="N218">
            <v>1.0238038899999999</v>
          </cell>
          <cell r="O218">
            <v>1.0236894400000001</v>
          </cell>
          <cell r="P218">
            <v>1.02353491</v>
          </cell>
          <cell r="Q218">
            <v>1.0234608199999999</v>
          </cell>
          <cell r="R218">
            <v>1.0229302300000001</v>
          </cell>
          <cell r="S218">
            <v>1.0228203899999999</v>
          </cell>
          <cell r="T218">
            <v>1.02347721</v>
          </cell>
          <cell r="U218">
            <v>1.02317316</v>
          </cell>
          <cell r="V218">
            <v>1.0241505099999999</v>
          </cell>
          <cell r="W218">
            <v>1.02465038</v>
          </cell>
          <cell r="X218">
            <v>1.0239558600000001</v>
          </cell>
          <cell r="Y218">
            <v>1.0245814600000001</v>
          </cell>
          <cell r="Z218">
            <v>1.0236452899999999</v>
          </cell>
          <cell r="AA218">
            <v>1.0244042</v>
          </cell>
          <cell r="AB218">
            <v>1.0243819300000001</v>
          </cell>
          <cell r="AC218">
            <v>1.02475278</v>
          </cell>
          <cell r="AD218">
            <v>1.02417406</v>
          </cell>
          <cell r="AE218">
            <v>1.02461084</v>
          </cell>
          <cell r="AF218">
            <v>1.02465899</v>
          </cell>
          <cell r="AG218">
            <v>1.02651732</v>
          </cell>
          <cell r="AH218">
            <v>1.0245947500000001</v>
          </cell>
        </row>
        <row r="219">
          <cell r="A219" t="str">
            <v>T672D</v>
          </cell>
          <cell r="B219" t="str">
            <v>T672DUSM</v>
          </cell>
          <cell r="C219" t="str">
            <v>ON Tier 2 - Tasa Fija USD Ley Argentina ON</v>
          </cell>
          <cell r="D219">
            <v>130.87841996954072</v>
          </cell>
          <cell r="E219">
            <v>1.0073437255237601</v>
          </cell>
          <cell r="F219">
            <v>1.00467079</v>
          </cell>
          <cell r="G219">
            <v>1.00481124</v>
          </cell>
          <cell r="H219">
            <v>1.0073204600000001</v>
          </cell>
          <cell r="I219">
            <v>1.00544495</v>
          </cell>
          <cell r="J219">
            <v>1.00419159</v>
          </cell>
          <cell r="K219">
            <v>1.0094279500000001</v>
          </cell>
          <cell r="L219">
            <v>1.0056576699999999</v>
          </cell>
          <cell r="M219">
            <v>1.00742054</v>
          </cell>
          <cell r="N219">
            <v>1.0063995699999999</v>
          </cell>
          <cell r="O219">
            <v>1.0061328899999999</v>
          </cell>
          <cell r="P219">
            <v>1.0058617299999999</v>
          </cell>
          <cell r="Q219">
            <v>1.0079845700000001</v>
          </cell>
          <cell r="R219">
            <v>1.0061882499999999</v>
          </cell>
          <cell r="S219">
            <v>1.0050268</v>
          </cell>
          <cell r="T219">
            <v>1.0189999999999999</v>
          </cell>
          <cell r="U219">
            <v>1.0076437300000001</v>
          </cell>
          <cell r="V219">
            <v>1.0062975999999999</v>
          </cell>
          <cell r="W219">
            <v>1.00758002</v>
          </cell>
          <cell r="X219">
            <v>1.0070513000000001</v>
          </cell>
          <cell r="Y219">
            <v>1.0081959899999999</v>
          </cell>
          <cell r="Z219">
            <v>1.0053203399999999</v>
          </cell>
          <cell r="AA219">
            <v>1.00818863</v>
          </cell>
          <cell r="AB219">
            <v>1.0075808900000001</v>
          </cell>
          <cell r="AC219">
            <v>1.00862455</v>
          </cell>
          <cell r="AD219">
            <v>1.0070171699999999</v>
          </cell>
          <cell r="AE219">
            <v>1.0086703699999999</v>
          </cell>
          <cell r="AF219">
            <v>1.0071214399999999</v>
          </cell>
          <cell r="AG219">
            <v>1.00460952</v>
          </cell>
          <cell r="AH219">
            <v>1.00491715</v>
          </cell>
        </row>
        <row r="220">
          <cell r="A220" t="str">
            <v>CS48D</v>
          </cell>
          <cell r="B220" t="str">
            <v>CS48DUSM</v>
          </cell>
          <cell r="C220" t="str">
            <v>ON Tier 1 - Tasa Fija USD Ley Argentina ON</v>
          </cell>
          <cell r="D220">
            <v>597.07702978120994</v>
          </cell>
          <cell r="E220">
            <v>1.04538362</v>
          </cell>
          <cell r="F220">
            <v>1.0361047699999999</v>
          </cell>
          <cell r="G220">
            <v>1.0343843100000001</v>
          </cell>
          <cell r="H220">
            <v>1.0347153099999999</v>
          </cell>
          <cell r="I220">
            <v>1.03319256</v>
          </cell>
          <cell r="J220">
            <v>1.0406695399999999</v>
          </cell>
          <cell r="K220">
            <v>1.0467139000000001</v>
          </cell>
          <cell r="L220">
            <v>1.03487164</v>
          </cell>
          <cell r="M220">
            <v>1.03563451</v>
          </cell>
          <cell r="N220">
            <v>1.03151024</v>
          </cell>
          <cell r="O220">
            <v>1.0326259200000001</v>
          </cell>
          <cell r="P220">
            <v>1.0319543200000001</v>
          </cell>
          <cell r="Q220">
            <v>1.0485</v>
          </cell>
          <cell r="R220">
            <v>1.0432993100000001</v>
          </cell>
          <cell r="S220">
            <v>1.03962865</v>
          </cell>
          <cell r="T220">
            <v>1.03700306</v>
          </cell>
          <cell r="U220">
            <v>1.04592603</v>
          </cell>
          <cell r="V220">
            <v>1.0611914600000001</v>
          </cell>
          <cell r="W220">
            <v>1.0627835800000001</v>
          </cell>
          <cell r="X220">
            <v>1.0639556699999999</v>
          </cell>
          <cell r="Y220">
            <v>1.0651683599999999</v>
          </cell>
          <cell r="Z220">
            <v>1.06574927</v>
          </cell>
          <cell r="AA220">
            <v>1.06123265</v>
          </cell>
          <cell r="AB220">
            <v>1.0624878499999999</v>
          </cell>
          <cell r="AC220">
            <v>1.0627684500000001</v>
          </cell>
          <cell r="AD220">
            <v>1.06809098</v>
          </cell>
          <cell r="AE220">
            <v>1.0636031399999999</v>
          </cell>
          <cell r="AF220">
            <v>1.0666727300000001</v>
          </cell>
          <cell r="AG220">
            <v>1.0677807399999999</v>
          </cell>
          <cell r="AH220">
            <v>1.06750634</v>
          </cell>
        </row>
        <row r="221">
          <cell r="A221" t="str">
            <v>CS47D</v>
          </cell>
          <cell r="B221" t="str">
            <v>CS47DUSM</v>
          </cell>
          <cell r="C221" t="str">
            <v>ON Tier 1 - Tasa Fija USD Ley Argentina ON</v>
          </cell>
          <cell r="D221">
            <v>705.34935882279103</v>
          </cell>
          <cell r="E221">
            <v>1.03504032241144</v>
          </cell>
          <cell r="F221">
            <v>1.02419244</v>
          </cell>
          <cell r="G221">
            <v>1.02165409</v>
          </cell>
          <cell r="H221">
            <v>1.0219704999999999</v>
          </cell>
          <cell r="I221">
            <v>1.0214171999999999</v>
          </cell>
          <cell r="J221">
            <v>1.02971462</v>
          </cell>
          <cell r="K221">
            <v>1.03501186</v>
          </cell>
          <cell r="L221">
            <v>1.0224479200000001</v>
          </cell>
          <cell r="M221">
            <v>1.02337743</v>
          </cell>
          <cell r="N221">
            <v>1.01859123</v>
          </cell>
          <cell r="O221">
            <v>1.0203695500000001</v>
          </cell>
          <cell r="P221">
            <v>1.01976779</v>
          </cell>
          <cell r="Q221">
            <v>1.0319047699999999</v>
          </cell>
          <cell r="R221">
            <v>1.03260335</v>
          </cell>
          <cell r="S221">
            <v>1.0535000000000001</v>
          </cell>
          <cell r="T221">
            <v>1.0250210399999999</v>
          </cell>
          <cell r="U221">
            <v>1.0353915199999999</v>
          </cell>
          <cell r="V221">
            <v>1.0522712999999999</v>
          </cell>
          <cell r="W221">
            <v>1.04754711</v>
          </cell>
          <cell r="X221">
            <v>1.04745168</v>
          </cell>
          <cell r="Y221">
            <v>1.05484533</v>
          </cell>
          <cell r="Z221">
            <v>1.0475012699999999</v>
          </cell>
          <cell r="AA221">
            <v>1.0525541199999999</v>
          </cell>
          <cell r="AB221">
            <v>1.0532269400000001</v>
          </cell>
          <cell r="AC221">
            <v>1.0531277999999999</v>
          </cell>
          <cell r="AD221">
            <v>1.0591814900000001</v>
          </cell>
          <cell r="AE221">
            <v>1.0538573099999999</v>
          </cell>
          <cell r="AF221">
            <v>1.0574148800000001</v>
          </cell>
          <cell r="AG221">
            <v>1.0600239300000001</v>
          </cell>
          <cell r="AH221">
            <v>1.0595677999999999</v>
          </cell>
        </row>
        <row r="222">
          <cell r="A222" t="str">
            <v>ZZC1D</v>
          </cell>
          <cell r="B222" t="str">
            <v>ZZC1DUSM</v>
          </cell>
          <cell r="C222" t="str">
            <v>ON Tier 2 - Tasa Fija USD Ley Argentina ON</v>
          </cell>
          <cell r="D222">
            <v>132.0000000000006</v>
          </cell>
          <cell r="E222">
            <v>1.01506093</v>
          </cell>
          <cell r="F222">
            <v>1.0151828000000001</v>
          </cell>
          <cell r="G222">
            <v>1.0155424</v>
          </cell>
          <cell r="H222">
            <v>1.0181606999999999</v>
          </cell>
          <cell r="I222">
            <v>1.01635466</v>
          </cell>
          <cell r="J222">
            <v>1.01291643</v>
          </cell>
          <cell r="K222">
            <v>1.01715233</v>
          </cell>
          <cell r="L222">
            <v>1.0160776199999999</v>
          </cell>
          <cell r="M222">
            <v>1.01654852</v>
          </cell>
          <cell r="N222">
            <v>1.01714726</v>
          </cell>
          <cell r="O222">
            <v>1.0161048699999999</v>
          </cell>
          <cell r="P222">
            <v>1.01571955</v>
          </cell>
          <cell r="Q222">
            <v>1.018</v>
          </cell>
          <cell r="R222">
            <v>1.0140891000000001</v>
          </cell>
          <cell r="S222">
            <v>1.0147976400000001</v>
          </cell>
          <cell r="T222">
            <v>1.01625063</v>
          </cell>
          <cell r="U222">
            <v>1.01752058</v>
          </cell>
          <cell r="V222">
            <v>1.0209469099999999</v>
          </cell>
          <cell r="W222">
            <v>1.0222537</v>
          </cell>
          <cell r="X222">
            <v>1.0217189099999999</v>
          </cell>
          <cell r="Y222">
            <v>1.02</v>
          </cell>
          <cell r="Z222">
            <v>1.0229759700000001</v>
          </cell>
          <cell r="AA222">
            <v>1.02287522</v>
          </cell>
          <cell r="AB222">
            <v>1.02225381</v>
          </cell>
          <cell r="AC222">
            <v>1.02331704</v>
          </cell>
          <cell r="AD222">
            <v>1.02168097</v>
          </cell>
          <cell r="AE222">
            <v>1.0200009000000001</v>
          </cell>
          <cell r="AF222">
            <v>1.02527601</v>
          </cell>
          <cell r="AG222">
            <v>1.01921073</v>
          </cell>
          <cell r="AH222">
            <v>1.0195247999999999</v>
          </cell>
        </row>
        <row r="223">
          <cell r="A223" t="str">
            <v>BVCUD</v>
          </cell>
          <cell r="B223" t="str">
            <v>BVCUDUSM</v>
          </cell>
          <cell r="C223" t="str">
            <v>ON Tier 3 - Tasa Fija USD Ley Argentina ON</v>
          </cell>
          <cell r="D223">
            <v>201.97403749045878</v>
          </cell>
          <cell r="E223">
            <v>0.99533406000000002</v>
          </cell>
          <cell r="F223">
            <v>0.99560842000000005</v>
          </cell>
          <cell r="G223">
            <v>0.99595051999999995</v>
          </cell>
          <cell r="H223">
            <v>0.99853526999999997</v>
          </cell>
          <cell r="I223">
            <v>0.99638784999999996</v>
          </cell>
          <cell r="J223">
            <v>0.99295330999999998</v>
          </cell>
          <cell r="K223">
            <v>0.99761893999999995</v>
          </cell>
          <cell r="L223">
            <v>0.99620377000000004</v>
          </cell>
          <cell r="M223">
            <v>0.99612920999999999</v>
          </cell>
          <cell r="N223">
            <v>0.99694952000000003</v>
          </cell>
          <cell r="O223">
            <v>0.99559339000000002</v>
          </cell>
          <cell r="P223">
            <v>0.99503580000000003</v>
          </cell>
          <cell r="Q223">
            <v>0.99571502999999995</v>
          </cell>
          <cell r="R223">
            <v>0.99368743999999998</v>
          </cell>
          <cell r="S223">
            <v>0.99465745000000005</v>
          </cell>
          <cell r="T223">
            <v>0.99601956000000003</v>
          </cell>
          <cell r="U223">
            <v>0.99819265000000001</v>
          </cell>
          <cell r="V223">
            <v>0.99497933000000005</v>
          </cell>
          <cell r="W223">
            <v>0.99635034</v>
          </cell>
          <cell r="X223">
            <v>0.99678036000000003</v>
          </cell>
          <cell r="Y223">
            <v>0.99762600000000001</v>
          </cell>
          <cell r="Z223">
            <v>0.99580519000000001</v>
          </cell>
          <cell r="AA223">
            <v>0.99991865000000002</v>
          </cell>
          <cell r="AB223">
            <v>0.99933355999999995</v>
          </cell>
          <cell r="AC223">
            <v>1.00201742</v>
          </cell>
          <cell r="AD223">
            <v>0.99772961999999998</v>
          </cell>
          <cell r="AE223">
            <v>0.99891722999999999</v>
          </cell>
          <cell r="AF223">
            <v>0.99668593000000005</v>
          </cell>
          <cell r="AG223">
            <v>0.99370274000000003</v>
          </cell>
          <cell r="AH223">
            <v>0.99423132000000003</v>
          </cell>
        </row>
        <row r="224">
          <cell r="A224" t="str">
            <v>JNC6D</v>
          </cell>
          <cell r="B224" t="str">
            <v>JNC6DUSM</v>
          </cell>
          <cell r="C224" t="str">
            <v>ON Tier 3 - Tasa Fija USD Ley Argentina ON</v>
          </cell>
          <cell r="D224">
            <v>348.22723916932853</v>
          </cell>
          <cell r="E224">
            <v>1.0623765199999999</v>
          </cell>
          <cell r="F224">
            <v>1.06308764</v>
          </cell>
          <cell r="G224">
            <v>1.06321562</v>
          </cell>
          <cell r="H224">
            <v>1.0651554000000001</v>
          </cell>
          <cell r="I224">
            <v>1.0627374700000001</v>
          </cell>
          <cell r="J224">
            <v>1.06016474</v>
          </cell>
          <cell r="K224">
            <v>1.0647007500000001</v>
          </cell>
          <cell r="L224">
            <v>1.0628327799999999</v>
          </cell>
          <cell r="M224">
            <v>1.0611225200000001</v>
          </cell>
          <cell r="N224">
            <v>1.0624806</v>
          </cell>
          <cell r="O224">
            <v>1.0606244</v>
          </cell>
          <cell r="P224">
            <v>1.0597426700000001</v>
          </cell>
          <cell r="Q224">
            <v>1.06157985</v>
          </cell>
          <cell r="R224">
            <v>1.0599239600000001</v>
          </cell>
          <cell r="S224">
            <v>1.0616811100000001</v>
          </cell>
          <cell r="T224">
            <v>1.0621407899999999</v>
          </cell>
          <cell r="U224">
            <v>1.0667389700000001</v>
          </cell>
          <cell r="V224">
            <v>1.0580756899999999</v>
          </cell>
          <cell r="W224">
            <v>1.05880138</v>
          </cell>
          <cell r="X224">
            <v>1.0624714399999999</v>
          </cell>
          <cell r="Y224">
            <v>1.0615625200000001</v>
          </cell>
          <cell r="Z224">
            <v>1.06264644</v>
          </cell>
          <cell r="AA224">
            <v>1.0657813199999999</v>
          </cell>
          <cell r="AB224">
            <v>1.0202246100000001</v>
          </cell>
          <cell r="AC224">
            <v>1.0228976400000001</v>
          </cell>
          <cell r="AD224">
            <v>1.01982671</v>
          </cell>
          <cell r="AE224">
            <v>1.01865625</v>
          </cell>
          <cell r="AF224">
            <v>1.0149877700000001</v>
          </cell>
          <cell r="AG224">
            <v>1.0119717699999999</v>
          </cell>
          <cell r="AH224">
            <v>1.01300762</v>
          </cell>
        </row>
        <row r="225">
          <cell r="A225" t="str">
            <v>HVS1D</v>
          </cell>
          <cell r="B225" t="str">
            <v>HVS1DUSM</v>
          </cell>
          <cell r="C225" t="str">
            <v>ON Tier 3 - Tasa Fija USD Ley Argentina ON</v>
          </cell>
          <cell r="D225">
            <v>596.25783606736547</v>
          </cell>
          <cell r="E225">
            <v>1.0355635400000001</v>
          </cell>
          <cell r="F225">
            <v>1.0368958500000001</v>
          </cell>
          <cell r="G225">
            <v>1.03596545</v>
          </cell>
          <cell r="H225">
            <v>1.03640361</v>
          </cell>
          <cell r="I225">
            <v>1.0351977999999999</v>
          </cell>
          <cell r="J225">
            <v>1.03418024</v>
          </cell>
          <cell r="K225">
            <v>1.0359287100000001</v>
          </cell>
          <cell r="L225">
            <v>1.03477913</v>
          </cell>
          <cell r="M225">
            <v>1.03023501</v>
          </cell>
          <cell r="N225">
            <v>1.0324506200000001</v>
          </cell>
          <cell r="O225">
            <v>1.0304592100000001</v>
          </cell>
          <cell r="P225">
            <v>1.0292890699999999</v>
          </cell>
          <cell r="Q225">
            <v>1.03240193</v>
          </cell>
          <cell r="R225">
            <v>1.03210388</v>
          </cell>
          <cell r="S225">
            <v>1.0360036800000001</v>
          </cell>
          <cell r="T225">
            <v>1.0335012100000001</v>
          </cell>
          <cell r="U225">
            <v>1.04223837</v>
          </cell>
          <cell r="V225">
            <v>1.0230957899999999</v>
          </cell>
          <cell r="W225">
            <v>1.0211782700000001</v>
          </cell>
          <cell r="X225">
            <v>1.0312011400000001</v>
          </cell>
          <cell r="Y225">
            <v>1.02539888</v>
          </cell>
          <cell r="Z225">
            <v>1.0340239600000001</v>
          </cell>
          <cell r="AA225">
            <v>1.03539245</v>
          </cell>
          <cell r="AB225">
            <v>1.03445484</v>
          </cell>
          <cell r="AC225">
            <v>1.0361845300000001</v>
          </cell>
          <cell r="AD225">
            <v>1.0359480700000001</v>
          </cell>
          <cell r="AE225">
            <v>1.0080814499999999</v>
          </cell>
          <cell r="AF225">
            <v>1.00214566</v>
          </cell>
          <cell r="AG225">
            <v>1.0012081500000001</v>
          </cell>
          <cell r="AH225">
            <v>1.00297619</v>
          </cell>
        </row>
        <row r="226">
          <cell r="A226" t="str">
            <v>TGCHD</v>
          </cell>
          <cell r="B226" t="str">
            <v>TGCHDUSM</v>
          </cell>
          <cell r="C226" t="str">
            <v>-</v>
          </cell>
          <cell r="D226" t="str">
            <v>-</v>
          </cell>
          <cell r="E226">
            <v>9.9999999999999995E-8</v>
          </cell>
          <cell r="F226">
            <v>9.9999999999999995E-8</v>
          </cell>
          <cell r="G226">
            <v>9.9999999999999995E-8</v>
          </cell>
          <cell r="H226">
            <v>9.9999999999999995E-8</v>
          </cell>
          <cell r="I226">
            <v>9.9999999999999995E-8</v>
          </cell>
          <cell r="J226">
            <v>9.9999999999999995E-8</v>
          </cell>
          <cell r="K226">
            <v>9.9999999999999995E-8</v>
          </cell>
          <cell r="L226">
            <v>9.9999999999999995E-8</v>
          </cell>
          <cell r="M226">
            <v>9.9999999999999995E-8</v>
          </cell>
          <cell r="N226">
            <v>9.9999999999999995E-8</v>
          </cell>
          <cell r="O226">
            <v>9.9999999999999995E-8</v>
          </cell>
          <cell r="P226">
            <v>9.9999999999999995E-8</v>
          </cell>
          <cell r="Q226">
            <v>9.9999999999999995E-8</v>
          </cell>
          <cell r="R226">
            <v>9.9999999999999995E-8</v>
          </cell>
          <cell r="S226">
            <v>9.9999999999999995E-8</v>
          </cell>
          <cell r="T226">
            <v>9.9999999999999995E-8</v>
          </cell>
          <cell r="U226">
            <v>9.9999999999999995E-8</v>
          </cell>
          <cell r="V226">
            <v>9.9999999999999995E-8</v>
          </cell>
          <cell r="W226">
            <v>9.9999999999999995E-8</v>
          </cell>
          <cell r="X226">
            <v>9.9999999999999995E-8</v>
          </cell>
          <cell r="Y226">
            <v>9.9999999999999995E-8</v>
          </cell>
          <cell r="Z226">
            <v>9.9999999999999995E-8</v>
          </cell>
          <cell r="AA226">
            <v>9.9999999999999995E-8</v>
          </cell>
          <cell r="AB226">
            <v>9.9999999999999995E-8</v>
          </cell>
          <cell r="AC226">
            <v>9.9999999999999995E-8</v>
          </cell>
          <cell r="AD226">
            <v>9.9999999999999995E-8</v>
          </cell>
          <cell r="AE226">
            <v>9.9999999999999995E-8</v>
          </cell>
          <cell r="AF226">
            <v>9.9999999999999995E-8</v>
          </cell>
          <cell r="AG226">
            <v>9.9999999999999995E-8</v>
          </cell>
          <cell r="AH226">
            <v>9.9999999999999995E-8</v>
          </cell>
        </row>
        <row r="227">
          <cell r="A227"/>
          <cell r="B227"/>
          <cell r="C227"/>
          <cell r="D227"/>
        </row>
        <row r="228">
          <cell r="A228" t="str">
            <v>VES2L</v>
          </cell>
          <cell r="B228" t="str">
            <v>VES2LARS</v>
          </cell>
          <cell r="C228" t="str">
            <v>ON PyME Gar - Tasa Fija USD Ley Argentina ON Pesos</v>
          </cell>
          <cell r="D228">
            <v>449.33171330376183</v>
          </cell>
          <cell r="E228">
            <v>1589.2582929299999</v>
          </cell>
          <cell r="F228">
            <v>1569.2427957899999</v>
          </cell>
          <cell r="G228">
            <v>1559.4766137300001</v>
          </cell>
          <cell r="H228">
            <v>1555.8068016300001</v>
          </cell>
          <cell r="I228">
            <v>1559.14649003</v>
          </cell>
          <cell r="J228">
            <v>1561.0268601499999</v>
          </cell>
          <cell r="K228">
            <v>1562.1886760499999</v>
          </cell>
          <cell r="L228">
            <v>1565.73848548</v>
          </cell>
          <cell r="M228">
            <v>1560.69272501</v>
          </cell>
          <cell r="N228">
            <v>1560.0638418799999</v>
          </cell>
          <cell r="O228">
            <v>1571.75271585</v>
          </cell>
          <cell r="P228">
            <v>1575.8316631299999</v>
          </cell>
          <cell r="Q228">
            <v>1559.48870081</v>
          </cell>
          <cell r="R228">
            <v>1548.9658605100001</v>
          </cell>
          <cell r="S228">
            <v>1568.4114924</v>
          </cell>
          <cell r="T228">
            <v>1565.58417027</v>
          </cell>
          <cell r="U228">
            <v>1559.4150328799999</v>
          </cell>
          <cell r="V228">
            <v>1563.2650688199999</v>
          </cell>
          <cell r="W228">
            <v>1570.0293893800001</v>
          </cell>
          <cell r="X228">
            <v>1585.9399902099999</v>
          </cell>
          <cell r="Y228">
            <v>1589.8346451899999</v>
          </cell>
          <cell r="Z228">
            <v>1579.07301682</v>
          </cell>
          <cell r="AA228">
            <v>1589.6213874600001</v>
          </cell>
          <cell r="AB228">
            <v>1571.1390366799999</v>
          </cell>
          <cell r="AC228">
            <v>1569.0590856399999</v>
          </cell>
          <cell r="AD228">
            <v>1570.5571625</v>
          </cell>
          <cell r="AE228">
            <v>1566.41363948</v>
          </cell>
          <cell r="AF228">
            <v>1570.09792055</v>
          </cell>
          <cell r="AG228">
            <v>1572.6172695099999</v>
          </cell>
          <cell r="AH228">
            <v>1564.0058809899999</v>
          </cell>
        </row>
        <row r="229">
          <cell r="A229" t="str">
            <v>NAS1L</v>
          </cell>
          <cell r="B229" t="str">
            <v>NAS1LARS</v>
          </cell>
          <cell r="C229" t="str">
            <v>ON PyME Gar - Tasa Fija USD Ley Argentina ON Pesos</v>
          </cell>
          <cell r="D229">
            <v>522.35563460202104</v>
          </cell>
          <cell r="E229">
            <v>1584.15046405</v>
          </cell>
          <cell r="F229">
            <v>1559.0041638099999</v>
          </cell>
          <cell r="G229">
            <v>1549.8595381299999</v>
          </cell>
          <cell r="H229">
            <v>1546.22441577</v>
          </cell>
          <cell r="I229">
            <v>1549.5801012100001</v>
          </cell>
          <cell r="J229">
            <v>1551.2999703800001</v>
          </cell>
          <cell r="K229">
            <v>1552.76671874</v>
          </cell>
          <cell r="L229">
            <v>1555.2769094</v>
          </cell>
          <cell r="M229">
            <v>1550.06144365</v>
          </cell>
          <cell r="N229">
            <v>1551.7159798600001</v>
          </cell>
          <cell r="O229">
            <v>1564.1670898</v>
          </cell>
          <cell r="P229">
            <v>1568.2425976300001</v>
          </cell>
          <cell r="Q229">
            <v>1550.9323609600001</v>
          </cell>
          <cell r="R229">
            <v>1540.2690715700001</v>
          </cell>
          <cell r="S229">
            <v>1559.4794370300001</v>
          </cell>
          <cell r="T229">
            <v>1555.4717921199999</v>
          </cell>
          <cell r="U229">
            <v>1549.0272259000001</v>
          </cell>
          <cell r="V229">
            <v>1552.8576716800001</v>
          </cell>
          <cell r="W229">
            <v>1559.5831012199999</v>
          </cell>
          <cell r="X229">
            <v>1577.3942805700001</v>
          </cell>
          <cell r="Y229">
            <v>1580.5854503999999</v>
          </cell>
          <cell r="Z229">
            <v>1571.35136184</v>
          </cell>
          <cell r="AA229">
            <v>1581.8627743</v>
          </cell>
          <cell r="AB229">
            <v>1561.53567714</v>
          </cell>
          <cell r="AC229">
            <v>1558.6434773399999</v>
          </cell>
          <cell r="AD229">
            <v>1558.5538278399999</v>
          </cell>
          <cell r="AE229">
            <v>1533.7911797500001</v>
          </cell>
          <cell r="AF229">
            <v>1537.70015033</v>
          </cell>
          <cell r="AG229">
            <v>1541.16344104</v>
          </cell>
          <cell r="AH229">
            <v>1532.01550789</v>
          </cell>
        </row>
        <row r="230">
          <cell r="A230" t="str">
            <v>ORS1L</v>
          </cell>
          <cell r="B230" t="str">
            <v>ORS1LARS</v>
          </cell>
          <cell r="C230" t="str">
            <v>ON PyME Gar - Tasa Fija USD Ley Argentina ON Pesos</v>
          </cell>
          <cell r="D230">
            <v>546.77757267188133</v>
          </cell>
          <cell r="E230">
            <v>1584.92167668</v>
          </cell>
          <cell r="F230">
            <v>1559.0111304300001</v>
          </cell>
          <cell r="G230">
            <v>1550.1404240300001</v>
          </cell>
          <cell r="H230">
            <v>1546.5026860400001</v>
          </cell>
          <cell r="I230">
            <v>1549.85311419</v>
          </cell>
          <cell r="J230">
            <v>1551.2647983300001</v>
          </cell>
          <cell r="K230">
            <v>1553.3662245</v>
          </cell>
          <cell r="L230">
            <v>1555.45662726</v>
          </cell>
          <cell r="M230">
            <v>1550.51407432</v>
          </cell>
          <cell r="N230">
            <v>1552.7040116600001</v>
          </cell>
          <cell r="O230">
            <v>1563.7870384400001</v>
          </cell>
          <cell r="P230">
            <v>1567.8697755400001</v>
          </cell>
          <cell r="Q230">
            <v>1552.1354040799999</v>
          </cell>
          <cell r="R230">
            <v>1543.0375230300001</v>
          </cell>
          <cell r="S230">
            <v>1559.38075306</v>
          </cell>
          <cell r="T230">
            <v>1555.5077487900001</v>
          </cell>
          <cell r="U230">
            <v>1550.1803626200001</v>
          </cell>
          <cell r="V230">
            <v>1554.00808588</v>
          </cell>
          <cell r="W230">
            <v>1560.7329009099999</v>
          </cell>
          <cell r="X230">
            <v>1577.4067172699999</v>
          </cell>
          <cell r="Y230">
            <v>1578.6010163200001</v>
          </cell>
          <cell r="Z230">
            <v>1571.22403938</v>
          </cell>
          <cell r="AA230">
            <v>1581.74236737</v>
          </cell>
          <cell r="AB230">
            <v>1562.2884938100001</v>
          </cell>
          <cell r="AC230">
            <v>1558.9508228</v>
          </cell>
          <cell r="AD230">
            <v>1557.32087007</v>
          </cell>
          <cell r="AE230">
            <v>1554.7113826299999</v>
          </cell>
          <cell r="AF230">
            <v>1558.59577786</v>
          </cell>
          <cell r="AG230">
            <v>1562.8968092800001</v>
          </cell>
          <cell r="AH230">
            <v>1553.90771924</v>
          </cell>
        </row>
        <row r="231">
          <cell r="A231" t="str">
            <v>BYCWO</v>
          </cell>
          <cell r="B231" t="str">
            <v>BYCWOARS</v>
          </cell>
          <cell r="C231" t="str">
            <v>ON Tier 1 - Tasa Fija USD Ley Argentina ON Pesos</v>
          </cell>
          <cell r="D231">
            <v>48.000000000000554</v>
          </cell>
          <cell r="E231">
            <v>1574.8025017</v>
          </cell>
          <cell r="F231">
            <v>1582.8828404200001</v>
          </cell>
          <cell r="G231">
            <v>1573.2471702800001</v>
          </cell>
          <cell r="H231">
            <v>1570.9419446899999</v>
          </cell>
          <cell r="I231">
            <v>1572.2136005299999</v>
          </cell>
          <cell r="J231">
            <v>1573.1068394199999</v>
          </cell>
          <cell r="K231">
            <v>1576.4139542600001</v>
          </cell>
          <cell r="L231">
            <v>1582.9802323900001</v>
          </cell>
          <cell r="M231">
            <v>1582.21847886</v>
          </cell>
          <cell r="N231">
            <v>1574.4</v>
          </cell>
          <cell r="O231">
            <v>1573.42004714</v>
          </cell>
          <cell r="P231">
            <v>1577.3984892799999</v>
          </cell>
          <cell r="Q231">
            <v>1573.7632993499999</v>
          </cell>
          <cell r="R231">
            <v>1574.85684737</v>
          </cell>
          <cell r="S231">
            <v>1577.5556840199999</v>
          </cell>
          <cell r="T231">
            <v>1581.3463946700001</v>
          </cell>
          <cell r="U231">
            <v>1584.2783662500001</v>
          </cell>
          <cell r="V231">
            <v>1588.0390527699999</v>
          </cell>
          <cell r="W231">
            <v>1594.714279</v>
          </cell>
          <cell r="X231">
            <v>1595.5799497600001</v>
          </cell>
          <cell r="Y231">
            <v>1597</v>
          </cell>
          <cell r="Z231">
            <v>1583.3632419600001</v>
          </cell>
          <cell r="AA231">
            <v>1593.84753759</v>
          </cell>
          <cell r="AB231">
            <v>1591.32889166</v>
          </cell>
          <cell r="AC231">
            <v>1585.5632502399999</v>
          </cell>
          <cell r="AD231">
            <v>1589.8227555200001</v>
          </cell>
          <cell r="AE231">
            <v>1590</v>
          </cell>
          <cell r="AF231">
            <v>1587.2879229099999</v>
          </cell>
          <cell r="AG231">
            <v>1587.2032682199999</v>
          </cell>
          <cell r="AH231">
            <v>1590</v>
          </cell>
        </row>
        <row r="232">
          <cell r="A232" t="str">
            <v>BYCXO</v>
          </cell>
          <cell r="B232" t="str">
            <v>BYCXOARS</v>
          </cell>
          <cell r="C232" t="str">
            <v>ON Tier 1 - Tasa Fija USD Ley Argentina ON Pesos</v>
          </cell>
          <cell r="D232">
            <v>78.00000000000135</v>
          </cell>
          <cell r="E232">
            <v>1565.7047467299999</v>
          </cell>
          <cell r="F232">
            <v>1574.10436149</v>
          </cell>
          <cell r="G232">
            <v>1563.69011856</v>
          </cell>
          <cell r="H232">
            <v>1560</v>
          </cell>
          <cell r="I232">
            <v>1562.7503710799999</v>
          </cell>
          <cell r="J232">
            <v>1563.92078997</v>
          </cell>
          <cell r="K232">
            <v>1566.5745807599999</v>
          </cell>
          <cell r="L232">
            <v>1573.6668389700001</v>
          </cell>
          <cell r="M232">
            <v>1572.21230569</v>
          </cell>
          <cell r="N232">
            <v>1560</v>
          </cell>
          <cell r="O232">
            <v>1563.0171114899999</v>
          </cell>
          <cell r="P232">
            <v>1566.9720380399999</v>
          </cell>
          <cell r="Q232">
            <v>1562.8761106300001</v>
          </cell>
          <cell r="R232">
            <v>1562.23426621</v>
          </cell>
          <cell r="S232">
            <v>1567.5740460500001</v>
          </cell>
          <cell r="T232">
            <v>1571.6442118499999</v>
          </cell>
          <cell r="U232">
            <v>1573.4027801899999</v>
          </cell>
          <cell r="V232">
            <v>1577.15991734</v>
          </cell>
          <cell r="W232">
            <v>1583.81185605</v>
          </cell>
          <cell r="X232">
            <v>1584.54443661</v>
          </cell>
          <cell r="Y232">
            <v>1583.6141094499999</v>
          </cell>
          <cell r="Z232">
            <v>1572.4302596800001</v>
          </cell>
          <cell r="AA232">
            <v>1582.8437832100001</v>
          </cell>
          <cell r="AB232">
            <v>1579.845534</v>
          </cell>
          <cell r="AC232">
            <v>1576.2930617100001</v>
          </cell>
          <cell r="AD232">
            <v>1581.1626472099999</v>
          </cell>
          <cell r="AE232">
            <v>1577.1745145100001</v>
          </cell>
          <cell r="AF232">
            <v>1578.3765257800001</v>
          </cell>
          <cell r="AG232">
            <v>1578.0458618600001</v>
          </cell>
          <cell r="AH232">
            <v>1575.6165328300001</v>
          </cell>
        </row>
        <row r="233">
          <cell r="A233" t="str">
            <v>YM41O</v>
          </cell>
          <cell r="B233" t="str">
            <v>YM41OARS</v>
          </cell>
          <cell r="C233" t="str">
            <v>YM41OS - Z-Spread D</v>
          </cell>
          <cell r="D233">
            <v>86.999999999999403</v>
          </cell>
          <cell r="E233">
            <v>1558.90215584</v>
          </cell>
          <cell r="F233">
            <v>1567.2538339499999</v>
          </cell>
          <cell r="G233">
            <v>1556.7845242200001</v>
          </cell>
          <cell r="H233">
            <v>1553.1274148699999</v>
          </cell>
          <cell r="I233">
            <v>1556.12976929</v>
          </cell>
          <cell r="J233">
            <v>1551.5177033699999</v>
          </cell>
          <cell r="K233">
            <v>1554.0681452900001</v>
          </cell>
          <cell r="L233">
            <v>1561.31704651</v>
          </cell>
          <cell r="M233">
            <v>1560.0573726299999</v>
          </cell>
          <cell r="N233">
            <v>1550.0795240800001</v>
          </cell>
          <cell r="O233">
            <v>1551.19871281</v>
          </cell>
          <cell r="P233">
            <v>1555.2395409600001</v>
          </cell>
          <cell r="Q233">
            <v>1551.10198788</v>
          </cell>
          <cell r="R233">
            <v>1550.3891503499999</v>
          </cell>
          <cell r="S233">
            <v>1556.45051891</v>
          </cell>
          <cell r="T233">
            <v>1560.62603713</v>
          </cell>
          <cell r="U233">
            <v>1562.1983684300001</v>
          </cell>
          <cell r="V233">
            <v>1566.0495461400001</v>
          </cell>
          <cell r="W233">
            <v>1573.00842296</v>
          </cell>
          <cell r="X233">
            <v>1573.9295088399999</v>
          </cell>
          <cell r="Y233">
            <v>1573.4195728899999</v>
          </cell>
          <cell r="Z233">
            <v>1562.1622155499999</v>
          </cell>
          <cell r="AA233">
            <v>1572.6245428499999</v>
          </cell>
          <cell r="AB233">
            <v>1569.7952258299999</v>
          </cell>
          <cell r="AC233">
            <v>1566.8252226899999</v>
          </cell>
          <cell r="AD233">
            <v>1571.91043633</v>
          </cell>
          <cell r="AE233">
            <v>1544.64850172</v>
          </cell>
          <cell r="AF233">
            <v>1546.04570201</v>
          </cell>
          <cell r="AG233">
            <v>1546.1208074199999</v>
          </cell>
          <cell r="AH233">
            <v>1543.58743314</v>
          </cell>
        </row>
        <row r="234">
          <cell r="A234" t="str">
            <v>YM37O</v>
          </cell>
          <cell r="B234" t="str">
            <v>YM37OARS</v>
          </cell>
          <cell r="C234" t="str">
            <v>YM37OS - Z-Spread D</v>
          </cell>
          <cell r="D234">
            <v>201.43420285569968</v>
          </cell>
          <cell r="E234">
            <v>1611.4723801600001</v>
          </cell>
          <cell r="F234">
            <v>1567.41897019</v>
          </cell>
          <cell r="G234">
            <v>1557.10802913</v>
          </cell>
          <cell r="H234">
            <v>1563.3561317399999</v>
          </cell>
          <cell r="I234">
            <v>1566.28206471</v>
          </cell>
          <cell r="J234">
            <v>1568.34166555</v>
          </cell>
          <cell r="K234">
            <v>1569.22007345</v>
          </cell>
          <cell r="L234">
            <v>1573.9441125000001</v>
          </cell>
          <cell r="M234">
            <v>1570.3138105999999</v>
          </cell>
          <cell r="N234">
            <v>1559.8745967699999</v>
          </cell>
          <cell r="O234">
            <v>1565.1459955600001</v>
          </cell>
          <cell r="P234">
            <v>1569.1905861499999</v>
          </cell>
          <cell r="Q234">
            <v>1560.8598608899999</v>
          </cell>
          <cell r="R234">
            <v>1554.2426698100001</v>
          </cell>
          <cell r="S234">
            <v>1569.0922575300001</v>
          </cell>
          <cell r="T234">
            <v>1572.24642449</v>
          </cell>
          <cell r="U234">
            <v>1569.61737745</v>
          </cell>
          <cell r="V234">
            <v>1573.4989661699999</v>
          </cell>
          <cell r="W234">
            <v>1592.01910146</v>
          </cell>
          <cell r="X234">
            <v>1578.59089189</v>
          </cell>
          <cell r="Y234">
            <v>1590.07518342</v>
          </cell>
          <cell r="Z234">
            <v>1593.0430786700001</v>
          </cell>
          <cell r="AA234">
            <v>1603.5790878299999</v>
          </cell>
          <cell r="AB234">
            <v>1595.69718487</v>
          </cell>
          <cell r="AC234">
            <v>1579.20247965</v>
          </cell>
          <cell r="AD234">
            <v>1585.23790631</v>
          </cell>
          <cell r="AE234">
            <v>1579.6271023100001</v>
          </cell>
          <cell r="AF234">
            <v>1582.1680028200001</v>
          </cell>
          <cell r="AG234">
            <v>1581.8304173199999</v>
          </cell>
          <cell r="AH234">
            <v>1576.2065465000001</v>
          </cell>
        </row>
        <row r="235">
          <cell r="A235" t="str">
            <v>YFCMO</v>
          </cell>
          <cell r="B235" t="str">
            <v>YFMCOARS</v>
          </cell>
          <cell r="C235" t="str">
            <v>YFCMOS - Z-Spread D</v>
          </cell>
          <cell r="D235">
            <v>214.78425738900523</v>
          </cell>
          <cell r="E235">
            <v>1579.9499771599999</v>
          </cell>
          <cell r="F235">
            <v>1582.31901111</v>
          </cell>
          <cell r="G235">
            <v>1570.2144032000001</v>
          </cell>
          <cell r="H235">
            <v>1566.41447182</v>
          </cell>
          <cell r="I235">
            <v>1569.59896938</v>
          </cell>
          <cell r="J235">
            <v>1571.6782188899999</v>
          </cell>
          <cell r="K235">
            <v>1572.3739131699999</v>
          </cell>
          <cell r="L235">
            <v>1579.9359150299999</v>
          </cell>
          <cell r="M235">
            <v>1576.02699136</v>
          </cell>
          <cell r="N235">
            <v>1565.7214710799999</v>
          </cell>
          <cell r="O235">
            <v>1571.48887575</v>
          </cell>
          <cell r="P235">
            <v>1575.4911823899999</v>
          </cell>
          <cell r="Q235">
            <v>1566.4832824299999</v>
          </cell>
          <cell r="R235">
            <v>1559.0851132099999</v>
          </cell>
          <cell r="S235">
            <v>1574.7972536899999</v>
          </cell>
          <cell r="T235">
            <v>1577.6558648800001</v>
          </cell>
          <cell r="U235">
            <v>1574.51796539</v>
          </cell>
          <cell r="V235">
            <v>1578.3559362399999</v>
          </cell>
          <cell r="W235">
            <v>1585.10076353</v>
          </cell>
          <cell r="X235">
            <v>1590.0580259799999</v>
          </cell>
          <cell r="Y235">
            <v>1593.83410473</v>
          </cell>
          <cell r="Z235">
            <v>1579.34065283</v>
          </cell>
          <cell r="AA235">
            <v>1589.8210102400001</v>
          </cell>
          <cell r="AB235">
            <v>1581.4318760399999</v>
          </cell>
          <cell r="AC235">
            <v>1582.77526076</v>
          </cell>
          <cell r="AD235">
            <v>1588.88499903</v>
          </cell>
          <cell r="AE235">
            <v>1583.0998314000001</v>
          </cell>
          <cell r="AF235">
            <v>1585.7053665999999</v>
          </cell>
          <cell r="AG235">
            <v>1585.1699118199999</v>
          </cell>
          <cell r="AH235">
            <v>1579.1791371899999</v>
          </cell>
        </row>
        <row r="236">
          <cell r="A236" t="str">
            <v>PFC2O</v>
          </cell>
          <cell r="B236" t="str">
            <v>PFC2OARS</v>
          </cell>
          <cell r="C236" t="str">
            <v>ON Tier 1 - Tasa Fija USD Ley Argentina ON Pesos</v>
          </cell>
          <cell r="D236">
            <v>267.71157629754083</v>
          </cell>
          <cell r="E236">
            <v>1609.9701095099999</v>
          </cell>
          <cell r="F236">
            <v>1607.72013496</v>
          </cell>
          <cell r="G236">
            <v>1595.47121619</v>
          </cell>
          <cell r="H236">
            <v>1591.6185059899999</v>
          </cell>
          <cell r="I236">
            <v>1594.91615499</v>
          </cell>
          <cell r="J236">
            <v>1597.21667299</v>
          </cell>
          <cell r="K236">
            <v>1597.5106793499999</v>
          </cell>
          <cell r="L236">
            <v>1604.6766843400001</v>
          </cell>
          <cell r="M236">
            <v>1600.01288473</v>
          </cell>
          <cell r="N236">
            <v>1591.02405772</v>
          </cell>
          <cell r="O236">
            <v>1599.07858035</v>
          </cell>
          <cell r="P236">
            <v>1603.1578916599999</v>
          </cell>
          <cell r="Q236">
            <v>1591.50055997</v>
          </cell>
          <cell r="R236">
            <v>1581.90974233</v>
          </cell>
          <cell r="S236">
            <v>1600.95852085</v>
          </cell>
          <cell r="T236">
            <v>1602.6313686200001</v>
          </cell>
          <cell r="U236">
            <v>1597.81518396</v>
          </cell>
          <cell r="V236">
            <v>1601.7241207899999</v>
          </cell>
          <cell r="W236">
            <v>1608.5739639799999</v>
          </cell>
          <cell r="X236">
            <v>1616.5065628</v>
          </cell>
          <cell r="Y236">
            <v>1621.65936938</v>
          </cell>
          <cell r="Z236">
            <v>1606.52550466</v>
          </cell>
          <cell r="AA236">
            <v>1617.1912061999999</v>
          </cell>
          <cell r="AB236">
            <v>1605.7820060700001</v>
          </cell>
          <cell r="AC236">
            <v>1607.43779804</v>
          </cell>
          <cell r="AD236">
            <v>1613.4554167900001</v>
          </cell>
          <cell r="AE236">
            <v>1607.3298696500001</v>
          </cell>
          <cell r="AF236">
            <v>1610.3897997399999</v>
          </cell>
          <cell r="AG236">
            <v>1610.08607385</v>
          </cell>
          <cell r="AH236">
            <v>1602.9202170200001</v>
          </cell>
        </row>
        <row r="237">
          <cell r="A237" t="str">
            <v>YM38O</v>
          </cell>
          <cell r="B237" t="str">
            <v>YM38OARS</v>
          </cell>
          <cell r="C237" t="str">
            <v>YM38OS - Z-Spread D</v>
          </cell>
          <cell r="D237">
            <v>272.26855734211648</v>
          </cell>
          <cell r="E237">
            <v>1585.25222317</v>
          </cell>
          <cell r="F237">
            <v>1582.4843705599999</v>
          </cell>
          <cell r="G237">
            <v>1570.5935801600001</v>
          </cell>
          <cell r="H237">
            <v>1567.0625252</v>
          </cell>
          <cell r="I237">
            <v>1570.39916049</v>
          </cell>
          <cell r="J237">
            <v>1572.75016304</v>
          </cell>
          <cell r="K237">
            <v>1602.19</v>
          </cell>
          <cell r="L237">
            <v>1607.37491557</v>
          </cell>
          <cell r="M237">
            <v>1602.6722564199999</v>
          </cell>
          <cell r="N237">
            <v>1593.9645690899999</v>
          </cell>
          <cell r="O237">
            <v>1602.24608818</v>
          </cell>
          <cell r="P237">
            <v>1606.3336565699999</v>
          </cell>
          <cell r="Q237">
            <v>1594.3796320399999</v>
          </cell>
          <cell r="R237">
            <v>1584.65619522</v>
          </cell>
          <cell r="S237">
            <v>1603.8975041199999</v>
          </cell>
          <cell r="T237">
            <v>1605.3880826499999</v>
          </cell>
          <cell r="U237">
            <v>1600.45587851</v>
          </cell>
          <cell r="V237">
            <v>1604.37069021</v>
          </cell>
          <cell r="W237">
            <v>1608.9672781500001</v>
          </cell>
          <cell r="X237">
            <v>1616.96920198</v>
          </cell>
          <cell r="Y237">
            <v>1622.1867347899999</v>
          </cell>
          <cell r="Z237">
            <v>1607.11822884</v>
          </cell>
          <cell r="AA237">
            <v>1610.9802152699999</v>
          </cell>
          <cell r="AB237">
            <v>1599.3799065000001</v>
          </cell>
          <cell r="AC237">
            <v>1600.91193802</v>
          </cell>
          <cell r="AD237">
            <v>1606.8511534199999</v>
          </cell>
          <cell r="AE237">
            <v>1600.80987759</v>
          </cell>
          <cell r="AF237">
            <v>1603.9109276700001</v>
          </cell>
          <cell r="AG237">
            <v>1603.4267971300001</v>
          </cell>
          <cell r="AH237">
            <v>1613.6031400899999</v>
          </cell>
        </row>
        <row r="238">
          <cell r="A238" t="str">
            <v>PN38O</v>
          </cell>
          <cell r="B238" t="str">
            <v>PN38OARS</v>
          </cell>
          <cell r="C238" t="str">
            <v>ON Tier 1 - Tasa Fija USD Ley Argentina ON Pesos</v>
          </cell>
          <cell r="D238">
            <v>296.31720326902047</v>
          </cell>
          <cell r="E238">
            <v>1628.1</v>
          </cell>
          <cell r="F238">
            <v>1589.83042022</v>
          </cell>
          <cell r="G238">
            <v>1577.83333519903</v>
          </cell>
          <cell r="H238">
            <v>1574.0336748699999</v>
          </cell>
          <cell r="I238">
            <v>1577.3265519700001</v>
          </cell>
          <cell r="J238">
            <v>1579.6767992699999</v>
          </cell>
          <cell r="K238">
            <v>1579.8105315099999</v>
          </cell>
          <cell r="L238">
            <v>1586.54112263</v>
          </cell>
          <cell r="M238">
            <v>1581.6141288900001</v>
          </cell>
          <cell r="N238">
            <v>1573.69819211</v>
          </cell>
          <cell r="O238">
            <v>1582.8129047699999</v>
          </cell>
          <cell r="P238">
            <v>1634</v>
          </cell>
          <cell r="Q238">
            <v>1573.9878214</v>
          </cell>
          <cell r="R238">
            <v>1563.5286173699999</v>
          </cell>
          <cell r="S238">
            <v>1583.80742108</v>
          </cell>
          <cell r="T238">
            <v>1659</v>
          </cell>
          <cell r="U238">
            <v>1579.18600393</v>
          </cell>
          <cell r="V238">
            <v>1583.05785474</v>
          </cell>
          <cell r="W238">
            <v>1589.8364402499999</v>
          </cell>
          <cell r="X238">
            <v>1599.3165990699999</v>
          </cell>
          <cell r="Y238">
            <v>1604.9988679099999</v>
          </cell>
          <cell r="Z238">
            <v>1589.9635555</v>
          </cell>
          <cell r="AA238">
            <v>1600.5248176800001</v>
          </cell>
          <cell r="AB238">
            <v>1587.6712687700001</v>
          </cell>
          <cell r="AC238">
            <v>1589.2644872343201</v>
          </cell>
          <cell r="AD238">
            <v>1595.00870439</v>
          </cell>
          <cell r="AE238">
            <v>1588.8957056500001</v>
          </cell>
          <cell r="AF238">
            <v>1592.1239153363999</v>
          </cell>
          <cell r="AG238">
            <v>1592.0164938600001</v>
          </cell>
          <cell r="AH238">
            <v>1584.4094779899999</v>
          </cell>
        </row>
        <row r="239">
          <cell r="A239" t="str">
            <v>BYZ1O</v>
          </cell>
          <cell r="B239" t="str">
            <v>BYZ1OARS</v>
          </cell>
          <cell r="C239" t="str">
            <v>ON Tier 1 - Tasa Fija USD Ley Argentina ON Pesos</v>
          </cell>
          <cell r="D239">
            <v>290.05314229818913</v>
          </cell>
          <cell r="E239">
            <v>1547.4116512600001</v>
          </cell>
          <cell r="F239">
            <v>1543.28679521</v>
          </cell>
          <cell r="G239">
            <v>1531.5845609600001</v>
          </cell>
          <cell r="H239">
            <v>1527.8944833999999</v>
          </cell>
          <cell r="I239">
            <v>1531.0854113800001</v>
          </cell>
          <cell r="J239">
            <v>1533.35972627</v>
          </cell>
          <cell r="K239">
            <v>1533.50293255</v>
          </cell>
          <cell r="L239">
            <v>1540.14254461</v>
          </cell>
          <cell r="M239">
            <v>1535.41118381</v>
          </cell>
          <cell r="N239">
            <v>1527.45143564</v>
          </cell>
          <cell r="O239">
            <v>1536.0552990599999</v>
          </cell>
          <cell r="P239">
            <v>1549</v>
          </cell>
          <cell r="Q239">
            <v>1527.7838604900001</v>
          </cell>
          <cell r="R239">
            <v>1517.80013884</v>
          </cell>
          <cell r="S239">
            <v>1537.2413627999999</v>
          </cell>
          <cell r="T239">
            <v>1538.32697985</v>
          </cell>
          <cell r="U239">
            <v>1533.08343244</v>
          </cell>
          <cell r="V239">
            <v>1536.8409691700001</v>
          </cell>
          <cell r="W239">
            <v>1543.4203627899999</v>
          </cell>
          <cell r="X239">
            <v>1552.2327057299999</v>
          </cell>
          <cell r="Y239">
            <v>1564</v>
          </cell>
          <cell r="Z239">
            <v>1543.03110591</v>
          </cell>
          <cell r="AA239">
            <v>1553.2793050400001</v>
          </cell>
          <cell r="AB239">
            <v>1541.15861238</v>
          </cell>
          <cell r="AC239">
            <v>1552</v>
          </cell>
          <cell r="AD239">
            <v>1548.4442557299999</v>
          </cell>
          <cell r="AE239">
            <v>1542.49757015</v>
          </cell>
          <cell r="AF239">
            <v>1545.59515584</v>
          </cell>
          <cell r="AG239">
            <v>1545.4317134999999</v>
          </cell>
          <cell r="AH239">
            <v>1538.14060485</v>
          </cell>
        </row>
        <row r="240">
          <cell r="A240" t="str">
            <v>BF40O</v>
          </cell>
          <cell r="B240" t="str">
            <v>BF40OARS</v>
          </cell>
          <cell r="C240" t="str">
            <v>ON Tier 1 - Tasa Fija USD Ley Argentina ON Pesos</v>
          </cell>
          <cell r="D240">
            <v>313.61344952964669</v>
          </cell>
          <cell r="E240">
            <v>1569.8876085300001</v>
          </cell>
          <cell r="F240">
            <v>1563.3606675599999</v>
          </cell>
          <cell r="G240">
            <v>1551.65596557</v>
          </cell>
          <cell r="H240">
            <v>1547.9251859599999</v>
          </cell>
          <cell r="I240">
            <v>1551.1811318699999</v>
          </cell>
          <cell r="J240">
            <v>1553.52867382</v>
          </cell>
          <cell r="K240">
            <v>1553.5852826600001</v>
          </cell>
          <cell r="L240">
            <v>1559.96988713</v>
          </cell>
          <cell r="M240">
            <v>1554.9518544699999</v>
          </cell>
          <cell r="N240">
            <v>1547.79401089</v>
          </cell>
          <cell r="O240">
            <v>1557.42824163</v>
          </cell>
          <cell r="P240">
            <v>1561.41153861</v>
          </cell>
          <cell r="Q240">
            <v>1547.96354215</v>
          </cell>
          <cell r="R240">
            <v>1537.13864683</v>
          </cell>
          <cell r="S240">
            <v>1557.8706852400001</v>
          </cell>
          <cell r="T240">
            <v>1558.33754722</v>
          </cell>
          <cell r="U240">
            <v>1552.43541441</v>
          </cell>
          <cell r="V240">
            <v>1556.2462763200001</v>
          </cell>
          <cell r="W240">
            <v>1562.91469878</v>
          </cell>
          <cell r="X240">
            <v>1573.2270565700001</v>
          </cell>
          <cell r="Y240">
            <v>1579.12535815</v>
          </cell>
          <cell r="Z240">
            <v>1564.34312275</v>
          </cell>
          <cell r="AA240">
            <v>1574.7375969899999</v>
          </cell>
          <cell r="AB240">
            <v>1561.1590964300001</v>
          </cell>
          <cell r="AC240">
            <v>1562.6434384300001</v>
          </cell>
          <cell r="AD240">
            <v>1568.1369837</v>
          </cell>
          <cell r="AE240">
            <v>1562.1150560799999</v>
          </cell>
          <cell r="AF240">
            <v>1565.4036416599999</v>
          </cell>
          <cell r="AG240">
            <v>1565.42903761</v>
          </cell>
          <cell r="AH240">
            <v>1557.6550982199999</v>
          </cell>
        </row>
        <row r="241">
          <cell r="A241" t="str">
            <v>PN34O</v>
          </cell>
          <cell r="B241" t="str">
            <v>PN34OARS</v>
          </cell>
          <cell r="C241" t="str">
            <v>ON Tier 1 - Tasa Fija USD Ley Argentina ON Pesos</v>
          </cell>
          <cell r="D241">
            <v>344.63247216357564</v>
          </cell>
          <cell r="AG241">
            <v>1557.17200774</v>
          </cell>
          <cell r="AH241">
            <v>1548.9641290300001</v>
          </cell>
        </row>
        <row r="242">
          <cell r="A242" t="str">
            <v>TTCBO</v>
          </cell>
          <cell r="B242" t="str">
            <v>TTCBOARS</v>
          </cell>
          <cell r="C242" t="str">
            <v>ON Tier 1 - Tasa Fija USD Ley Argentina ON Pesos</v>
          </cell>
          <cell r="D242">
            <v>353.03778002731735</v>
          </cell>
          <cell r="E242">
            <v>1634.95469596</v>
          </cell>
          <cell r="F242">
            <v>1623.2931882800001</v>
          </cell>
          <cell r="G242">
            <v>1611.6933294600001</v>
          </cell>
          <cell r="H242">
            <v>1607.8273225099999</v>
          </cell>
          <cell r="I242">
            <v>1611.23693497</v>
          </cell>
          <cell r="J242">
            <v>1613.66126416</v>
          </cell>
          <cell r="K242">
            <v>1613.7650996</v>
          </cell>
          <cell r="L242">
            <v>1619.5217027900001</v>
          </cell>
          <cell r="M242">
            <v>1614.0739394</v>
          </cell>
          <cell r="N242">
            <v>1608.83506253</v>
          </cell>
          <cell r="O242">
            <v>1620.3800312200001</v>
          </cell>
          <cell r="P242">
            <v>1624.5350723500001</v>
          </cell>
          <cell r="Q242">
            <v>1608.61270006</v>
          </cell>
          <cell r="R242">
            <v>1596.53489483</v>
          </cell>
          <cell r="S242">
            <v>1619.2057372899999</v>
          </cell>
          <cell r="T242">
            <v>1618.3434526999999</v>
          </cell>
          <cell r="U242">
            <v>1611.4322991700001</v>
          </cell>
          <cell r="V242">
            <v>1615.3931590699999</v>
          </cell>
          <cell r="W242">
            <v>1622.3202632699999</v>
          </cell>
          <cell r="X242">
            <v>1635.7683056400001</v>
          </cell>
          <cell r="Y242">
            <v>1642.2149797899999</v>
          </cell>
          <cell r="Z242">
            <v>1627.4053039999999</v>
          </cell>
          <cell r="AA242">
            <v>1638.22840182</v>
          </cell>
          <cell r="AB242">
            <v>1621.7122307499999</v>
          </cell>
          <cell r="AC242">
            <v>1622.2759556000001</v>
          </cell>
          <cell r="AD242">
            <v>1627.2204992100001</v>
          </cell>
          <cell r="AE242">
            <v>1621.21368865</v>
          </cell>
          <cell r="AF242">
            <v>1624.8230209200001</v>
          </cell>
          <cell r="AG242">
            <v>1625.3605705699999</v>
          </cell>
          <cell r="AH242">
            <v>1616.7872359099999</v>
          </cell>
        </row>
        <row r="243">
          <cell r="A243" t="str">
            <v>TTC8O</v>
          </cell>
          <cell r="B243" t="str">
            <v>TTC8OARS</v>
          </cell>
          <cell r="C243" t="str">
            <v>ON Tier 1 - Tasa Fija USD Ley Argentina ON Pesos</v>
          </cell>
          <cell r="D243">
            <v>363.81515279921479</v>
          </cell>
          <cell r="E243">
            <v>1599.5195866700001</v>
          </cell>
          <cell r="F243">
            <v>1587.16179031</v>
          </cell>
          <cell r="G243">
            <v>1572.2</v>
          </cell>
          <cell r="H243">
            <v>1572.0835301899999</v>
          </cell>
          <cell r="I243">
            <v>1575.4286633900001</v>
          </cell>
          <cell r="J243">
            <v>1577.82080819</v>
          </cell>
          <cell r="K243">
            <v>1571.5</v>
          </cell>
          <cell r="L243">
            <v>1583.37717574</v>
          </cell>
          <cell r="M243">
            <v>1577.94219146</v>
          </cell>
          <cell r="N243">
            <v>1573.1590381799999</v>
          </cell>
          <cell r="O243">
            <v>1584.8241242199999</v>
          </cell>
          <cell r="P243">
            <v>1588.89040643</v>
          </cell>
          <cell r="Q243">
            <v>1572.8850388000001</v>
          </cell>
          <cell r="R243">
            <v>1560.7568192000001</v>
          </cell>
          <cell r="S243">
            <v>1583.38437329</v>
          </cell>
          <cell r="T243">
            <v>1582.29505526</v>
          </cell>
          <cell r="U243">
            <v>1575.27915773</v>
          </cell>
          <cell r="V243">
            <v>1579.15414824</v>
          </cell>
          <cell r="W243">
            <v>1585.9288756200001</v>
          </cell>
          <cell r="X243">
            <v>1599.62033015</v>
          </cell>
          <cell r="Y243">
            <v>1606.09495993</v>
          </cell>
          <cell r="Z243">
            <v>1591.6205956700001</v>
          </cell>
          <cell r="AA243">
            <v>1602.2077906699999</v>
          </cell>
          <cell r="AB243">
            <v>1585.52793189</v>
          </cell>
          <cell r="AC243">
            <v>1586.07073231</v>
          </cell>
          <cell r="AD243">
            <v>1590.8064347899999</v>
          </cell>
          <cell r="AE243">
            <v>1584.9273299500001</v>
          </cell>
          <cell r="AF243">
            <v>1593.8977585499999</v>
          </cell>
          <cell r="AG243">
            <v>1589.13616226</v>
          </cell>
          <cell r="AH243">
            <v>1580.5696693800001</v>
          </cell>
        </row>
        <row r="244">
          <cell r="A244" t="str">
            <v>PLC1O</v>
          </cell>
          <cell r="B244" t="str">
            <v>PLC1OARS</v>
          </cell>
          <cell r="C244" t="str">
            <v>ON Tier 1 - Tasa Fija USD Ley Argentina ON Pesos</v>
          </cell>
          <cell r="D244">
            <v>447.55812249399526</v>
          </cell>
          <cell r="E244">
            <v>1629.9228038799999</v>
          </cell>
          <cell r="F244">
            <v>1607.15579381</v>
          </cell>
          <cell r="G244">
            <v>1596.7858060399999</v>
          </cell>
          <cell r="H244">
            <v>1592.9765676300001</v>
          </cell>
          <cell r="I244">
            <v>1596.4183767500001</v>
          </cell>
          <cell r="J244">
            <v>1598.73850139</v>
          </cell>
          <cell r="K244">
            <v>1599.0358993899999</v>
          </cell>
          <cell r="L244">
            <v>1602.88774195</v>
          </cell>
          <cell r="M244">
            <v>1596.99529312</v>
          </cell>
          <cell r="N244">
            <v>1596.3314088</v>
          </cell>
          <cell r="O244">
            <v>1610.6565374899999</v>
          </cell>
          <cell r="P244">
            <v>1614.8115608999999</v>
          </cell>
          <cell r="Q244">
            <v>1595.3846740199999</v>
          </cell>
          <cell r="R244">
            <v>1581.9172438000001</v>
          </cell>
          <cell r="S244">
            <v>1606.2506392499999</v>
          </cell>
          <cell r="T244">
            <v>1602.6939117300001</v>
          </cell>
          <cell r="U244">
            <v>1594.4112739300001</v>
          </cell>
          <cell r="V244">
            <v>1598.34224666</v>
          </cell>
          <cell r="W244">
            <v>1605.2083353600001</v>
          </cell>
          <cell r="X244">
            <v>1623.83586648</v>
          </cell>
          <cell r="Y244">
            <v>1630.4645723599999</v>
          </cell>
          <cell r="Z244">
            <v>1617.30376374</v>
          </cell>
          <cell r="AA244">
            <v>1628.0819616900001</v>
          </cell>
          <cell r="AB244">
            <v>1606.9195712000001</v>
          </cell>
          <cell r="AC244">
            <v>1605.6136465300001</v>
          </cell>
          <cell r="AD244">
            <v>1608.58071004</v>
          </cell>
          <cell r="AE244">
            <v>1603.3074176099999</v>
          </cell>
          <cell r="AF244">
            <v>1607.32173863</v>
          </cell>
          <cell r="AG244">
            <v>1609.1137593999999</v>
          </cell>
          <cell r="AH244">
            <v>1599.5166593199999</v>
          </cell>
        </row>
        <row r="245">
          <cell r="A245" t="str">
            <v>PLC3O</v>
          </cell>
          <cell r="B245" t="str">
            <v>PLC3OARS</v>
          </cell>
          <cell r="C245" t="str">
            <v>ON Tier 1 - Tasa Fija USD Ley Argentina ON Pesos</v>
          </cell>
          <cell r="D245">
            <v>538.19009213945333</v>
          </cell>
          <cell r="AG245">
            <v>1614.38383684</v>
          </cell>
          <cell r="AH245">
            <v>1592.24587494</v>
          </cell>
        </row>
        <row r="246">
          <cell r="A246" t="str">
            <v>OLC5O</v>
          </cell>
          <cell r="B246" t="str">
            <v>OLC5OARS</v>
          </cell>
          <cell r="C246" t="str">
            <v>ON Tier 1 - Tasa Fija USD Ley Argentina ON Pesos</v>
          </cell>
          <cell r="D246">
            <v>568.54581852477668</v>
          </cell>
          <cell r="E246">
            <v>1680.1316860300001</v>
          </cell>
          <cell r="F246">
            <v>1645.70544855</v>
          </cell>
          <cell r="G246">
            <v>1636.7670223600001</v>
          </cell>
          <cell r="H246">
            <v>1632.8780822599999</v>
          </cell>
          <cell r="I246">
            <v>1636.4537299900001</v>
          </cell>
          <cell r="J246">
            <v>1638.3847300800001</v>
          </cell>
          <cell r="K246">
            <v>1639.6504124000001</v>
          </cell>
          <cell r="L246">
            <v>1639.24</v>
          </cell>
          <cell r="M246">
            <v>1634.8951099400001</v>
          </cell>
          <cell r="N246">
            <v>1639.9607965</v>
          </cell>
          <cell r="O246">
            <v>1656.35314956</v>
          </cell>
          <cell r="P246">
            <v>1660.66032047</v>
          </cell>
          <cell r="Q246">
            <v>1638.3234991100001</v>
          </cell>
          <cell r="R246">
            <v>1624.74477488</v>
          </cell>
          <cell r="S246">
            <v>1629.8838554500001</v>
          </cell>
          <cell r="T246">
            <v>1641.8753423600001</v>
          </cell>
          <cell r="U246">
            <v>1633.1440460399999</v>
          </cell>
          <cell r="V246">
            <v>1637.1728645200001</v>
          </cell>
          <cell r="W246">
            <v>1644.2082118400001</v>
          </cell>
          <cell r="X246">
            <v>1668.0798641199999</v>
          </cell>
          <cell r="Y246">
            <v>1672.96001443</v>
          </cell>
          <cell r="Z246">
            <v>1663.1757024000001</v>
          </cell>
          <cell r="AA246">
            <v>1674.29084491</v>
          </cell>
          <cell r="AB246">
            <v>1648.27086433</v>
          </cell>
          <cell r="AC246">
            <v>1643.9408052199999</v>
          </cell>
          <cell r="AD246">
            <v>1643.28284179</v>
          </cell>
          <cell r="AE246">
            <v>1639.5799583200001</v>
          </cell>
          <cell r="AF246">
            <v>1644.0527758600001</v>
          </cell>
          <cell r="AG246">
            <v>1648.09433057</v>
          </cell>
          <cell r="AH246">
            <v>1637.4361258599999</v>
          </cell>
        </row>
        <row r="247">
          <cell r="A247" t="str">
            <v>BF44O</v>
          </cell>
          <cell r="B247" t="str">
            <v>BF44OARS</v>
          </cell>
          <cell r="C247" t="str">
            <v>ON Tier 1 - Tasa Fija USD Ley Argentina ON Pesos</v>
          </cell>
          <cell r="D247">
            <v>546.60416202130921</v>
          </cell>
          <cell r="E247">
            <v>1601.5441158599999</v>
          </cell>
          <cell r="F247">
            <v>1570.4964453299999</v>
          </cell>
          <cell r="G247">
            <v>1561.64586659</v>
          </cell>
          <cell r="H247">
            <v>1557.9347370999999</v>
          </cell>
          <cell r="I247">
            <v>1561.34418856</v>
          </cell>
          <cell r="J247">
            <v>1563.3228729</v>
          </cell>
          <cell r="K247">
            <v>1564.24229489</v>
          </cell>
          <cell r="L247">
            <v>1566.02853166</v>
          </cell>
          <cell r="M247">
            <v>1560.08570072</v>
          </cell>
          <cell r="N247">
            <v>1563.9817419000001</v>
          </cell>
          <cell r="O247">
            <v>1579.7051246000001</v>
          </cell>
          <cell r="P247">
            <v>1583.8068184000001</v>
          </cell>
          <cell r="Q247">
            <v>1562.4788635800001</v>
          </cell>
          <cell r="R247">
            <v>1549.0960853900001</v>
          </cell>
          <cell r="S247">
            <v>1572.5659775500001</v>
          </cell>
          <cell r="T247">
            <v>1566.6924580699999</v>
          </cell>
          <cell r="U247">
            <v>1558.11209543</v>
          </cell>
          <cell r="V247">
            <v>1561.9576824799999</v>
          </cell>
          <cell r="W247">
            <v>1568.67167619</v>
          </cell>
          <cell r="X247">
            <v>1591.0315571000001</v>
          </cell>
          <cell r="Y247">
            <v>1596.41299779</v>
          </cell>
          <cell r="Z247">
            <v>1586.1399241300001</v>
          </cell>
          <cell r="AA247">
            <v>1596.7345164999999</v>
          </cell>
          <cell r="AB247">
            <v>1572.29085364</v>
          </cell>
          <cell r="AC247">
            <v>1568.75351252</v>
          </cell>
          <cell r="AD247">
            <v>1565</v>
          </cell>
          <cell r="AE247">
            <v>1564.99849034</v>
          </cell>
          <cell r="AF247">
            <v>1569.2415217499999</v>
          </cell>
          <cell r="AG247">
            <v>1572.62179745</v>
          </cell>
          <cell r="AH247">
            <v>1562.48606786</v>
          </cell>
        </row>
        <row r="248">
          <cell r="A248" t="str">
            <v>YM40O</v>
          </cell>
          <cell r="B248" t="str">
            <v>YM40OARS</v>
          </cell>
          <cell r="C248" t="str">
            <v>YM40OS - Z-Spread D</v>
          </cell>
          <cell r="D248">
            <v>640.63758038896424</v>
          </cell>
          <cell r="E248">
            <v>1653.38634869</v>
          </cell>
          <cell r="F248">
            <v>1613.97391105</v>
          </cell>
          <cell r="G248">
            <v>1606.0798701399999</v>
          </cell>
          <cell r="H248">
            <v>1602.26120831</v>
          </cell>
          <cell r="I248">
            <v>1605.7848311400001</v>
          </cell>
          <cell r="J248">
            <v>1607.29683267</v>
          </cell>
          <cell r="K248">
            <v>1609.33373381</v>
          </cell>
          <cell r="L248">
            <v>1609.3573179099999</v>
          </cell>
          <cell r="M248">
            <v>1603.42440534</v>
          </cell>
          <cell r="N248">
            <v>1611.1625914000001</v>
          </cell>
          <cell r="O248">
            <v>1627.1247010300001</v>
          </cell>
          <cell r="P248">
            <v>1631.3728465700001</v>
          </cell>
          <cell r="Q248">
            <v>1609.4018372099999</v>
          </cell>
          <cell r="R248">
            <v>1597.11458339</v>
          </cell>
          <cell r="S248">
            <v>1618.05772688</v>
          </cell>
          <cell r="T248">
            <v>1610.4771724899999</v>
          </cell>
          <cell r="U248">
            <v>1602.4844914400001</v>
          </cell>
          <cell r="V248">
            <v>1606.4327618</v>
          </cell>
          <cell r="W248">
            <v>1613.32541343</v>
          </cell>
          <cell r="X248">
            <v>1638.06916791</v>
          </cell>
          <cell r="Y248">
            <v>1640.7923062699999</v>
          </cell>
          <cell r="Z248">
            <v>1633.9306869500001</v>
          </cell>
          <cell r="AA248">
            <v>1644.8657392099999</v>
          </cell>
          <cell r="AB248">
            <v>1618.01866978</v>
          </cell>
          <cell r="AC248">
            <v>1612.2498867100001</v>
          </cell>
          <cell r="AD248">
            <v>1609.06652891</v>
          </cell>
          <cell r="AE248">
            <v>1606.68550198</v>
          </cell>
          <cell r="AF248">
            <v>1611.2143617900001</v>
          </cell>
          <cell r="AG248">
            <v>1616.62513139</v>
          </cell>
          <cell r="AH248">
            <v>1605.8938536799999</v>
          </cell>
        </row>
        <row r="249">
          <cell r="A249" t="str">
            <v>YMCYO</v>
          </cell>
          <cell r="B249" t="str">
            <v>YMCYOARS</v>
          </cell>
          <cell r="C249" t="str">
            <v>YMCYOS - Z-Spread D</v>
          </cell>
          <cell r="D249">
            <v>688.65813377401389</v>
          </cell>
          <cell r="E249">
            <v>1638.1574440899999</v>
          </cell>
          <cell r="F249">
            <v>1596.72410795</v>
          </cell>
          <cell r="G249">
            <v>1589.38967632</v>
          </cell>
          <cell r="H249">
            <v>1585.61145726</v>
          </cell>
          <cell r="I249">
            <v>1589.0998186100001</v>
          </cell>
          <cell r="J249">
            <v>1590.32375402</v>
          </cell>
          <cell r="K249">
            <v>1592.9088074599999</v>
          </cell>
          <cell r="L249">
            <v>1592.2395934900001</v>
          </cell>
          <cell r="M249">
            <v>1586.5477555099999</v>
          </cell>
          <cell r="N249">
            <v>1595.5144177499999</v>
          </cell>
          <cell r="O249">
            <v>1610.7177482500001</v>
          </cell>
          <cell r="P249">
            <v>1614.9336112799999</v>
          </cell>
          <cell r="Q249">
            <v>1593.78250815</v>
          </cell>
          <cell r="R249">
            <v>1582.68587794</v>
          </cell>
          <cell r="S249">
            <v>1601.34690581</v>
          </cell>
          <cell r="T249">
            <v>1593.4451975899999</v>
          </cell>
          <cell r="U249">
            <v>1586.2267283399999</v>
          </cell>
          <cell r="V249">
            <v>1590.1310800000001</v>
          </cell>
          <cell r="W249">
            <v>1596.9501729900001</v>
          </cell>
          <cell r="X249">
            <v>1621.5224378299999</v>
          </cell>
          <cell r="Y249">
            <v>1622.63028444</v>
          </cell>
          <cell r="Z249">
            <v>1610.8271469199999</v>
          </cell>
          <cell r="AA249">
            <v>1619.86037031</v>
          </cell>
          <cell r="AB249">
            <v>1593.2814982899999</v>
          </cell>
          <cell r="AC249">
            <v>1586.77105656</v>
          </cell>
          <cell r="AD249">
            <v>1582.10029356</v>
          </cell>
          <cell r="AE249">
            <v>1580.5890508099999</v>
          </cell>
          <cell r="AF249">
            <v>1585.0835577600001</v>
          </cell>
          <cell r="AG249">
            <v>1566.10335562</v>
          </cell>
          <cell r="AH249">
            <v>1555.5539013099999</v>
          </cell>
        </row>
        <row r="250">
          <cell r="A250" t="str">
            <v>YMCZO</v>
          </cell>
          <cell r="B250" t="str">
            <v>YMCZOARS</v>
          </cell>
          <cell r="C250" t="str">
            <v>YMCZOS - Z-Spread D</v>
          </cell>
          <cell r="D250">
            <v>692.28732330675189</v>
          </cell>
          <cell r="E250">
            <v>1680.54093545</v>
          </cell>
          <cell r="F250">
            <v>1638.61942701</v>
          </cell>
          <cell r="G250">
            <v>1631.0836525100001</v>
          </cell>
          <cell r="H250">
            <v>1627.2035065299999</v>
          </cell>
          <cell r="I250">
            <v>1630.7747060500001</v>
          </cell>
          <cell r="J250">
            <v>1632.02155165</v>
          </cell>
          <cell r="K250">
            <v>1634.6958341</v>
          </cell>
          <cell r="L250">
            <v>1634.0856886900001</v>
          </cell>
          <cell r="M250">
            <v>1628.32076656</v>
          </cell>
          <cell r="N250">
            <v>1637.3340048600001</v>
          </cell>
          <cell r="O250">
            <v>1652.74115306</v>
          </cell>
          <cell r="P250">
            <v>1657.0651400700001</v>
          </cell>
          <cell r="Q250">
            <v>1635.5732396000001</v>
          </cell>
          <cell r="R250">
            <v>1624.36865674</v>
          </cell>
          <cell r="S250">
            <v>1643.2752496099999</v>
          </cell>
          <cell r="T250">
            <v>1635.2997068100001</v>
          </cell>
          <cell r="U250">
            <v>1628.0380771600001</v>
          </cell>
          <cell r="V250">
            <v>1632.0430704099999</v>
          </cell>
          <cell r="W250">
            <v>1639.0396395</v>
          </cell>
          <cell r="X250">
            <v>1663.98041848</v>
          </cell>
          <cell r="Y250">
            <v>1665.05881557</v>
          </cell>
          <cell r="Z250">
            <v>1659.8846123400001</v>
          </cell>
          <cell r="AA250">
            <v>1671.0018396999999</v>
          </cell>
          <cell r="AB250">
            <v>1643.88953343</v>
          </cell>
          <cell r="AC250">
            <v>1637.11268182</v>
          </cell>
          <cell r="AD250">
            <v>1632.3814242599999</v>
          </cell>
          <cell r="AE250">
            <v>1630.7990294399999</v>
          </cell>
          <cell r="AF250">
            <v>1635.3697594600001</v>
          </cell>
          <cell r="AG250">
            <v>1587.6582575299999</v>
          </cell>
          <cell r="AH250">
            <v>1576.89196167</v>
          </cell>
        </row>
        <row r="251">
          <cell r="A251" t="str">
            <v>GN47O</v>
          </cell>
          <cell r="B251" t="str">
            <v>GN47OARS</v>
          </cell>
          <cell r="C251" t="str">
            <v>ON Tier 1 - Tasa Fija USD Ley Argentina ON Pesos</v>
          </cell>
          <cell r="D251">
            <v>683.49339000535588</v>
          </cell>
          <cell r="E251">
            <v>1639.67561181</v>
          </cell>
          <cell r="F251">
            <v>1597.82543366</v>
          </cell>
          <cell r="G251">
            <v>1590.59208758</v>
          </cell>
          <cell r="H251">
            <v>1586.81838324</v>
          </cell>
          <cell r="I251">
            <v>1590.31008845</v>
          </cell>
          <cell r="J251">
            <v>1591.47770919</v>
          </cell>
          <cell r="K251">
            <v>1594.1934685399999</v>
          </cell>
          <cell r="L251">
            <v>1593.39376988</v>
          </cell>
          <cell r="M251">
            <v>1587.76292775</v>
          </cell>
          <cell r="N251">
            <v>1596.98323312</v>
          </cell>
          <cell r="O251">
            <v>1612.03708643</v>
          </cell>
          <cell r="P251">
            <v>1616.2608757099999</v>
          </cell>
          <cell r="Q251">
            <v>1595.2603839400001</v>
          </cell>
          <cell r="R251">
            <v>1584.4302996900001</v>
          </cell>
          <cell r="S251">
            <v>1602.6172277000001</v>
          </cell>
          <cell r="T251">
            <v>1594.6519060999999</v>
          </cell>
          <cell r="U251">
            <v>1587.60925879</v>
          </cell>
          <cell r="V251">
            <v>1591.51824517</v>
          </cell>
          <cell r="W251">
            <v>1598.3499206199999</v>
          </cell>
          <cell r="X251">
            <v>1622.9128204599999</v>
          </cell>
          <cell r="Y251">
            <v>1622.25</v>
          </cell>
          <cell r="Z251">
            <v>1619.0463756900001</v>
          </cell>
          <cell r="AA251">
            <v>1629.8960677499999</v>
          </cell>
          <cell r="AB251">
            <v>1603.2012575700001</v>
          </cell>
          <cell r="AC251">
            <v>1596.43641994</v>
          </cell>
          <cell r="AD251">
            <v>1591.4188763699999</v>
          </cell>
          <cell r="AE251">
            <v>1590.0621865999999</v>
          </cell>
          <cell r="AF251">
            <v>1594.56678029</v>
          </cell>
          <cell r="AG251">
            <v>1600.97335896</v>
          </cell>
          <cell r="AH251">
            <v>1590.3859474400001</v>
          </cell>
        </row>
        <row r="252">
          <cell r="A252" t="str">
            <v>YFCLO</v>
          </cell>
          <cell r="B252" t="str">
            <v>YFCLOARS</v>
          </cell>
          <cell r="C252" t="str">
            <v>YFCLOS - Z-Spread D</v>
          </cell>
          <cell r="D252">
            <v>719.14383848014688</v>
          </cell>
          <cell r="E252">
            <v>1634.8700241199999</v>
          </cell>
          <cell r="F252">
            <v>1591.49976765</v>
          </cell>
          <cell r="G252">
            <v>1584.5402419500001</v>
          </cell>
          <cell r="H252">
            <v>1580.77654409</v>
          </cell>
          <cell r="I252">
            <v>1584.26150203</v>
          </cell>
          <cell r="J252">
            <v>1585.21564182</v>
          </cell>
          <cell r="K252">
            <v>1588.34153292</v>
          </cell>
          <cell r="L252">
            <v>1587.08176385</v>
          </cell>
          <cell r="M252">
            <v>1581.5430096299999</v>
          </cell>
          <cell r="N252">
            <v>1591.5137103</v>
          </cell>
          <cell r="O252">
            <v>1605.90901214</v>
          </cell>
          <cell r="P252">
            <v>1610.12330047</v>
          </cell>
          <cell r="Q252">
            <v>1589.88854367</v>
          </cell>
          <cell r="R252">
            <v>1579.8951685300001</v>
          </cell>
          <cell r="S252">
            <v>1596.3904596899999</v>
          </cell>
          <cell r="T252">
            <v>1588.27456433</v>
          </cell>
          <cell r="U252">
            <v>1581.7964559899999</v>
          </cell>
          <cell r="V252">
            <v>1585.68807111</v>
          </cell>
          <cell r="W252">
            <v>1592.4867612999999</v>
          </cell>
          <cell r="X252">
            <v>1616.7153099300001</v>
          </cell>
          <cell r="Y252">
            <v>1616.16231339</v>
          </cell>
          <cell r="Z252">
            <v>1612.95884232</v>
          </cell>
          <cell r="AA252">
            <v>1623.77354044</v>
          </cell>
          <cell r="AB252">
            <v>1597.22177571</v>
          </cell>
          <cell r="AC252">
            <v>1590.1485265199999</v>
          </cell>
          <cell r="AD252">
            <v>1583.87518026</v>
          </cell>
          <cell r="AE252">
            <v>1583.15994572</v>
          </cell>
          <cell r="AF252">
            <v>1587.7096449799999</v>
          </cell>
          <cell r="AG252">
            <v>1594.7996908499999</v>
          </cell>
          <cell r="AH252">
            <v>1584.15074018</v>
          </cell>
        </row>
        <row r="253">
          <cell r="A253" t="str">
            <v>YFCOO</v>
          </cell>
          <cell r="B253" t="str">
            <v>YFCOOARS</v>
          </cell>
          <cell r="C253" t="str">
            <v>YFCOOS - Z-Spread D</v>
          </cell>
          <cell r="D253">
            <v>742.04662871947608</v>
          </cell>
          <cell r="E253">
            <v>1706.19304539</v>
          </cell>
          <cell r="F253">
            <v>1662.17253532</v>
          </cell>
          <cell r="G253">
            <v>1655.10432264</v>
          </cell>
          <cell r="H253">
            <v>1651.16209153</v>
          </cell>
          <cell r="I253">
            <v>1654.7676296499999</v>
          </cell>
          <cell r="J253">
            <v>1655.5625709399999</v>
          </cell>
          <cell r="K253">
            <v>1659.2560040999999</v>
          </cell>
          <cell r="L253">
            <v>1657.89368003</v>
          </cell>
          <cell r="M253">
            <v>1652.5309169499999</v>
          </cell>
          <cell r="N253">
            <v>1585.1351483799999</v>
          </cell>
          <cell r="O253">
            <v>1598.94725421</v>
          </cell>
          <cell r="P253">
            <v>1603.1493725099999</v>
          </cell>
          <cell r="Q253">
            <v>1583.59724183</v>
          </cell>
          <cell r="R253">
            <v>1574.3152534200001</v>
          </cell>
          <cell r="S253">
            <v>1589.4435615800001</v>
          </cell>
          <cell r="T253">
            <v>1581.28446921</v>
          </cell>
          <cell r="U253">
            <v>1575.29221564</v>
          </cell>
          <cell r="V253">
            <v>1579.16663859</v>
          </cell>
          <cell r="W253">
            <v>1585.93655268</v>
          </cell>
          <cell r="X253">
            <v>1609.77404899</v>
          </cell>
          <cell r="Y253">
            <v>1608.2303735</v>
          </cell>
          <cell r="Z253">
            <v>1606.06628277</v>
          </cell>
          <cell r="AA253">
            <v>1616.84042765</v>
          </cell>
          <cell r="AB253">
            <v>1590.56025342</v>
          </cell>
          <cell r="AC253">
            <v>1583.25398154</v>
          </cell>
          <cell r="AD253">
            <v>1576.1084887300001</v>
          </cell>
          <cell r="AE253">
            <v>1575.8636891799999</v>
          </cell>
          <cell r="AF253">
            <v>1580.4203780600001</v>
          </cell>
          <cell r="AG253">
            <v>1587.98111081</v>
          </cell>
          <cell r="AH253">
            <v>1577.3578955200001</v>
          </cell>
        </row>
        <row r="254">
          <cell r="A254" t="str">
            <v>YM42O</v>
          </cell>
          <cell r="B254" t="str">
            <v>YM42OARS</v>
          </cell>
          <cell r="C254" t="str">
            <v>YM42OS - Z-Spread D</v>
          </cell>
          <cell r="D254">
            <v>798.08376168754887</v>
          </cell>
          <cell r="E254">
            <v>1659.8676857099999</v>
          </cell>
          <cell r="F254">
            <v>1613.9212685499999</v>
          </cell>
          <cell r="G254">
            <v>1619.51</v>
          </cell>
          <cell r="H254">
            <v>1620.16363067</v>
          </cell>
          <cell r="I254">
            <v>1604.05328009</v>
          </cell>
          <cell r="J254">
            <v>1604.09804958</v>
          </cell>
          <cell r="K254">
            <v>1615.7646090200001</v>
          </cell>
          <cell r="L254">
            <v>1613.2972098099999</v>
          </cell>
          <cell r="M254">
            <v>1625.4567827400001</v>
          </cell>
          <cell r="N254">
            <v>1626.9290377299999</v>
          </cell>
          <cell r="O254">
            <v>1638.2509810399999</v>
          </cell>
          <cell r="P254">
            <v>1642.5681442699999</v>
          </cell>
          <cell r="Q254">
            <v>1625.71978289</v>
          </cell>
          <cell r="R254">
            <v>1619.1747778599999</v>
          </cell>
          <cell r="S254">
            <v>1610.2649807</v>
          </cell>
          <cell r="T254">
            <v>1602.28057964</v>
          </cell>
          <cell r="U254">
            <v>1598.3497304</v>
          </cell>
          <cell r="V254">
            <v>1606.4309587800001</v>
          </cell>
          <cell r="W254">
            <v>1619.9989605799999</v>
          </cell>
          <cell r="X254">
            <v>1628.7223378199999</v>
          </cell>
          <cell r="Y254">
            <v>1617.03643195</v>
          </cell>
          <cell r="Z254">
            <v>1618.12226257</v>
          </cell>
          <cell r="AA254">
            <v>1622.97247285</v>
          </cell>
          <cell r="AB254">
            <v>1598.4968874900001</v>
          </cell>
          <cell r="AC254">
            <v>1590.6065177099999</v>
          </cell>
          <cell r="AD254">
            <v>1607.79062643</v>
          </cell>
          <cell r="AE254">
            <v>1608.9932767400001</v>
          </cell>
          <cell r="AF254">
            <v>1609.1002353399999</v>
          </cell>
          <cell r="AG254">
            <v>1611.62042827</v>
          </cell>
          <cell r="AH254">
            <v>1614.86155555</v>
          </cell>
        </row>
        <row r="255">
          <cell r="A255" t="str">
            <v>PLC6O</v>
          </cell>
          <cell r="B255" t="str">
            <v>PLC6OARS</v>
          </cell>
          <cell r="C255" t="str">
            <v>ON Tier 1 - Tasa Fija USD Ley Argentina ON Pesos</v>
          </cell>
          <cell r="D255">
            <v>787.79987830783136</v>
          </cell>
          <cell r="E255">
            <v>1671.75829415</v>
          </cell>
          <cell r="F255">
            <v>1626.0236821000001</v>
          </cell>
          <cell r="G255">
            <v>1619.49190196</v>
          </cell>
          <cell r="H255">
            <v>1615.64819253</v>
          </cell>
          <cell r="I255">
            <v>1619.19916919</v>
          </cell>
          <cell r="J255">
            <v>1617.3001589200001</v>
          </cell>
          <cell r="K255">
            <v>1624.12924557</v>
          </cell>
          <cell r="L255">
            <v>1621.93530917</v>
          </cell>
          <cell r="M255">
            <v>1616.9190625700001</v>
          </cell>
          <cell r="N255">
            <v>1628.1735098900001</v>
          </cell>
          <cell r="O255">
            <v>1639.5545557200001</v>
          </cell>
          <cell r="P255">
            <v>1643.87846425</v>
          </cell>
          <cell r="Q255">
            <v>1627.0685393599999</v>
          </cell>
          <cell r="R255">
            <v>1620.5660671200001</v>
          </cell>
          <cell r="S255">
            <v>1630.6531151900001</v>
          </cell>
          <cell r="T255">
            <v>1622.79210057</v>
          </cell>
          <cell r="U255">
            <v>1618.82851317</v>
          </cell>
          <cell r="V255">
            <v>1622.8010220000001</v>
          </cell>
          <cell r="W255">
            <v>1629.7536008100001</v>
          </cell>
          <cell r="X255">
            <v>1651.6176021000001</v>
          </cell>
          <cell r="Y255">
            <v>1646.3482241900001</v>
          </cell>
          <cell r="Z255">
            <v>1647.3885796899999</v>
          </cell>
          <cell r="AA255">
            <v>1658.45442417</v>
          </cell>
          <cell r="AB255">
            <v>1633.5630490399999</v>
          </cell>
          <cell r="AC255">
            <v>1625.43638483</v>
          </cell>
          <cell r="AD255">
            <v>1607.9378317999999</v>
          </cell>
          <cell r="AE255">
            <v>1616.72664594</v>
          </cell>
          <cell r="AF255">
            <v>1606.1000065400001</v>
          </cell>
          <cell r="AG255">
            <v>1630.4853282300001</v>
          </cell>
          <cell r="AH255">
            <v>1619.9688255599999</v>
          </cell>
        </row>
        <row r="256">
          <cell r="A256" t="str">
            <v>TLCUO</v>
          </cell>
          <cell r="B256" t="str">
            <v>TLCUOARS</v>
          </cell>
          <cell r="C256" t="str">
            <v>ON Tier 1 - Tasa Fija USD Ley Argentina ON Pesos</v>
          </cell>
          <cell r="D256">
            <v>818.84510169334726</v>
          </cell>
          <cell r="E256">
            <v>1670.03517354</v>
          </cell>
          <cell r="F256">
            <v>1624.0723580599999</v>
          </cell>
          <cell r="G256">
            <v>1617.66878359</v>
          </cell>
          <cell r="H256">
            <v>1563.8708782199999</v>
          </cell>
          <cell r="I256">
            <v>1567.32809666</v>
          </cell>
          <cell r="J256">
            <v>1567.5145711499999</v>
          </cell>
          <cell r="K256">
            <v>1572.1636237800001</v>
          </cell>
          <cell r="L256">
            <v>1569.7159569800001</v>
          </cell>
          <cell r="M256">
            <v>1564.74771016</v>
          </cell>
          <cell r="N256">
            <v>1576.298892</v>
          </cell>
          <cell r="O256">
            <v>1587.4307259499999</v>
          </cell>
          <cell r="P256">
            <v>1591.62429148</v>
          </cell>
          <cell r="Q256">
            <v>1575.24184629</v>
          </cell>
          <cell r="R256">
            <v>1568.93141726</v>
          </cell>
          <cell r="S256">
            <v>1561.50069263</v>
          </cell>
          <cell r="T256">
            <v>1556.00005508</v>
          </cell>
          <cell r="U256">
            <v>1566.68088816</v>
          </cell>
          <cell r="V256">
            <v>1570.52952351</v>
          </cell>
          <cell r="W256">
            <v>1577.26229719</v>
          </cell>
          <cell r="X256">
            <v>1598.83096763</v>
          </cell>
          <cell r="Y256">
            <v>1593.3125465799999</v>
          </cell>
          <cell r="Z256">
            <v>1594.96472524</v>
          </cell>
          <cell r="AA256">
            <v>1605.6847841599999</v>
          </cell>
          <cell r="AB256">
            <v>1581.0605143499999</v>
          </cell>
          <cell r="AC256">
            <v>1573.1586073999999</v>
          </cell>
          <cell r="AD256">
            <v>1562.8050278000001</v>
          </cell>
          <cell r="AE256">
            <v>1564.30083203</v>
          </cell>
          <cell r="AF256">
            <v>1568.87340341</v>
          </cell>
          <cell r="AG256">
            <v>1578.1784350200001</v>
          </cell>
          <cell r="AH256">
            <v>1567.7044049399999</v>
          </cell>
        </row>
        <row r="257">
          <cell r="A257" t="str">
            <v>OLC6O</v>
          </cell>
          <cell r="B257" t="str">
            <v>OLC6OARS</v>
          </cell>
          <cell r="C257" t="str">
            <v>ON Tier 1 - Tasa Fija USD Ley Argentina ON Pesos</v>
          </cell>
          <cell r="D257">
            <v>873.94137586694831</v>
          </cell>
          <cell r="E257">
            <v>1686.1499842600001</v>
          </cell>
          <cell r="F257">
            <v>1639.96233985</v>
          </cell>
          <cell r="G257">
            <v>1635.57</v>
          </cell>
          <cell r="H257">
            <v>1629.7269511899999</v>
          </cell>
          <cell r="I257">
            <v>1633.30916273</v>
          </cell>
          <cell r="J257">
            <v>1632.77317425</v>
          </cell>
          <cell r="K257">
            <v>1639.09692363</v>
          </cell>
          <cell r="L257">
            <v>1636.22390232</v>
          </cell>
          <cell r="M257">
            <v>1631.7756867200001</v>
          </cell>
          <cell r="N257">
            <v>1643.3017339800001</v>
          </cell>
          <cell r="O257">
            <v>1650.3353563999999</v>
          </cell>
          <cell r="P257">
            <v>1654.7092169299999</v>
          </cell>
          <cell r="Q257">
            <v>1643.1275533</v>
          </cell>
          <cell r="R257">
            <v>1640.90582051</v>
          </cell>
          <cell r="S257">
            <v>1643.0980237799999</v>
          </cell>
          <cell r="T257">
            <v>1636.9882970900001</v>
          </cell>
          <cell r="U257">
            <v>1635.45192714</v>
          </cell>
          <cell r="V257">
            <v>1639.4561603699999</v>
          </cell>
          <cell r="W257">
            <v>1646.47100944</v>
          </cell>
          <cell r="X257">
            <v>1663.8920613299999</v>
          </cell>
          <cell r="Y257">
            <v>1652.99931006</v>
          </cell>
          <cell r="Z257">
            <v>1658.85192517</v>
          </cell>
          <cell r="AA257">
            <v>1670.0148806499999</v>
          </cell>
          <cell r="AB257">
            <v>1648.34855748</v>
          </cell>
          <cell r="AC257">
            <v>1640.17430558</v>
          </cell>
          <cell r="AD257">
            <v>1619.9754</v>
          </cell>
          <cell r="AE257">
            <v>1629.53837021</v>
          </cell>
          <cell r="AF257">
            <v>1634.17976757</v>
          </cell>
          <cell r="AG257">
            <v>1645.61052442</v>
          </cell>
          <cell r="AH257">
            <v>1635.2485359</v>
          </cell>
        </row>
        <row r="258">
          <cell r="A258" t="str">
            <v>OLC7O</v>
          </cell>
          <cell r="B258" t="str">
            <v>OLC7OARS</v>
          </cell>
          <cell r="C258" t="str">
            <v>ON Tier 1 - Tasa Fija USD Ley Argentina ON Pesos</v>
          </cell>
          <cell r="D258">
            <v>1111.1180780887755</v>
          </cell>
          <cell r="E258">
            <v>1625.2867447000001</v>
          </cell>
          <cell r="F258">
            <v>1592.83705448</v>
          </cell>
          <cell r="G258">
            <v>1585.5105315200001</v>
          </cell>
          <cell r="H258">
            <v>1581.7403472200001</v>
          </cell>
          <cell r="I258">
            <v>1585.1957322200001</v>
          </cell>
          <cell r="J258">
            <v>1582.0668331899999</v>
          </cell>
          <cell r="K258">
            <v>1593.3953927</v>
          </cell>
          <cell r="L258">
            <v>1590.8283811599999</v>
          </cell>
          <cell r="M258">
            <v>1588.79898121</v>
          </cell>
          <cell r="N258">
            <v>1594.2310761799999</v>
          </cell>
          <cell r="O258">
            <v>1582.0581503999999</v>
          </cell>
          <cell r="P258">
            <v>1586.3020704800001</v>
          </cell>
          <cell r="Q258">
            <v>1598.6240261400001</v>
          </cell>
          <cell r="R258">
            <v>1613.0060907</v>
          </cell>
          <cell r="S258">
            <v>1585.54521725</v>
          </cell>
          <cell r="T258">
            <v>1586.3760376800001</v>
          </cell>
          <cell r="U258">
            <v>1598.1317622900001</v>
          </cell>
          <cell r="V258">
            <v>1602.01462317</v>
          </cell>
          <cell r="W258">
            <v>1608.8391698999999</v>
          </cell>
          <cell r="X258">
            <v>1602.2840518099999</v>
          </cell>
          <cell r="Y258">
            <v>1572.35378451</v>
          </cell>
          <cell r="Z258">
            <v>1592.52794569</v>
          </cell>
          <cell r="AA258">
            <v>1603.29266925</v>
          </cell>
          <cell r="AB258">
            <v>1600.13369326</v>
          </cell>
          <cell r="AC258">
            <v>1596.26089531</v>
          </cell>
          <cell r="AD258">
            <v>1570.42588916</v>
          </cell>
          <cell r="AE258">
            <v>1580.5783606499999</v>
          </cell>
          <cell r="AF258">
            <v>1584.9109669300001</v>
          </cell>
          <cell r="AG258">
            <v>1602.3793254300001</v>
          </cell>
          <cell r="AH258">
            <v>1593.7775105600001</v>
          </cell>
        </row>
        <row r="259">
          <cell r="A259" t="str">
            <v>HJCFO</v>
          </cell>
          <cell r="B259" t="str">
            <v>HJCFOARS</v>
          </cell>
          <cell r="C259" t="str">
            <v>ON Tier 1 - Tasa Fija USD Ley Argentina ON Pesos</v>
          </cell>
          <cell r="D259">
            <v>8.0000000000006999</v>
          </cell>
          <cell r="E259">
            <v>1564.4296859200001</v>
          </cell>
          <cell r="F259">
            <v>1570.7347855200001</v>
          </cell>
          <cell r="G259">
            <v>1562.6598384199999</v>
          </cell>
          <cell r="H259">
            <v>1560.7684508499999</v>
          </cell>
          <cell r="I259">
            <v>1563.5416675700001</v>
          </cell>
          <cell r="J259">
            <v>1564.0022131000001</v>
          </cell>
          <cell r="K259">
            <v>1568.2586622199999</v>
          </cell>
          <cell r="L259">
            <v>1573.6971618699999</v>
          </cell>
          <cell r="M259">
            <v>1573.9667813399999</v>
          </cell>
          <cell r="N259">
            <v>1567.64648629</v>
          </cell>
          <cell r="O259">
            <v>1566.96696572</v>
          </cell>
          <cell r="P259">
            <v>1570.9266888300001</v>
          </cell>
          <cell r="Q259">
            <v>1567.4477679300001</v>
          </cell>
          <cell r="R259">
            <v>1570.95043887</v>
          </cell>
          <cell r="S259">
            <v>1569.9246334500001</v>
          </cell>
          <cell r="T259">
            <v>1572.8537950299999</v>
          </cell>
          <cell r="U259">
            <v>1577.31505608</v>
          </cell>
          <cell r="V259">
            <v>1581.0254648299999</v>
          </cell>
          <cell r="W259">
            <v>1587.6372007299999</v>
          </cell>
          <cell r="X259">
            <v>1589.50890392</v>
          </cell>
          <cell r="Y259">
            <v>1585.6372821800001</v>
          </cell>
          <cell r="Z259">
            <v>1580.58600852</v>
          </cell>
          <cell r="AA259">
            <v>1587.99161344</v>
          </cell>
          <cell r="AB259">
            <v>1585.5821753299999</v>
          </cell>
          <cell r="AC259">
            <v>1576.15546328</v>
          </cell>
          <cell r="AD259">
            <v>1579.3163969</v>
          </cell>
          <cell r="AE259">
            <v>1576.9869661499999</v>
          </cell>
          <cell r="AF259">
            <v>1577.26114824</v>
          </cell>
          <cell r="AG259">
            <v>1577.6299126199999</v>
          </cell>
          <cell r="AH259">
            <v>1577.52759842</v>
          </cell>
        </row>
        <row r="260">
          <cell r="A260" t="str">
            <v>T672O</v>
          </cell>
          <cell r="B260" t="str">
            <v>T672OARS</v>
          </cell>
          <cell r="C260" t="str">
            <v>ON Tier 2 - Tasa Fija USD Ley Argentina ON Pesos</v>
          </cell>
          <cell r="D260">
            <v>130.88070741995995</v>
          </cell>
          <cell r="E260">
            <v>1547.5709676199999</v>
          </cell>
          <cell r="F260">
            <v>1554.87892059</v>
          </cell>
          <cell r="G260">
            <v>1543.6415321899999</v>
          </cell>
          <cell r="H260">
            <v>1539.9784820299999</v>
          </cell>
          <cell r="I260">
            <v>1543.01924063</v>
          </cell>
          <cell r="J260">
            <v>1541.5922221400001</v>
          </cell>
          <cell r="K260">
            <v>1543.34989341</v>
          </cell>
          <cell r="L260">
            <v>1550.9303813199999</v>
          </cell>
          <cell r="M260">
            <v>1546.0066220199999</v>
          </cell>
          <cell r="N260">
            <v>1535.28383736</v>
          </cell>
          <cell r="O260">
            <v>1537.8024263899999</v>
          </cell>
          <cell r="P260">
            <v>1539.3738536599999</v>
          </cell>
          <cell r="Q260">
            <v>1538.26941738</v>
          </cell>
          <cell r="R260">
            <v>1535.0288048699999</v>
          </cell>
          <cell r="S260">
            <v>1544.6602634200001</v>
          </cell>
          <cell r="T260">
            <v>1548.6963005499999</v>
          </cell>
          <cell r="U260">
            <v>1548.5348870400001</v>
          </cell>
          <cell r="V260">
            <v>1552.86599862</v>
          </cell>
          <cell r="W260">
            <v>1559.6359211399999</v>
          </cell>
          <cell r="X260">
            <v>1558.35389295</v>
          </cell>
          <cell r="Y260">
            <v>1563.78576492</v>
          </cell>
          <cell r="Z260">
            <v>1551.15026352</v>
          </cell>
          <cell r="AA260">
            <v>1561.4803315900001</v>
          </cell>
          <cell r="AB260">
            <v>1557.1164236899999</v>
          </cell>
          <cell r="AC260">
            <v>1556.3901340499999</v>
          </cell>
          <cell r="AD260">
            <v>1562.0222529299999</v>
          </cell>
          <cell r="AE260">
            <v>1552.22668015</v>
          </cell>
          <cell r="AF260">
            <v>1556.63236155</v>
          </cell>
          <cell r="AG260">
            <v>1555.4193542800001</v>
          </cell>
          <cell r="AH260">
            <v>1551.6059846400001</v>
          </cell>
        </row>
        <row r="261">
          <cell r="A261" t="str">
            <v>CS48O</v>
          </cell>
          <cell r="B261" t="str">
            <v>CS48OARS</v>
          </cell>
          <cell r="C261" t="str">
            <v>ON Tier 1 - Tasa Fija USD Ley Argentina ON Pesos</v>
          </cell>
          <cell r="D261">
            <v>596.89370026231745</v>
          </cell>
          <cell r="E261">
            <v>1647.2805888099999</v>
          </cell>
          <cell r="F261">
            <v>1611.34620152</v>
          </cell>
          <cell r="G261">
            <v>1602.9636564800001</v>
          </cell>
          <cell r="H261">
            <v>1599.29115385</v>
          </cell>
          <cell r="I261">
            <v>1602.8468353999999</v>
          </cell>
          <cell r="J261">
            <v>1592.6162091000001</v>
          </cell>
          <cell r="K261">
            <v>1594.1723204299999</v>
          </cell>
          <cell r="L261">
            <v>1595.08804485</v>
          </cell>
          <cell r="M261">
            <v>1578.8778943</v>
          </cell>
          <cell r="N261">
            <v>1584.9054959600001</v>
          </cell>
          <cell r="O261">
            <v>1600.89510789</v>
          </cell>
          <cell r="P261">
            <v>1595.24137182</v>
          </cell>
          <cell r="Q261">
            <v>1609.8802756099999</v>
          </cell>
          <cell r="R261">
            <v>1578.57997286</v>
          </cell>
          <cell r="S261">
            <v>1600.9911474999999</v>
          </cell>
          <cell r="T261">
            <v>1594.2220166300001</v>
          </cell>
          <cell r="U261">
            <v>1585.93376994</v>
          </cell>
          <cell r="V261">
            <v>1631.7839007699999</v>
          </cell>
          <cell r="W261">
            <v>1638.7962155800001</v>
          </cell>
          <cell r="X261">
            <v>1663.2711770200001</v>
          </cell>
          <cell r="Y261">
            <v>1667.46746267</v>
          </cell>
          <cell r="Z261">
            <v>1658.6902449500001</v>
          </cell>
          <cell r="AA261">
            <v>1669.7825632300001</v>
          </cell>
          <cell r="AB261">
            <v>1643.18606608</v>
          </cell>
          <cell r="AC261">
            <v>1638.3029377800001</v>
          </cell>
          <cell r="AD261">
            <v>1636.7164423900001</v>
          </cell>
          <cell r="AE261">
            <v>1633.4700242700001</v>
          </cell>
          <cell r="AF261">
            <v>1638.0004776400001</v>
          </cell>
          <cell r="AG261">
            <v>1642.5717865399999</v>
          </cell>
          <cell r="AH261">
            <v>1631.7964967099999</v>
          </cell>
        </row>
        <row r="262">
          <cell r="A262" t="str">
            <v>CS47O</v>
          </cell>
          <cell r="B262" t="str">
            <v>CS47OARS</v>
          </cell>
          <cell r="C262" t="str">
            <v>ON Tier 1 - Tasa Fija USD Ley Argentina ON Pesos</v>
          </cell>
          <cell r="D262">
            <v>705.03355479571394</v>
          </cell>
          <cell r="E262">
            <v>1635.19532151</v>
          </cell>
          <cell r="F262">
            <v>1592.7435237300001</v>
          </cell>
          <cell r="G262">
            <v>1585.7490258800001</v>
          </cell>
          <cell r="H262">
            <v>1582.11864633</v>
          </cell>
          <cell r="I262">
            <v>1585.6444612600001</v>
          </cell>
          <cell r="J262">
            <v>1572.75651449</v>
          </cell>
          <cell r="K262">
            <v>1575.83962658</v>
          </cell>
          <cell r="L262">
            <v>1574.83585182</v>
          </cell>
          <cell r="M262">
            <v>1557.5108474599999</v>
          </cell>
          <cell r="N262">
            <v>1567.0341960799999</v>
          </cell>
          <cell r="O262">
            <v>1581.2484588100001</v>
          </cell>
          <cell r="P262">
            <v>1574.00828759</v>
          </cell>
          <cell r="Q262">
            <v>1574.7353386699999</v>
          </cell>
          <cell r="R262">
            <v>1565.00682706</v>
          </cell>
          <cell r="S262">
            <v>1581.59007688</v>
          </cell>
          <cell r="T262">
            <v>1573.78780349</v>
          </cell>
          <cell r="U262">
            <v>1567.4363832900001</v>
          </cell>
          <cell r="V262">
            <v>1620.11349322</v>
          </cell>
          <cell r="W262">
            <v>1627.0658496900001</v>
          </cell>
          <cell r="X262">
            <v>1651.6473582399999</v>
          </cell>
          <cell r="Y262">
            <v>1651.3381046500001</v>
          </cell>
          <cell r="Z262">
            <v>1647.7100981799999</v>
          </cell>
          <cell r="AA262">
            <v>1658.7572551400001</v>
          </cell>
          <cell r="AB262">
            <v>1631.8646662000001</v>
          </cell>
          <cell r="AC262">
            <v>1624.7038505400001</v>
          </cell>
          <cell r="AD262">
            <v>1618.6653146599999</v>
          </cell>
          <cell r="AE262">
            <v>1617.7806622400001</v>
          </cell>
          <cell r="AF262">
            <v>1622.3781504999999</v>
          </cell>
          <cell r="AG262">
            <v>1629.411247</v>
          </cell>
          <cell r="AH262">
            <v>1618.65256905</v>
          </cell>
        </row>
        <row r="263">
          <cell r="A263" t="str">
            <v>ZZC1O</v>
          </cell>
          <cell r="B263" t="str">
            <v>ZZC1OARS</v>
          </cell>
          <cell r="C263" t="str">
            <v>ON Tier 2 - Tasa Fija USD Ley Argentina ON Pesos</v>
          </cell>
          <cell r="D263">
            <v>132.0000000000006</v>
          </cell>
          <cell r="E263">
            <v>1561.4046628900001</v>
          </cell>
          <cell r="F263">
            <v>1568.8223569100001</v>
          </cell>
          <cell r="G263">
            <v>1557.5093319</v>
          </cell>
          <cell r="H263">
            <v>1553.9653215400001</v>
          </cell>
          <cell r="I263">
            <v>1557.0864742900001</v>
          </cell>
          <cell r="J263">
            <v>1557.5850770100001</v>
          </cell>
          <cell r="K263">
            <v>1559.3787700600001</v>
          </cell>
          <cell r="L263">
            <v>1567.09289487</v>
          </cell>
          <cell r="M263">
            <v>1562.19283651</v>
          </cell>
          <cell r="N263">
            <v>1551.36511838</v>
          </cell>
          <cell r="O263">
            <v>1553.9815565199999</v>
          </cell>
          <cell r="P263">
            <v>1555.5913204599999</v>
          </cell>
          <cell r="Q263">
            <v>1554.5200024000001</v>
          </cell>
          <cell r="R263">
            <v>1551.3000289500001</v>
          </cell>
          <cell r="S263">
            <v>1561.16826726</v>
          </cell>
          <cell r="T263">
            <v>1563.7812069399999</v>
          </cell>
          <cell r="U263">
            <v>1563.6250820099999</v>
          </cell>
          <cell r="V263">
            <v>1575.46317206</v>
          </cell>
          <cell r="W263">
            <v>1582.33237872</v>
          </cell>
          <cell r="X263">
            <v>1581.01694174</v>
          </cell>
          <cell r="Y263">
            <v>1586.6057174099999</v>
          </cell>
          <cell r="Z263">
            <v>1573.7464247600001</v>
          </cell>
          <cell r="AA263">
            <v>1584.22705802</v>
          </cell>
          <cell r="AB263">
            <v>1579.77258418</v>
          </cell>
          <cell r="AC263">
            <v>1579.10415893</v>
          </cell>
          <cell r="AD263">
            <v>1584.8381204</v>
          </cell>
          <cell r="AE263">
            <v>1574.83649788</v>
          </cell>
          <cell r="AF263">
            <v>1579.34107395</v>
          </cell>
          <cell r="AG263">
            <v>1578.0953824000001</v>
          </cell>
          <cell r="AH263">
            <v>1574.1928343500001</v>
          </cell>
        </row>
        <row r="264">
          <cell r="A264" t="str">
            <v>BVCUO</v>
          </cell>
          <cell r="B264" t="str">
            <v>BVCUOARS</v>
          </cell>
          <cell r="C264" t="str">
            <v>ON Tier 3 - Tasa Fija USD Ley Argentina ON Pesos</v>
          </cell>
          <cell r="D264">
            <v>201.98047500310921</v>
          </cell>
          <cell r="E264">
            <v>1537.23354653</v>
          </cell>
          <cell r="F264">
            <v>1540.5911899</v>
          </cell>
          <cell r="G264">
            <v>1528.92042567</v>
          </cell>
          <cell r="H264">
            <v>1525.47715047</v>
          </cell>
          <cell r="I264">
            <v>1528.6490427799999</v>
          </cell>
          <cell r="J264">
            <v>1529.0453276200001</v>
          </cell>
          <cell r="K264">
            <v>1529.9362999</v>
          </cell>
          <cell r="L264">
            <v>1537.4698384000001</v>
          </cell>
          <cell r="M264">
            <v>1530.3984528200001</v>
          </cell>
          <cell r="N264">
            <v>1520.24569245</v>
          </cell>
          <cell r="O264">
            <v>1525.4472788999999</v>
          </cell>
          <cell r="P264">
            <v>1525.9766261300001</v>
          </cell>
          <cell r="Q264">
            <v>1524.10160204</v>
          </cell>
          <cell r="R264">
            <v>1517.72230322</v>
          </cell>
          <cell r="S264">
            <v>1532.31677694</v>
          </cell>
          <cell r="T264">
            <v>1533.2830089900001</v>
          </cell>
          <cell r="U264">
            <v>1530.7454740200001</v>
          </cell>
          <cell r="V264">
            <v>1535.36159258</v>
          </cell>
          <cell r="W264">
            <v>1542.23496325</v>
          </cell>
          <cell r="X264">
            <v>1542.2562195</v>
          </cell>
          <cell r="Y264">
            <v>1552.04672837</v>
          </cell>
          <cell r="Z264">
            <v>1538.17782027</v>
          </cell>
          <cell r="AA264">
            <v>1548.4795726499999</v>
          </cell>
          <cell r="AB264">
            <v>1541.2328789799999</v>
          </cell>
          <cell r="AC264">
            <v>1542.4767875099999</v>
          </cell>
          <cell r="AD264">
            <v>1548.5257720499999</v>
          </cell>
          <cell r="AE264">
            <v>1535.5025552899999</v>
          </cell>
          <cell r="AF264">
            <v>1541.9034042999999</v>
          </cell>
          <cell r="AG264">
            <v>1540.39297364</v>
          </cell>
          <cell r="AH264">
            <v>1534.9628493299999</v>
          </cell>
        </row>
        <row r="265">
          <cell r="A265" t="str">
            <v>JNC6O</v>
          </cell>
          <cell r="B265" t="str">
            <v>JNC6OARS</v>
          </cell>
          <cell r="C265" t="str">
            <v>ON Tier 3 - Tasa Fija USD Ley Argentina ON Pesos</v>
          </cell>
          <cell r="D265">
            <v>348.23583005048403</v>
          </cell>
          <cell r="E265">
            <v>1655.9233938299999</v>
          </cell>
          <cell r="F265">
            <v>1646.0296131600001</v>
          </cell>
          <cell r="G265">
            <v>1634.2908387800001</v>
          </cell>
          <cell r="H265">
            <v>1630.6578110099999</v>
          </cell>
          <cell r="I265">
            <v>1634.1923921299999</v>
          </cell>
          <cell r="J265">
            <v>1633.94399507</v>
          </cell>
          <cell r="K265">
            <v>1634.2461301400001</v>
          </cell>
          <cell r="L265">
            <v>1640.4252500699999</v>
          </cell>
          <cell r="M265">
            <v>1629.20727842</v>
          </cell>
          <cell r="N265">
            <v>1623.3971966700001</v>
          </cell>
          <cell r="O265">
            <v>1634.4422598599999</v>
          </cell>
          <cell r="P265">
            <v>1632.90809661</v>
          </cell>
          <cell r="Q265">
            <v>1628.2571765099999</v>
          </cell>
          <cell r="R265">
            <v>1616.9783177199999</v>
          </cell>
          <cell r="S265">
            <v>1639.1436629100001</v>
          </cell>
          <cell r="T265">
            <v>1635.1830677400001</v>
          </cell>
          <cell r="U265">
            <v>1628.82265607</v>
          </cell>
          <cell r="V265">
            <v>1634.26728617</v>
          </cell>
          <cell r="W265">
            <v>1641.62126601</v>
          </cell>
          <cell r="X265">
            <v>1646.93120845</v>
          </cell>
          <cell r="Y265">
            <v>1664.1765668099999</v>
          </cell>
          <cell r="Z265">
            <v>1649.26636138</v>
          </cell>
          <cell r="AA265">
            <v>1660.33916316</v>
          </cell>
          <cell r="AB265">
            <v>1575.0394042299999</v>
          </cell>
          <cell r="AC265">
            <v>1576.21888014</v>
          </cell>
          <cell r="AD265">
            <v>1581.4036267399999</v>
          </cell>
          <cell r="AE265">
            <v>1562.3470036799999</v>
          </cell>
          <cell r="AF265">
            <v>1572.67948787</v>
          </cell>
          <cell r="AG265">
            <v>1571.0483220599999</v>
          </cell>
          <cell r="AH265">
            <v>1562.8571523799999</v>
          </cell>
        </row>
        <row r="266">
          <cell r="A266" t="str">
            <v>HVS1O</v>
          </cell>
          <cell r="B266" t="str">
            <v>HVS1OARS</v>
          </cell>
          <cell r="C266" t="str">
            <v>ON Tier 3 - Tasa Fija USD Ley Argentina ON Pesos</v>
          </cell>
          <cell r="D266">
            <v>596.2874757975494</v>
          </cell>
          <cell r="E266">
            <v>1638.15673788</v>
          </cell>
          <cell r="F266">
            <v>1603.36199829</v>
          </cell>
          <cell r="G266">
            <v>1595.0516309499999</v>
          </cell>
          <cell r="H266">
            <v>1591.5479837600001</v>
          </cell>
          <cell r="I266">
            <v>1595.12569891</v>
          </cell>
          <cell r="J266">
            <v>1592.43460003</v>
          </cell>
          <cell r="K266">
            <v>1594.05996218</v>
          </cell>
          <cell r="L266">
            <v>1595.1337105299999</v>
          </cell>
          <cell r="M266">
            <v>1579.35972474</v>
          </cell>
          <cell r="N266">
            <v>1585.13700619</v>
          </cell>
          <cell r="O266">
            <v>1600.87710778</v>
          </cell>
          <cell r="P266">
            <v>1595.4586581200001</v>
          </cell>
          <cell r="Q266">
            <v>1591.5185901100001</v>
          </cell>
          <cell r="R266">
            <v>1579.18632925</v>
          </cell>
          <cell r="S266">
            <v>1601.2868770099999</v>
          </cell>
          <cell r="T266">
            <v>1588.6611082300001</v>
          </cell>
          <cell r="U266">
            <v>1580.66764764</v>
          </cell>
          <cell r="V266">
            <v>1586.8857947500001</v>
          </cell>
          <cell r="W266">
            <v>1594.0433571599999</v>
          </cell>
          <cell r="X266">
            <v>1605.12587521</v>
          </cell>
          <cell r="Y266">
            <v>1627.6400754199999</v>
          </cell>
          <cell r="Z266">
            <v>1619.1020409400001</v>
          </cell>
          <cell r="AA266">
            <v>1630.0334043299999</v>
          </cell>
          <cell r="AB266">
            <v>1604.85789264</v>
          </cell>
          <cell r="AC266">
            <v>1600.1499308699999</v>
          </cell>
          <cell r="AD266">
            <v>1598.8688047099999</v>
          </cell>
          <cell r="AE266">
            <v>1539.70190164</v>
          </cell>
          <cell r="AF266">
            <v>1555.3921494900001</v>
          </cell>
          <cell r="AG266">
            <v>1555.9700282599999</v>
          </cell>
          <cell r="AH266">
            <v>1545.8633847900001</v>
          </cell>
        </row>
        <row r="267">
          <cell r="A267"/>
          <cell r="B267"/>
          <cell r="C267"/>
          <cell r="D267"/>
        </row>
        <row r="268">
          <cell r="A268" t="str">
            <v>Obligaciones Negociables Hard USD - Ley Extranjera</v>
          </cell>
          <cell r="B268"/>
          <cell r="C268">
            <v>0</v>
          </cell>
          <cell r="D268">
            <v>0</v>
          </cell>
        </row>
        <row r="269">
          <cell r="A269"/>
          <cell r="B269"/>
          <cell r="C269"/>
          <cell r="D269"/>
        </row>
        <row r="270">
          <cell r="A270" t="str">
            <v>PNDCD</v>
          </cell>
          <cell r="B270" t="str">
            <v>PNDCDUSM</v>
          </cell>
          <cell r="C270" t="str">
            <v>ON Tier 1 - Tasa Fija USD Ley Extranjera ON</v>
          </cell>
          <cell r="D270">
            <v>106.70030196607399</v>
          </cell>
          <cell r="E270">
            <v>0.42964760000000002</v>
          </cell>
          <cell r="F270">
            <v>0.42955099000000002</v>
          </cell>
          <cell r="G270">
            <v>0.42944506999999998</v>
          </cell>
          <cell r="H270">
            <v>0.42977176</v>
          </cell>
          <cell r="I270">
            <v>0.42986607999999998</v>
          </cell>
          <cell r="J270">
            <v>0.43164466000000001</v>
          </cell>
          <cell r="K270">
            <v>0.43129435999999999</v>
          </cell>
          <cell r="L270">
            <v>0.43036713999999998</v>
          </cell>
          <cell r="M270">
            <v>0.42979382999999999</v>
          </cell>
          <cell r="N270">
            <v>0.42997526000000003</v>
          </cell>
          <cell r="O270">
            <v>0.42985665000000001</v>
          </cell>
          <cell r="P270">
            <v>0.42974268999999998</v>
          </cell>
          <cell r="Q270">
            <v>0.42978403999999998</v>
          </cell>
          <cell r="R270">
            <v>0.42984159</v>
          </cell>
          <cell r="S270">
            <v>0.42999066000000002</v>
          </cell>
          <cell r="T270">
            <v>0.42997922999999999</v>
          </cell>
          <cell r="U270">
            <v>0.43083382999999997</v>
          </cell>
          <cell r="V270">
            <v>0.4306316</v>
          </cell>
          <cell r="W270">
            <v>0.43005014000000003</v>
          </cell>
          <cell r="X270">
            <v>0.43100965000000002</v>
          </cell>
          <cell r="Y270">
            <v>0.43097548000000002</v>
          </cell>
          <cell r="Z270">
            <v>0.43102129</v>
          </cell>
          <cell r="AA270">
            <v>0.43057962</v>
          </cell>
          <cell r="AB270">
            <v>0.43079339999999999</v>
          </cell>
          <cell r="AC270">
            <v>0.43039648000000003</v>
          </cell>
          <cell r="AD270">
            <v>0.43064734999999998</v>
          </cell>
          <cell r="AE270">
            <v>0.43072081000000001</v>
          </cell>
          <cell r="AF270">
            <v>0.43113478999999999</v>
          </cell>
          <cell r="AG270">
            <v>0.43099886999999998</v>
          </cell>
          <cell r="AH270">
            <v>0.43084436999999998</v>
          </cell>
        </row>
        <row r="271">
          <cell r="A271" t="str">
            <v>YCAMD</v>
          </cell>
          <cell r="B271" t="str">
            <v>YCAMDUSM</v>
          </cell>
          <cell r="C271" t="str">
            <v>ON Tier 1 - Tasa Fija USD Ley Extranjera ON</v>
          </cell>
          <cell r="D271">
            <v>275.153960535811</v>
          </cell>
          <cell r="E271">
            <v>1.0680638899999999</v>
          </cell>
          <cell r="F271">
            <v>1.06770517</v>
          </cell>
          <cell r="G271">
            <v>1.0673071000000001</v>
          </cell>
          <cell r="H271">
            <v>1.0692337300000001</v>
          </cell>
          <cell r="I271">
            <v>1.06980919</v>
          </cell>
          <cell r="J271">
            <v>1.07680832</v>
          </cell>
          <cell r="K271">
            <v>1.0749931100000001</v>
          </cell>
          <cell r="L271">
            <v>1.07117584</v>
          </cell>
          <cell r="M271">
            <v>1.07003644</v>
          </cell>
          <cell r="N271">
            <v>1.07110562</v>
          </cell>
          <cell r="O271">
            <v>1.0705434199999999</v>
          </cell>
          <cell r="P271">
            <v>1.0701190199999999</v>
          </cell>
          <cell r="Q271">
            <v>1.0704537599999999</v>
          </cell>
          <cell r="R271">
            <v>1.0699843899999999</v>
          </cell>
          <cell r="S271">
            <v>1.07207685</v>
          </cell>
          <cell r="T271">
            <v>1.07217104</v>
          </cell>
          <cell r="U271">
            <v>1.0751048299999999</v>
          </cell>
          <cell r="V271">
            <v>1.0746599400000001</v>
          </cell>
          <cell r="W271">
            <v>1.07209891</v>
          </cell>
          <cell r="X271">
            <v>1.0769239399999999</v>
          </cell>
          <cell r="Y271">
            <v>1.0768923500000001</v>
          </cell>
          <cell r="Z271">
            <v>1.07729162</v>
          </cell>
          <cell r="AA271">
            <v>1.07503807</v>
          </cell>
          <cell r="AB271">
            <v>1.0768749500000001</v>
          </cell>
          <cell r="AC271">
            <v>1.0748651499999999</v>
          </cell>
          <cell r="AD271">
            <v>1.0765618100000001</v>
          </cell>
          <cell r="AE271">
            <v>1.0771994899999999</v>
          </cell>
          <cell r="AF271">
            <v>1.0797998099999999</v>
          </cell>
          <cell r="AG271">
            <v>1.08003118</v>
          </cell>
          <cell r="AH271">
            <v>1.0793749699999999</v>
          </cell>
        </row>
        <row r="272">
          <cell r="A272" t="str">
            <v>YMCID</v>
          </cell>
          <cell r="B272" t="str">
            <v>YMCICUSC</v>
          </cell>
          <cell r="C272" t="str">
            <v>ON Tier 1 - Tasa Fija USD Ley Extranjera ON</v>
          </cell>
          <cell r="D272">
            <v>506.83401976472334</v>
          </cell>
          <cell r="E272">
            <v>0.93577231999999999</v>
          </cell>
          <cell r="F272">
            <v>0.93629996000000004</v>
          </cell>
          <cell r="G272">
            <v>0.93273877999999999</v>
          </cell>
          <cell r="H272">
            <v>0.94845822999999996</v>
          </cell>
          <cell r="I272">
            <v>0.94908947729574999</v>
          </cell>
          <cell r="J272">
            <v>0.95239690925346998</v>
          </cell>
          <cell r="K272">
            <v>0.94984198361881</v>
          </cell>
          <cell r="L272">
            <v>0.94400591</v>
          </cell>
          <cell r="M272">
            <v>0.94089518000000005</v>
          </cell>
          <cell r="N272">
            <v>0.93298276999999996</v>
          </cell>
          <cell r="O272">
            <v>0.93698828999999995</v>
          </cell>
          <cell r="P272">
            <v>0.93900304999999995</v>
          </cell>
          <cell r="Q272">
            <v>0.94894875999999995</v>
          </cell>
          <cell r="R272">
            <v>0.93600019999999995</v>
          </cell>
          <cell r="S272">
            <v>0.95071729000000005</v>
          </cell>
          <cell r="T272">
            <v>0.94230941999999995</v>
          </cell>
          <cell r="U272">
            <v>0.93807454999999995</v>
          </cell>
          <cell r="V272">
            <v>0.95026224000000004</v>
          </cell>
          <cell r="W272">
            <v>0.94748750999999998</v>
          </cell>
          <cell r="X272">
            <v>0.95076555387632</v>
          </cell>
          <cell r="Y272">
            <v>0.95046120852140004</v>
          </cell>
          <cell r="Z272">
            <v>0.95060214553938005</v>
          </cell>
          <cell r="AA272">
            <v>0.94788333999999996</v>
          </cell>
          <cell r="AB272">
            <v>0.94382655999999998</v>
          </cell>
          <cell r="AC272">
            <v>0.94779880000000005</v>
          </cell>
          <cell r="AD272">
            <v>0.93765714</v>
          </cell>
          <cell r="AE272">
            <v>0.94502184</v>
          </cell>
          <cell r="AF272">
            <v>0.95358843000000004</v>
          </cell>
          <cell r="AG272">
            <v>0.95394294000000002</v>
          </cell>
          <cell r="AH272">
            <v>0.95326432000000005</v>
          </cell>
        </row>
        <row r="273">
          <cell r="A273" t="str">
            <v>AER4D</v>
          </cell>
          <cell r="B273" t="str">
            <v>AER4DUSM</v>
          </cell>
          <cell r="C273" t="str">
            <v>ON Tier 1 - Tasa Fija USD Ley Extranjera ON</v>
          </cell>
          <cell r="D273">
            <v>504.79537856245827</v>
          </cell>
          <cell r="E273">
            <v>0.76436572999999997</v>
          </cell>
          <cell r="F273">
            <v>0.7640344</v>
          </cell>
          <cell r="G273">
            <v>0.76366469999999997</v>
          </cell>
          <cell r="H273">
            <v>0.76543055000000004</v>
          </cell>
          <cell r="I273">
            <v>0.76595654999999996</v>
          </cell>
          <cell r="J273">
            <v>0.76870318999999998</v>
          </cell>
          <cell r="K273">
            <v>0.76657744000000005</v>
          </cell>
          <cell r="L273">
            <v>0.76442407000000001</v>
          </cell>
          <cell r="M273">
            <v>0.76574028999999999</v>
          </cell>
          <cell r="N273">
            <v>0.76673298000000001</v>
          </cell>
          <cell r="O273">
            <v>0.76600531999999999</v>
          </cell>
          <cell r="P273">
            <v>0.76565786000000002</v>
          </cell>
          <cell r="Q273">
            <v>0.76593348999999999</v>
          </cell>
          <cell r="R273">
            <v>0.76316342000000004</v>
          </cell>
          <cell r="S273">
            <v>0.76742220999999999</v>
          </cell>
          <cell r="T273">
            <v>0.76753137000000005</v>
          </cell>
          <cell r="U273">
            <v>0.7665942</v>
          </cell>
          <cell r="V273">
            <v>0.76706180999999996</v>
          </cell>
          <cell r="W273">
            <v>0.76476047000000003</v>
          </cell>
          <cell r="X273">
            <v>0.76761495999999996</v>
          </cell>
          <cell r="Y273">
            <v>0.76739082000000003</v>
          </cell>
          <cell r="Z273">
            <v>0.76753970000000005</v>
          </cell>
          <cell r="AA273">
            <v>0.76529959000000003</v>
          </cell>
          <cell r="AB273">
            <v>0.76705151999999999</v>
          </cell>
          <cell r="AC273">
            <v>0.76524217999999999</v>
          </cell>
          <cell r="AD273">
            <v>0.76705263000000001</v>
          </cell>
          <cell r="AE273">
            <v>0.76763658999999995</v>
          </cell>
          <cell r="AF273">
            <v>0.77007181000000002</v>
          </cell>
          <cell r="AG273">
            <v>0.77038994000000005</v>
          </cell>
          <cell r="AH273">
            <v>0.76981931000000003</v>
          </cell>
        </row>
        <row r="274">
          <cell r="A274" t="str">
            <v>YMCUD</v>
          </cell>
          <cell r="B274" t="str">
            <v>YMCUDUSM</v>
          </cell>
          <cell r="C274" t="str">
            <v>ON Tier 1 - Tasa Fija USD Ley Extranjera ON</v>
          </cell>
          <cell r="D274">
            <v>752.02903379793634</v>
          </cell>
          <cell r="E274">
            <v>1.00940707</v>
          </cell>
          <cell r="F274">
            <v>1.0089199099999999</v>
          </cell>
          <cell r="G274">
            <v>1.00832762</v>
          </cell>
          <cell r="H274">
            <v>1.0108276700000001</v>
          </cell>
          <cell r="I274">
            <v>1.0115941900000001</v>
          </cell>
          <cell r="J274">
            <v>1.01298322</v>
          </cell>
          <cell r="K274">
            <v>1.00962638</v>
          </cell>
          <cell r="L274">
            <v>1.00775876</v>
          </cell>
          <cell r="M274">
            <v>1.0105516299999999</v>
          </cell>
          <cell r="N274">
            <v>1.0118666999999999</v>
          </cell>
          <cell r="O274">
            <v>1.0105933300000001</v>
          </cell>
          <cell r="P274">
            <v>1.0100896399999999</v>
          </cell>
          <cell r="Q274">
            <v>1.0104086299999999</v>
          </cell>
          <cell r="R274">
            <v>1.00512658</v>
          </cell>
          <cell r="S274">
            <v>1.01248238</v>
          </cell>
          <cell r="T274">
            <v>1.0126528699999999</v>
          </cell>
          <cell r="U274">
            <v>1.00894846</v>
          </cell>
          <cell r="V274">
            <v>1.0099802899999999</v>
          </cell>
          <cell r="W274">
            <v>1.00668643</v>
          </cell>
          <cell r="X274">
            <v>1.0085223999999999</v>
          </cell>
          <cell r="Y274">
            <v>1.0078062400000001</v>
          </cell>
          <cell r="Z274">
            <v>1.00759368</v>
          </cell>
          <cell r="AA274">
            <v>1.00402499</v>
          </cell>
          <cell r="AB274">
            <v>1.00648195</v>
          </cell>
          <cell r="AC274">
            <v>1.00401118</v>
          </cell>
          <cell r="AD274">
            <v>1.00696154</v>
          </cell>
          <cell r="AE274">
            <v>1.00774491</v>
          </cell>
          <cell r="AF274">
            <v>1.01126267</v>
          </cell>
          <cell r="AG274">
            <v>1.0117200399999999</v>
          </cell>
          <cell r="AH274">
            <v>1.01100031</v>
          </cell>
        </row>
        <row r="275">
          <cell r="A275" t="str">
            <v>BYCHD</v>
          </cell>
          <cell r="B275" t="str">
            <v>BYCHDUSM</v>
          </cell>
          <cell r="C275" t="str">
            <v>ON Tier 1 - Tasa Fija USD Ley Extranjera ON</v>
          </cell>
          <cell r="D275">
            <v>689.90341781318148</v>
          </cell>
          <cell r="E275">
            <v>1.11388192753582</v>
          </cell>
          <cell r="F275">
            <v>1.1133115</v>
          </cell>
          <cell r="G275">
            <v>1.11267256</v>
          </cell>
          <cell r="H275">
            <v>1.11580667</v>
          </cell>
          <cell r="I275">
            <v>1.1167415199999999</v>
          </cell>
          <cell r="J275">
            <v>1.1194077499999999</v>
          </cell>
          <cell r="K275">
            <v>1.11541917</v>
          </cell>
          <cell r="L275">
            <v>1.10817605</v>
          </cell>
          <cell r="M275">
            <v>1.1022815399999999</v>
          </cell>
          <cell r="N275">
            <v>1.1179593699999999</v>
          </cell>
          <cell r="O275">
            <v>1.1165695600000001</v>
          </cell>
          <cell r="P275">
            <v>1.11599626</v>
          </cell>
          <cell r="Q275">
            <v>1.1164769800000001</v>
          </cell>
          <cell r="R275">
            <v>1.1102836300000001</v>
          </cell>
          <cell r="S275">
            <v>1.1191559799999999</v>
          </cell>
          <cell r="T275">
            <v>1.1094999999999999</v>
          </cell>
          <cell r="U275">
            <v>1.095</v>
          </cell>
          <cell r="V275">
            <v>1.1169991800000001</v>
          </cell>
          <cell r="W275">
            <v>1.1130164499999999</v>
          </cell>
          <cell r="X275">
            <v>1.11718366</v>
          </cell>
          <cell r="Y275">
            <v>1.11669716</v>
          </cell>
          <cell r="Z275">
            <v>1.1168575599999999</v>
          </cell>
          <cell r="AA275">
            <v>1.1128201900000001</v>
          </cell>
          <cell r="AB275">
            <v>1.1160159300000001</v>
          </cell>
          <cell r="AC275">
            <v>1.1128526999999999</v>
          </cell>
          <cell r="AD275">
            <v>1.1162198999999999</v>
          </cell>
          <cell r="AE275">
            <v>1.1172740000000001</v>
          </cell>
          <cell r="AF275">
            <v>1.1001094600000001</v>
          </cell>
          <cell r="AG275">
            <v>1.08359951</v>
          </cell>
          <cell r="AH275">
            <v>1.0826337399999999</v>
          </cell>
        </row>
        <row r="276">
          <cell r="A276" t="str">
            <v>YMC1D</v>
          </cell>
          <cell r="B276" t="str">
            <v>YMC1CUSC</v>
          </cell>
          <cell r="C276" t="str">
            <v>ON Tier 1 - Tasa Fija USD Ley Extranjera ON</v>
          </cell>
          <cell r="D276">
            <v>887.9713754896793</v>
          </cell>
          <cell r="E276">
            <v>1.1144183299999999</v>
          </cell>
          <cell r="F276">
            <v>1.1137876600000001</v>
          </cell>
          <cell r="G276">
            <v>1.11304387</v>
          </cell>
          <cell r="H276">
            <v>1.1163550099999999</v>
          </cell>
          <cell r="I276">
            <v>1.11735739</v>
          </cell>
          <cell r="J276">
            <v>1.1168173800000001</v>
          </cell>
          <cell r="K276">
            <v>1.11211755</v>
          </cell>
          <cell r="L276">
            <v>1.1103829700000001</v>
          </cell>
          <cell r="M276">
            <v>1.1159815099999999</v>
          </cell>
          <cell r="N276">
            <v>1.1177847700000001</v>
          </cell>
          <cell r="O276">
            <v>1.11602599</v>
          </cell>
          <cell r="P276">
            <v>1.11541497</v>
          </cell>
          <cell r="Q276">
            <v>1.1158484399999999</v>
          </cell>
          <cell r="R276">
            <v>1.1072602</v>
          </cell>
          <cell r="S276">
            <v>1.11862712</v>
          </cell>
          <cell r="T276">
            <v>1.1188721500000001</v>
          </cell>
          <cell r="U276">
            <v>1.1116136999999999</v>
          </cell>
          <cell r="V276">
            <v>1.1136652</v>
          </cell>
          <cell r="W276">
            <v>1.1094005300000001</v>
          </cell>
          <cell r="X276">
            <v>1.1114535400000001</v>
          </cell>
          <cell r="Y276">
            <v>1.1105352900000001</v>
          </cell>
          <cell r="Z276">
            <v>1.11027331</v>
          </cell>
          <cell r="AA276">
            <v>1.1056076100000001</v>
          </cell>
          <cell r="AB276">
            <v>1.1089559099999999</v>
          </cell>
          <cell r="AC276">
            <v>1.1056827600000001</v>
          </cell>
          <cell r="AD276">
            <v>1.10963429</v>
          </cell>
          <cell r="AE276">
            <v>1.1106999399999999</v>
          </cell>
          <cell r="AF276">
            <v>1.11537017</v>
          </cell>
          <cell r="AG276">
            <v>1.1161095299999999</v>
          </cell>
          <cell r="AH276">
            <v>1.1151493100000001</v>
          </cell>
        </row>
        <row r="277">
          <cell r="A277" t="str">
            <v>ARC1D</v>
          </cell>
          <cell r="B277" t="str">
            <v>ARC1DUSM</v>
          </cell>
          <cell r="C277" t="str">
            <v>ON Tier 1 - Tasa Fija USD Ley Extranjera ON</v>
          </cell>
          <cell r="D277">
            <v>910.71439675336171</v>
          </cell>
          <cell r="E277">
            <v>1.0737297800000001</v>
          </cell>
          <cell r="F277">
            <v>1.0731748400000001</v>
          </cell>
          <cell r="G277">
            <v>1.0724689000000001</v>
          </cell>
          <cell r="H277">
            <v>1.0752727900000001</v>
          </cell>
          <cell r="I277">
            <v>1.0761472299999999</v>
          </cell>
          <cell r="J277">
            <v>1.0762029099999999</v>
          </cell>
          <cell r="K277">
            <v>1.07223606</v>
          </cell>
          <cell r="L277">
            <v>1.0708727499999999</v>
          </cell>
          <cell r="M277">
            <v>1.07452612</v>
          </cell>
          <cell r="N277">
            <v>1.0759411800000001</v>
          </cell>
          <cell r="O277">
            <v>1.07436639</v>
          </cell>
          <cell r="P277">
            <v>1.0737951999999999</v>
          </cell>
          <cell r="Q277">
            <v>1.0649847699999999</v>
          </cell>
          <cell r="R277">
            <v>1.06200451</v>
          </cell>
          <cell r="S277">
            <v>1.07641925</v>
          </cell>
          <cell r="T277">
            <v>1.07662222</v>
          </cell>
          <cell r="U277">
            <v>1.07106133</v>
          </cell>
          <cell r="V277">
            <v>1.07242846</v>
          </cell>
          <cell r="W277">
            <v>1.0687200100000001</v>
          </cell>
          <cell r="X277">
            <v>1.06940133</v>
          </cell>
          <cell r="Y277">
            <v>1.0683489900000001</v>
          </cell>
          <cell r="Z277">
            <v>1.0678463499999999</v>
          </cell>
          <cell r="AA277">
            <v>1.06359541</v>
          </cell>
          <cell r="AB277">
            <v>1.0663430899999999</v>
          </cell>
          <cell r="AC277">
            <v>1.0636326700000001</v>
          </cell>
          <cell r="AD277">
            <v>1.0671877700000001</v>
          </cell>
          <cell r="AE277">
            <v>1.0680417799999999</v>
          </cell>
          <cell r="AF277">
            <v>1.0720358400000001</v>
          </cell>
          <cell r="AG277">
            <v>1.07256431</v>
          </cell>
          <cell r="AH277">
            <v>1.0718163199999999</v>
          </cell>
        </row>
        <row r="278">
          <cell r="A278" t="str">
            <v>TTCDD</v>
          </cell>
          <cell r="B278" t="str">
            <v>TTCDDUSM</v>
          </cell>
          <cell r="C278" t="str">
            <v>ON Tier 1 - Tasa Fija USD Ley Extranjera ON</v>
          </cell>
          <cell r="D278">
            <v>1266.5211350066761</v>
          </cell>
          <cell r="E278">
            <v>1.09051977</v>
          </cell>
          <cell r="F278">
            <v>1.0874999999999999</v>
          </cell>
          <cell r="G278">
            <v>1.08590557</v>
          </cell>
          <cell r="H278">
            <v>1.0863273099999999</v>
          </cell>
          <cell r="I278">
            <v>1.08952888</v>
          </cell>
          <cell r="J278">
            <v>1.09007937</v>
          </cell>
          <cell r="K278">
            <v>1.0880116900000001</v>
          </cell>
          <cell r="L278">
            <v>1.08142374</v>
          </cell>
          <cell r="M278">
            <v>1.0873123200000001</v>
          </cell>
          <cell r="N278">
            <v>1.08790532</v>
          </cell>
          <cell r="O278">
            <v>1.08850537</v>
          </cell>
          <cell r="P278">
            <v>1.0880395</v>
          </cell>
          <cell r="Q278">
            <v>1.0853874800000001</v>
          </cell>
          <cell r="R278">
            <v>1.088784</v>
          </cell>
          <cell r="S278">
            <v>1.0878020399999999</v>
          </cell>
          <cell r="T278">
            <v>1.0870814099999999</v>
          </cell>
          <cell r="U278">
            <v>1.0854841099999999</v>
          </cell>
          <cell r="V278">
            <v>1.08048429</v>
          </cell>
          <cell r="W278">
            <v>1.08502805</v>
          </cell>
          <cell r="X278">
            <v>1.0829823300000001</v>
          </cell>
          <cell r="Y278">
            <v>1.0709421699999999</v>
          </cell>
          <cell r="Z278">
            <v>1.07783742</v>
          </cell>
          <cell r="AA278">
            <v>1.07980225</v>
          </cell>
          <cell r="AB278">
            <v>1.07908044</v>
          </cell>
          <cell r="AC278">
            <v>1.0804749199999999</v>
          </cell>
          <cell r="AD278">
            <v>1.0877171800000001</v>
          </cell>
          <cell r="AE278">
            <v>1.08719162</v>
          </cell>
          <cell r="AF278">
            <v>1.08600257</v>
          </cell>
          <cell r="AG278">
            <v>1.0859527499999999</v>
          </cell>
          <cell r="AH278">
            <v>1.0885</v>
          </cell>
        </row>
        <row r="279">
          <cell r="A279" t="str">
            <v>YMCXD</v>
          </cell>
          <cell r="B279" t="str">
            <v>YMCXDUSM</v>
          </cell>
          <cell r="C279" t="str">
            <v>ON Tier 1 - Tasa Fija USD Ley Extranjera ON</v>
          </cell>
          <cell r="D279">
            <v>1343.1017016015519</v>
          </cell>
          <cell r="E279">
            <v>1.1389023300000001</v>
          </cell>
          <cell r="F279">
            <v>1.1384619600000001</v>
          </cell>
          <cell r="G279">
            <v>1.1395071800000001</v>
          </cell>
          <cell r="H279">
            <v>1.1418748000000001</v>
          </cell>
          <cell r="I279">
            <v>1.1439776100000001</v>
          </cell>
          <cell r="J279">
            <v>1.1380075599999999</v>
          </cell>
          <cell r="K279">
            <v>1.1345655100000001</v>
          </cell>
          <cell r="L279">
            <v>1.08863464</v>
          </cell>
          <cell r="M279">
            <v>1.09151522</v>
          </cell>
          <cell r="N279">
            <v>1.09100233</v>
          </cell>
          <cell r="O279">
            <v>1.0890346200000001</v>
          </cell>
          <cell r="P279">
            <v>1.08961178</v>
          </cell>
          <cell r="Q279">
            <v>1.0925299900000001</v>
          </cell>
          <cell r="R279">
            <v>1.09141942</v>
          </cell>
          <cell r="S279">
            <v>1.08853402</v>
          </cell>
          <cell r="T279">
            <v>1.0854868</v>
          </cell>
          <cell r="U279">
            <v>1.0884840200000001</v>
          </cell>
          <cell r="V279">
            <v>1.0837968200000001</v>
          </cell>
          <cell r="W279">
            <v>1.0878704100000001</v>
          </cell>
          <cell r="X279">
            <v>1.0760116799999999</v>
          </cell>
          <cell r="Y279">
            <v>1.07334163</v>
          </cell>
          <cell r="Z279">
            <v>1.0715165900000001</v>
          </cell>
          <cell r="AA279">
            <v>1.0848704899999999</v>
          </cell>
          <cell r="AB279">
            <v>1.0829392499999999</v>
          </cell>
          <cell r="AC279">
            <v>1.0803037799999999</v>
          </cell>
          <cell r="AD279">
            <v>1.0825350199999999</v>
          </cell>
          <cell r="AE279">
            <v>1.0800758399999999</v>
          </cell>
          <cell r="AF279">
            <v>1.08540773</v>
          </cell>
          <cell r="AG279">
            <v>1.0864257100000001</v>
          </cell>
          <cell r="AH279">
            <v>1.0868810600000001</v>
          </cell>
        </row>
        <row r="280">
          <cell r="A280" t="str">
            <v>PNXCD</v>
          </cell>
          <cell r="B280" t="str">
            <v>PNXCDUSM</v>
          </cell>
          <cell r="C280" t="str">
            <v>ON Tier 1 - Tasa Fija USD Ley Extranjera ON</v>
          </cell>
          <cell r="D280">
            <v>1368.0142268074137</v>
          </cell>
          <cell r="E280">
            <v>1.1235187099999999</v>
          </cell>
          <cell r="F280">
            <v>1.14196633</v>
          </cell>
          <cell r="G280">
            <v>1.139</v>
          </cell>
          <cell r="H280">
            <v>1.1248763900000001</v>
          </cell>
          <cell r="I280">
            <v>1.12587086</v>
          </cell>
          <cell r="J280">
            <v>1.1228179184315501</v>
          </cell>
          <cell r="K280">
            <v>1.1181798700000001</v>
          </cell>
          <cell r="L280">
            <v>1.11882294</v>
          </cell>
          <cell r="M280">
            <v>1.1223540400000001</v>
          </cell>
          <cell r="N280">
            <v>1.1235135599999999</v>
          </cell>
          <cell r="O280">
            <v>1.1213669100000001</v>
          </cell>
          <cell r="P280">
            <v>1.12067842</v>
          </cell>
          <cell r="Q280">
            <v>1.1208192800000001</v>
          </cell>
          <cell r="R280">
            <v>1.11265375</v>
          </cell>
          <cell r="S280">
            <v>1.12315166436458</v>
          </cell>
          <cell r="T280">
            <v>1.1233934445838101</v>
          </cell>
          <cell r="U280">
            <v>1.1148497399999999</v>
          </cell>
          <cell r="V280">
            <v>1.147</v>
          </cell>
          <cell r="W280">
            <v>1.1122257099999999</v>
          </cell>
          <cell r="X280">
            <v>1.1077978399999999</v>
          </cell>
          <cell r="Y280">
            <v>1.1339999999999999</v>
          </cell>
          <cell r="Z280">
            <v>1.10402651</v>
          </cell>
          <cell r="AA280">
            <v>1.13060614</v>
          </cell>
          <cell r="AB280">
            <v>1.1012413000000001</v>
          </cell>
          <cell r="AC280">
            <v>1.0986557100000001</v>
          </cell>
          <cell r="AD280">
            <v>1.1033381799999999</v>
          </cell>
          <cell r="AE280">
            <v>1.10410605</v>
          </cell>
          <cell r="AF280">
            <v>1.1084886300000001</v>
          </cell>
          <cell r="AG280">
            <v>1.1089723300000001</v>
          </cell>
          <cell r="AH280">
            <v>1.1084459099999999</v>
          </cell>
        </row>
        <row r="281">
          <cell r="A281" t="str">
            <v>PLC5D</v>
          </cell>
          <cell r="B281" t="str">
            <v>PLC5DUSM</v>
          </cell>
          <cell r="C281" t="str">
            <v>ON Tier 1 - Tasa Fija USD Ley Extranjera ON</v>
          </cell>
          <cell r="D281">
            <v>1398.9278989118359</v>
          </cell>
          <cell r="E281">
            <v>1.1018783700000001</v>
          </cell>
          <cell r="F281">
            <v>1.1012527299999999</v>
          </cell>
          <cell r="G281">
            <v>1.10030177</v>
          </cell>
          <cell r="H281">
            <v>1.1032066899999999</v>
          </cell>
          <cell r="I281">
            <v>1.10418957</v>
          </cell>
          <cell r="J281">
            <v>1.09943474</v>
          </cell>
          <cell r="K281">
            <v>1.09584617</v>
          </cell>
          <cell r="L281">
            <v>1.0988940599999999</v>
          </cell>
          <cell r="M281">
            <v>1.0951454199999999</v>
          </cell>
          <cell r="N281">
            <v>1.09501922</v>
          </cell>
          <cell r="O281">
            <v>1.09300676</v>
          </cell>
          <cell r="P281">
            <v>1.0989515400000001</v>
          </cell>
          <cell r="Q281">
            <v>1.09398321</v>
          </cell>
          <cell r="R281">
            <v>1.1009927799999999</v>
          </cell>
          <cell r="S281">
            <v>1.09605259</v>
          </cell>
          <cell r="T281">
            <v>1.1015609399999999</v>
          </cell>
          <cell r="U281">
            <v>1.0939325099999999</v>
          </cell>
          <cell r="V281">
            <v>1.09400736</v>
          </cell>
          <cell r="W281">
            <v>1.0933740599999999</v>
          </cell>
          <cell r="X281">
            <v>1.08529975696394</v>
          </cell>
          <cell r="Y281">
            <v>1.08312418</v>
          </cell>
          <cell r="Z281">
            <v>1.0814662900000001</v>
          </cell>
          <cell r="AA281">
            <v>1.0818354400000001</v>
          </cell>
          <cell r="AB281">
            <v>1.08195051</v>
          </cell>
          <cell r="AC281">
            <v>1.0830703100000001</v>
          </cell>
          <cell r="AD281">
            <v>1.0842600099999999</v>
          </cell>
          <cell r="AE281">
            <v>1.08153996</v>
          </cell>
          <cell r="AF281">
            <v>1.08424305</v>
          </cell>
          <cell r="AG281">
            <v>1.0860360600000001</v>
          </cell>
          <cell r="AH281">
            <v>1.09001697</v>
          </cell>
        </row>
        <row r="282">
          <cell r="A282" t="str">
            <v>TSC3D</v>
          </cell>
          <cell r="B282" t="str">
            <v>TSC3CUSC</v>
          </cell>
          <cell r="C282" t="str">
            <v>ON Tier 1 - Tasa Fija USD Ley Extranjera ON</v>
          </cell>
          <cell r="D282">
            <v>1456.0599656829027</v>
          </cell>
          <cell r="E282">
            <v>1.1027464681806201</v>
          </cell>
          <cell r="F282">
            <v>1.10212117</v>
          </cell>
          <cell r="G282">
            <v>1.10114307</v>
          </cell>
          <cell r="H282">
            <v>1.1040371099999999</v>
          </cell>
          <cell r="I282">
            <v>1.1121475000000001</v>
          </cell>
          <cell r="J282">
            <v>1.1114999999999999</v>
          </cell>
          <cell r="K282">
            <v>1.113</v>
          </cell>
          <cell r="L282">
            <v>1.1098654299999999</v>
          </cell>
          <cell r="M282">
            <v>1.1012396499999999</v>
          </cell>
          <cell r="N282">
            <v>1.10232091</v>
          </cell>
          <cell r="O282">
            <v>1.1080028099999999</v>
          </cell>
          <cell r="P282">
            <v>1.1062026700000001</v>
          </cell>
          <cell r="Q282">
            <v>1.10988989</v>
          </cell>
          <cell r="R282">
            <v>1.1077504899999999</v>
          </cell>
          <cell r="S282">
            <v>1.1065</v>
          </cell>
          <cell r="T282">
            <v>1.10205438</v>
          </cell>
          <cell r="U282">
            <v>1.0931841600000001</v>
          </cell>
          <cell r="V282">
            <v>1.09456803</v>
          </cell>
          <cell r="W282">
            <v>1.0905</v>
          </cell>
          <cell r="X282">
            <v>1.08527174</v>
          </cell>
          <cell r="Y282">
            <v>1.1000000000000001</v>
          </cell>
          <cell r="Z282">
            <v>1.089</v>
          </cell>
          <cell r="AA282">
            <v>1.0945</v>
          </cell>
          <cell r="AB282">
            <v>1.07820738</v>
          </cell>
          <cell r="AC282">
            <v>1.07571146</v>
          </cell>
          <cell r="AD282">
            <v>1.0804950799999999</v>
          </cell>
          <cell r="AE282">
            <v>1.0812279600000001</v>
          </cell>
          <cell r="AF282">
            <v>1.1085</v>
          </cell>
          <cell r="AG282">
            <v>1.0860431399999999</v>
          </cell>
          <cell r="AH282">
            <v>1.085574</v>
          </cell>
        </row>
        <row r="283">
          <cell r="A283" t="str">
            <v>YFCJD</v>
          </cell>
          <cell r="B283" t="str">
            <v>YFCJDUSM</v>
          </cell>
          <cell r="C283" t="str">
            <v>ON Tier 1 - Tasa Fija USD Ley Extranjera ON</v>
          </cell>
          <cell r="D283">
            <v>1495.2577310741017</v>
          </cell>
          <cell r="E283">
            <v>1.10004871</v>
          </cell>
          <cell r="F283">
            <v>1.09549125</v>
          </cell>
          <cell r="G283">
            <v>1.0945058999999999</v>
          </cell>
          <cell r="H283">
            <v>1.09723298</v>
          </cell>
          <cell r="I283">
            <v>1.09819701</v>
          </cell>
          <cell r="J283">
            <v>1.0954013199999999</v>
          </cell>
          <cell r="K283">
            <v>1.0910766199999999</v>
          </cell>
          <cell r="L283">
            <v>1.09811119</v>
          </cell>
          <cell r="M283">
            <v>1.0942266199999999</v>
          </cell>
          <cell r="N283">
            <v>1.0951313300000001</v>
          </cell>
          <cell r="O283">
            <v>1.091</v>
          </cell>
          <cell r="P283">
            <v>1.09229423</v>
          </cell>
          <cell r="Q283">
            <v>1.0880000000000001</v>
          </cell>
          <cell r="R283">
            <v>1.0852704500000001</v>
          </cell>
          <cell r="S283">
            <v>1.0845</v>
          </cell>
          <cell r="T283">
            <v>1.0900139200000001</v>
          </cell>
          <cell r="U283">
            <v>1.0870407</v>
          </cell>
          <cell r="V283">
            <v>1.0879610500000001</v>
          </cell>
          <cell r="W283">
            <v>1.0841348399999999</v>
          </cell>
          <cell r="X283">
            <v>1.08</v>
          </cell>
          <cell r="Y283">
            <v>1.07567824</v>
          </cell>
          <cell r="Z283">
            <v>1.066057</v>
          </cell>
          <cell r="AA283">
            <v>1.07142794</v>
          </cell>
          <cell r="AB283">
            <v>1.07059989</v>
          </cell>
          <cell r="AC283">
            <v>1.06832141</v>
          </cell>
          <cell r="AD283">
            <v>1.07304556</v>
          </cell>
          <cell r="AE283">
            <v>1.0800075200000001</v>
          </cell>
          <cell r="AF283">
            <v>1.07785551</v>
          </cell>
          <cell r="AG283">
            <v>1.08000217</v>
          </cell>
          <cell r="AH283">
            <v>1.08450118</v>
          </cell>
        </row>
        <row r="284">
          <cell r="A284" t="str">
            <v>MGCMD</v>
          </cell>
          <cell r="B284" t="str">
            <v>MGCMDUSM</v>
          </cell>
          <cell r="C284" t="str">
            <v>ON Tier 1 - Tasa Fija USD Ley Extranjera ON</v>
          </cell>
          <cell r="D284">
            <v>1515.7724118423955</v>
          </cell>
          <cell r="E284">
            <v>1.1072363515719601</v>
          </cell>
          <cell r="F284">
            <v>1.1245000000000001</v>
          </cell>
          <cell r="G284">
            <v>1.10564719</v>
          </cell>
          <cell r="H284">
            <v>1.1084194700000001</v>
          </cell>
          <cell r="I284">
            <v>1.1093849499999999</v>
          </cell>
          <cell r="J284">
            <v>1.1059121036856401</v>
          </cell>
          <cell r="K284">
            <v>1.0616702039767201</v>
          </cell>
          <cell r="L284">
            <v>1.0628231830220001</v>
          </cell>
          <cell r="M284">
            <v>1.0657381963321599</v>
          </cell>
          <cell r="N284">
            <v>1.0667215613196701</v>
          </cell>
          <cell r="O284">
            <v>1.0820000000000001</v>
          </cell>
          <cell r="P284">
            <v>1.06386559</v>
          </cell>
          <cell r="Q284">
            <v>1.06394006</v>
          </cell>
          <cell r="R284">
            <v>1.0854999999999999</v>
          </cell>
          <cell r="S284">
            <v>1.0874999999999999</v>
          </cell>
          <cell r="T284">
            <v>1.08207144</v>
          </cell>
          <cell r="U284">
            <v>1.0800888399999999</v>
          </cell>
          <cell r="V284">
            <v>1.0843526999999999</v>
          </cell>
          <cell r="W284">
            <v>1.05519764</v>
          </cell>
          <cell r="X284">
            <v>1.0680000000000001</v>
          </cell>
          <cell r="Y284">
            <v>1.0589999999999999</v>
          </cell>
          <cell r="Z284">
            <v>1.05513035</v>
          </cell>
          <cell r="AA284">
            <v>1.0589999999999999</v>
          </cell>
          <cell r="AB284">
            <v>1.0650404600000001</v>
          </cell>
          <cell r="AC284">
            <v>1.03980527</v>
          </cell>
          <cell r="AD284">
            <v>1.0445403799999999</v>
          </cell>
          <cell r="AE284">
            <v>1.04522797</v>
          </cell>
          <cell r="AF284">
            <v>1.0725</v>
          </cell>
          <cell r="AG284">
            <v>1.0814249499999999</v>
          </cell>
          <cell r="AH284">
            <v>1.0917025899999999</v>
          </cell>
        </row>
        <row r="285">
          <cell r="A285" t="str">
            <v>TTCAD</v>
          </cell>
          <cell r="B285" t="str">
            <v>TTCADUSM</v>
          </cell>
          <cell r="C285" t="str">
            <v>ON Tier 1 - Tasa Fija USD Ley Extranjera ON</v>
          </cell>
          <cell r="D285">
            <v>1598.5649283447729</v>
          </cell>
          <cell r="E285">
            <v>1.0623571700000001</v>
          </cell>
          <cell r="F285">
            <v>1.0617798000000001</v>
          </cell>
          <cell r="G285">
            <v>1.0820000000000001</v>
          </cell>
          <cell r="H285">
            <v>1.08295074</v>
          </cell>
          <cell r="I285">
            <v>1.06435115</v>
          </cell>
          <cell r="J285">
            <v>1.06187315</v>
          </cell>
          <cell r="K285">
            <v>1.05774653</v>
          </cell>
          <cell r="L285">
            <v>1.05901819</v>
          </cell>
          <cell r="M285">
            <v>1.0601535200000001</v>
          </cell>
          <cell r="N285">
            <v>1.06091727</v>
          </cell>
          <cell r="O285">
            <v>1.0587893399999999</v>
          </cell>
          <cell r="P285">
            <v>1.0580881900000001</v>
          </cell>
          <cell r="Q285">
            <v>1.05809548</v>
          </cell>
          <cell r="R285">
            <v>1.05175861</v>
          </cell>
          <cell r="S285">
            <v>1.0601366299999999</v>
          </cell>
          <cell r="T285">
            <v>1.06036968</v>
          </cell>
          <cell r="U285">
            <v>1.0533717899999999</v>
          </cell>
          <cell r="V285">
            <v>1.05800293</v>
          </cell>
          <cell r="W285">
            <v>1.0309999999999999</v>
          </cell>
          <cell r="X285">
            <v>1.04339929</v>
          </cell>
          <cell r="Y285">
            <v>1.05</v>
          </cell>
          <cell r="Z285">
            <v>1.04</v>
          </cell>
          <cell r="AA285">
            <v>1.04852463</v>
          </cell>
          <cell r="AB285">
            <v>1.0496383199999999</v>
          </cell>
          <cell r="AC285">
            <v>1.0332718299999999</v>
          </cell>
          <cell r="AD285">
            <v>1.0449999999999999</v>
          </cell>
          <cell r="AE285">
            <v>1.0472302099999999</v>
          </cell>
          <cell r="AF285">
            <v>1.0500576500000001</v>
          </cell>
          <cell r="AG285">
            <v>1.04305099</v>
          </cell>
          <cell r="AH285">
            <v>1.04833964</v>
          </cell>
        </row>
        <row r="286">
          <cell r="A286" t="str">
            <v>PLC4D</v>
          </cell>
          <cell r="B286" t="str">
            <v>PLC4DUSM</v>
          </cell>
          <cell r="C286" t="str">
            <v>ON Tier 1 - Tasa Fija USD Ley Extranjera ON</v>
          </cell>
          <cell r="D286">
            <v>1642.0027293959483</v>
          </cell>
          <cell r="E286">
            <v>1.11000264</v>
          </cell>
          <cell r="F286">
            <v>1.1084938099999999</v>
          </cell>
          <cell r="G286">
            <v>1.1065</v>
          </cell>
          <cell r="H286">
            <v>1.1100095299999999</v>
          </cell>
          <cell r="I286">
            <v>1.10999089</v>
          </cell>
          <cell r="J286">
            <v>1.10791123</v>
          </cell>
          <cell r="K286">
            <v>1.1040084299999999</v>
          </cell>
          <cell r="L286">
            <v>1.103</v>
          </cell>
          <cell r="M286">
            <v>1.10471618</v>
          </cell>
          <cell r="N286">
            <v>1.09900486</v>
          </cell>
          <cell r="O286">
            <v>1.10141358</v>
          </cell>
          <cell r="P286">
            <v>1.1040373299999999</v>
          </cell>
          <cell r="Q286">
            <v>1.1044879400000001</v>
          </cell>
          <cell r="R286">
            <v>1.1045300899999999</v>
          </cell>
          <cell r="S286">
            <v>1.1050206</v>
          </cell>
          <cell r="T286">
            <v>1.1023961600000001</v>
          </cell>
          <cell r="U286">
            <v>1.0995640499999999</v>
          </cell>
          <cell r="V286">
            <v>1.09940156</v>
          </cell>
          <cell r="W286">
            <v>1.0950175</v>
          </cell>
          <cell r="X286">
            <v>1.0815915599999999</v>
          </cell>
          <cell r="Y286">
            <v>1.09703211</v>
          </cell>
          <cell r="Z286">
            <v>1.0845448900000001</v>
          </cell>
          <cell r="AA286">
            <v>1.0817199099999999</v>
          </cell>
          <cell r="AB286">
            <v>1.0909373499999999</v>
          </cell>
          <cell r="AC286">
            <v>1.0905</v>
          </cell>
          <cell r="AD286">
            <v>1.0909203300000001</v>
          </cell>
          <cell r="AE286">
            <v>1.0944942200000001</v>
          </cell>
          <cell r="AF286">
            <v>1.0971138899999999</v>
          </cell>
          <cell r="AG286">
            <v>1.09553441</v>
          </cell>
          <cell r="AH286">
            <v>1.10598888</v>
          </cell>
        </row>
        <row r="287">
          <cell r="A287" t="str">
            <v>VSCVD</v>
          </cell>
          <cell r="B287" t="str">
            <v>VSCVDUSM</v>
          </cell>
          <cell r="C287" t="str">
            <v>ON Tier 1 - Tasa Fija USD Ley Extranjera ON</v>
          </cell>
          <cell r="D287">
            <v>1650.0972169090073</v>
          </cell>
          <cell r="E287">
            <v>1.12500508</v>
          </cell>
          <cell r="F287">
            <v>1.1223391</v>
          </cell>
          <cell r="G287">
            <v>1.12053388</v>
          </cell>
          <cell r="H287">
            <v>1.12548728</v>
          </cell>
          <cell r="I287">
            <v>1.1245054400000001</v>
          </cell>
          <cell r="J287">
            <v>1.1256944600000001</v>
          </cell>
          <cell r="K287">
            <v>1.12488995</v>
          </cell>
          <cell r="L287">
            <v>1.12251367</v>
          </cell>
          <cell r="M287">
            <v>1.1219300999999999</v>
          </cell>
          <cell r="N287">
            <v>1.12543612</v>
          </cell>
          <cell r="O287">
            <v>1.1209041799999999</v>
          </cell>
          <cell r="P287">
            <v>1.1224756300000001</v>
          </cell>
          <cell r="Q287">
            <v>1.1216989799999999</v>
          </cell>
          <cell r="R287">
            <v>1.1215769900000001</v>
          </cell>
          <cell r="S287">
            <v>1.1189827999999999</v>
          </cell>
          <cell r="T287">
            <v>1.1214669900000001</v>
          </cell>
          <cell r="U287">
            <v>1.1209879300000001</v>
          </cell>
          <cell r="V287">
            <v>1.1209900800000001</v>
          </cell>
          <cell r="W287">
            <v>1.1160279099999999</v>
          </cell>
          <cell r="X287">
            <v>1.1085699600000001</v>
          </cell>
          <cell r="Y287">
            <v>1.1004039999999999</v>
          </cell>
          <cell r="Z287">
            <v>1.10220666</v>
          </cell>
          <cell r="AA287">
            <v>1.0974999999999999</v>
          </cell>
          <cell r="AB287">
            <v>1.1037914200000001</v>
          </cell>
          <cell r="AC287">
            <v>1.10845766</v>
          </cell>
          <cell r="AD287">
            <v>1.10596129</v>
          </cell>
          <cell r="AE287">
            <v>1.1074784200000001</v>
          </cell>
          <cell r="AF287">
            <v>1.1093973399999999</v>
          </cell>
          <cell r="AG287">
            <v>1.10941227</v>
          </cell>
          <cell r="AH287">
            <v>1.10997543</v>
          </cell>
        </row>
        <row r="288">
          <cell r="A288" t="str">
            <v>YM34D</v>
          </cell>
          <cell r="B288" t="str">
            <v>YMCICUSC</v>
          </cell>
          <cell r="C288" t="str">
            <v>ON Tier 1 - Tasa Fija USD Ley Extranjera ON</v>
          </cell>
          <cell r="D288">
            <v>1828.9545453121466</v>
          </cell>
          <cell r="E288">
            <v>1.0934540100000001</v>
          </cell>
          <cell r="F288">
            <v>1.0909461899999999</v>
          </cell>
          <cell r="G288">
            <v>1.0919604300000001</v>
          </cell>
          <cell r="H288">
            <v>1.0930670600000001</v>
          </cell>
          <cell r="I288">
            <v>1.09001602</v>
          </cell>
          <cell r="J288">
            <v>1.0890464</v>
          </cell>
          <cell r="K288">
            <v>1.08658331</v>
          </cell>
          <cell r="L288">
            <v>1.08445868</v>
          </cell>
          <cell r="M288">
            <v>1.083388</v>
          </cell>
          <cell r="N288">
            <v>1.0839660900000001</v>
          </cell>
          <cell r="O288">
            <v>1.0814723799999999</v>
          </cell>
          <cell r="P288">
            <v>1.08100738</v>
          </cell>
          <cell r="Q288">
            <v>1.0844339199999999</v>
          </cell>
          <cell r="R288">
            <v>1.0804549000000001</v>
          </cell>
          <cell r="S288">
            <v>1.0814597100000001</v>
          </cell>
          <cell r="T288">
            <v>1.08198134</v>
          </cell>
          <cell r="U288">
            <v>1.0784387600000001</v>
          </cell>
          <cell r="V288">
            <v>1.0775301399999999</v>
          </cell>
          <cell r="W288">
            <v>1.0695878000000001</v>
          </cell>
          <cell r="X288">
            <v>1.06798054</v>
          </cell>
          <cell r="Y288">
            <v>1.0690050799999999</v>
          </cell>
          <cell r="Z288">
            <v>1.06013197</v>
          </cell>
          <cell r="AA288">
            <v>1.0625699500000001</v>
          </cell>
          <cell r="AB288">
            <v>1.0623716299999999</v>
          </cell>
          <cell r="AC288">
            <v>1.0688041399999999</v>
          </cell>
          <cell r="AD288">
            <v>1.0660977700000001</v>
          </cell>
          <cell r="AE288">
            <v>1.0679434400000001</v>
          </cell>
          <cell r="AF288">
            <v>1.0734451599999999</v>
          </cell>
          <cell r="AG288">
            <v>1.08178675</v>
          </cell>
          <cell r="AH288">
            <v>1.07740013</v>
          </cell>
        </row>
        <row r="289">
          <cell r="A289" t="str">
            <v>YMCJD</v>
          </cell>
          <cell r="B289" t="str">
            <v>YMCJDUSM</v>
          </cell>
          <cell r="C289" t="str">
            <v>YMCJO - Z-Spread NY</v>
          </cell>
          <cell r="D289">
            <v>1921.1979311208604</v>
          </cell>
          <cell r="E289">
            <v>1.0722244000000001</v>
          </cell>
          <cell r="F289">
            <v>1.0679350400000001</v>
          </cell>
          <cell r="G289">
            <v>1.0659611</v>
          </cell>
          <cell r="H289">
            <v>1.0714097600000001</v>
          </cell>
          <cell r="I289">
            <v>1.0722149000000001</v>
          </cell>
          <cell r="J289">
            <v>1.0642310800000001</v>
          </cell>
          <cell r="K289">
            <v>1.06077416</v>
          </cell>
          <cell r="L289">
            <v>1.06054647</v>
          </cell>
          <cell r="M289">
            <v>1.0619704299999999</v>
          </cell>
          <cell r="N289">
            <v>1.05402215</v>
          </cell>
          <cell r="O289">
            <v>1.0564958200000001</v>
          </cell>
          <cell r="P289">
            <v>1.0559314799999999</v>
          </cell>
          <cell r="Q289">
            <v>1.05568427</v>
          </cell>
          <cell r="R289">
            <v>1.0532628100000001</v>
          </cell>
          <cell r="S289">
            <v>1.0566230400000001</v>
          </cell>
          <cell r="T289">
            <v>1.0531699999999999</v>
          </cell>
          <cell r="U289">
            <v>1.0560905899999999</v>
          </cell>
          <cell r="V289">
            <v>1.0517732</v>
          </cell>
          <cell r="W289">
            <v>1.0431233499999999</v>
          </cell>
          <cell r="X289">
            <v>1.0596197999999999</v>
          </cell>
          <cell r="Y289">
            <v>1.0113136199999999</v>
          </cell>
          <cell r="Z289">
            <v>1.0077279400000001</v>
          </cell>
          <cell r="AA289">
            <v>1.00345127</v>
          </cell>
          <cell r="AB289">
            <v>1.0100151100000001</v>
          </cell>
          <cell r="AC289">
            <v>1.01404151</v>
          </cell>
          <cell r="AD289">
            <v>1.01162847</v>
          </cell>
          <cell r="AE289">
            <v>1.00857138</v>
          </cell>
          <cell r="AF289">
            <v>1.01252601</v>
          </cell>
          <cell r="AG289">
            <v>1.01312208</v>
          </cell>
          <cell r="AH289">
            <v>1.0146640600000001</v>
          </cell>
        </row>
        <row r="290">
          <cell r="A290" t="str">
            <v>CAC5D</v>
          </cell>
          <cell r="B290" t="str">
            <v>CAC5DUSM</v>
          </cell>
          <cell r="C290" t="str">
            <v>ON Tier 2 - Tasa Fija USD Ley Extranjera ON</v>
          </cell>
          <cell r="D290">
            <v>396.69292655389285</v>
          </cell>
          <cell r="E290">
            <v>0.54015637999999999</v>
          </cell>
          <cell r="F290">
            <v>0.53973561000000003</v>
          </cell>
          <cell r="G290">
            <v>0.53949007999999998</v>
          </cell>
          <cell r="H290">
            <v>0.54052201</v>
          </cell>
          <cell r="I290">
            <v>0.54087054999999995</v>
          </cell>
          <cell r="J290">
            <v>0.54368251999999995</v>
          </cell>
          <cell r="K290">
            <v>0.54286794999999999</v>
          </cell>
          <cell r="L290">
            <v>0.54123946000000001</v>
          </cell>
          <cell r="M290">
            <v>0.54180313000000002</v>
          </cell>
          <cell r="N290">
            <v>0.54220475000000001</v>
          </cell>
          <cell r="O290">
            <v>0.54176159000000002</v>
          </cell>
          <cell r="P290">
            <v>0.54151680000000002</v>
          </cell>
          <cell r="Q290">
            <v>0.54173278000000002</v>
          </cell>
          <cell r="R290">
            <v>0.54062491000000001</v>
          </cell>
          <cell r="S290">
            <v>0.54297074000000001</v>
          </cell>
          <cell r="T290">
            <v>0.54304543000000005</v>
          </cell>
          <cell r="U290">
            <v>0.54335104000000001</v>
          </cell>
          <cell r="V290">
            <v>0.54383965999999995</v>
          </cell>
          <cell r="W290">
            <v>0.54247796999999998</v>
          </cell>
          <cell r="X290">
            <v>0.54557646000000004</v>
          </cell>
          <cell r="Y290">
            <v>0.54551205000000003</v>
          </cell>
          <cell r="Z290">
            <v>0.54580852999999996</v>
          </cell>
          <cell r="AA290">
            <v>0.54447988000000003</v>
          </cell>
          <cell r="AB290">
            <v>0.54550215000000002</v>
          </cell>
          <cell r="AC290">
            <v>0.54425330999999999</v>
          </cell>
          <cell r="AD290">
            <v>0.54499101000000005</v>
          </cell>
          <cell r="AE290">
            <v>0.54543483000000004</v>
          </cell>
          <cell r="AF290">
            <v>0.54681601999999996</v>
          </cell>
          <cell r="AG290">
            <v>0.54692094000000002</v>
          </cell>
          <cell r="AH290">
            <v>0.54661514</v>
          </cell>
        </row>
        <row r="291">
          <cell r="A291" t="str">
            <v>TLCMD</v>
          </cell>
          <cell r="B291" t="str">
            <v>TLCMDUSM</v>
          </cell>
          <cell r="C291" t="str">
            <v>ON Tier 2 - Tasa Fija USD Ley Extranjera ON</v>
          </cell>
          <cell r="D291">
            <v>1172.5520197650374</v>
          </cell>
          <cell r="E291">
            <v>1.12972619</v>
          </cell>
          <cell r="F291">
            <v>1.1267652399999999</v>
          </cell>
          <cell r="G291">
            <v>1.1260504099999999</v>
          </cell>
          <cell r="H291">
            <v>1.12901439</v>
          </cell>
          <cell r="I291">
            <v>1.1150942500000001</v>
          </cell>
          <cell r="J291">
            <v>1.1236755700000001</v>
          </cell>
          <cell r="K291">
            <v>1.12912663</v>
          </cell>
          <cell r="L291">
            <v>1.12805796</v>
          </cell>
          <cell r="M291">
            <v>1.1177333899999999</v>
          </cell>
          <cell r="N291">
            <v>1.1208734499999999</v>
          </cell>
          <cell r="O291">
            <v>1.1204817899999999</v>
          </cell>
          <cell r="P291">
            <v>1.1207026899999999</v>
          </cell>
          <cell r="Q291">
            <v>1.1219810100000001</v>
          </cell>
          <cell r="R291">
            <v>1.1220289800000001</v>
          </cell>
          <cell r="S291">
            <v>1.12052508</v>
          </cell>
          <cell r="T291">
            <v>1.1229482099999999</v>
          </cell>
          <cell r="U291">
            <v>1.12004664</v>
          </cell>
          <cell r="V291">
            <v>1.1148385999999999</v>
          </cell>
          <cell r="W291">
            <v>1.1193468600000001</v>
          </cell>
          <cell r="X291">
            <v>1.11447390416276</v>
          </cell>
          <cell r="Y291">
            <v>1.0980596499999999</v>
          </cell>
          <cell r="Z291">
            <v>1.0977260200000001</v>
          </cell>
          <cell r="AA291">
            <v>1.0977331299999999</v>
          </cell>
          <cell r="AB291">
            <v>1.09611803</v>
          </cell>
          <cell r="AC291">
            <v>1.09882765</v>
          </cell>
          <cell r="AD291">
            <v>1.1000073500000001</v>
          </cell>
          <cell r="AE291">
            <v>1.1054717599999999</v>
          </cell>
          <cell r="AF291">
            <v>1.1112585500000001</v>
          </cell>
          <cell r="AG291">
            <v>1.1157946999999999</v>
          </cell>
          <cell r="AH291">
            <v>1.12282159</v>
          </cell>
        </row>
        <row r="292">
          <cell r="A292" t="str">
            <v>TLCPD</v>
          </cell>
          <cell r="B292" t="str">
            <v>TLCMDUSM</v>
          </cell>
          <cell r="C292" t="str">
            <v>ON Tier 2 - Tasa Fija USD Ley Extranjera ON</v>
          </cell>
          <cell r="D292">
            <v>1711.0571600928529</v>
          </cell>
          <cell r="E292">
            <v>1.1378361699999999</v>
          </cell>
          <cell r="F292">
            <v>1.1420547999999999</v>
          </cell>
          <cell r="G292">
            <v>1.13863673</v>
          </cell>
          <cell r="H292">
            <v>1.1443706499999999</v>
          </cell>
          <cell r="I292">
            <v>1.1459740300000001</v>
          </cell>
          <cell r="J292">
            <v>1.14422238</v>
          </cell>
          <cell r="K292">
            <v>1.1373485699999999</v>
          </cell>
          <cell r="L292">
            <v>1.13946104</v>
          </cell>
          <cell r="M292">
            <v>1.1418533099999999</v>
          </cell>
          <cell r="N292">
            <v>1.1374731</v>
          </cell>
          <cell r="O292">
            <v>1.13763729</v>
          </cell>
          <cell r="P292">
            <v>1.1399131199999999</v>
          </cell>
          <cell r="Q292">
            <v>1.14564854</v>
          </cell>
          <cell r="R292">
            <v>1.13676394</v>
          </cell>
          <cell r="S292">
            <v>1.1419506100000001</v>
          </cell>
          <cell r="T292">
            <v>1.1362905599999999</v>
          </cell>
          <cell r="U292">
            <v>1.13299912</v>
          </cell>
          <cell r="V292">
            <v>1.12951428</v>
          </cell>
          <cell r="W292">
            <v>1.1190373600000001</v>
          </cell>
          <cell r="X292">
            <v>1.1098435</v>
          </cell>
          <cell r="Y292">
            <v>1.1063477500000001</v>
          </cell>
          <cell r="Z292">
            <v>1.1025066100000001</v>
          </cell>
          <cell r="AA292">
            <v>1.09914179</v>
          </cell>
          <cell r="AB292">
            <v>1.11409168</v>
          </cell>
          <cell r="AC292">
            <v>1.10221327</v>
          </cell>
          <cell r="AD292">
            <v>1.1034559100000001</v>
          </cell>
          <cell r="AE292">
            <v>1.1049521600000001</v>
          </cell>
          <cell r="AF292">
            <v>1.1079307300000001</v>
          </cell>
          <cell r="AG292">
            <v>1.10971091</v>
          </cell>
          <cell r="AH292">
            <v>1.10850268</v>
          </cell>
        </row>
        <row r="293">
          <cell r="A293" t="str">
            <v>AEC2D</v>
          </cell>
          <cell r="B293" t="str">
            <v>AEC2DUSM</v>
          </cell>
          <cell r="C293" t="str">
            <v>ON Tier 3 - Tasa Fija USD Ley Extranjera ON</v>
          </cell>
          <cell r="D293">
            <v>227.73940296380161</v>
          </cell>
          <cell r="E293">
            <v>0.52650686000000002</v>
          </cell>
          <cell r="F293">
            <v>0.52640136000000004</v>
          </cell>
          <cell r="G293">
            <v>0.52626788000000002</v>
          </cell>
          <cell r="H293">
            <v>0.52717849000000006</v>
          </cell>
          <cell r="I293">
            <v>0.52745167999999998</v>
          </cell>
          <cell r="J293">
            <v>0.53073276000000003</v>
          </cell>
          <cell r="K293">
            <v>0.53002218000000001</v>
          </cell>
          <cell r="L293">
            <v>0.52838927000000002</v>
          </cell>
          <cell r="M293">
            <v>0.52792207000000002</v>
          </cell>
          <cell r="N293">
            <v>0.52836119000000004</v>
          </cell>
          <cell r="O293">
            <v>0.52823704000000005</v>
          </cell>
          <cell r="P293">
            <v>0.52803772999999998</v>
          </cell>
          <cell r="Q293">
            <v>0.52825803000000005</v>
          </cell>
          <cell r="R293">
            <v>0.52812139999999996</v>
          </cell>
          <cell r="S293">
            <v>0.52899565999999998</v>
          </cell>
          <cell r="T293">
            <v>0.52906041000000004</v>
          </cell>
          <cell r="U293">
            <v>0.53046389999999999</v>
          </cell>
          <cell r="V293">
            <v>0.53020628000000003</v>
          </cell>
          <cell r="W293">
            <v>0.52928967999999998</v>
          </cell>
          <cell r="X293">
            <v>0.53144283000000003</v>
          </cell>
          <cell r="Y293">
            <v>0.53139495999999997</v>
          </cell>
          <cell r="Z293">
            <v>0.53129999000000006</v>
          </cell>
          <cell r="AA293">
            <v>0.52962982000000003</v>
          </cell>
          <cell r="AB293">
            <v>0.53056247000000001</v>
          </cell>
          <cell r="AC293">
            <v>0.5296265</v>
          </cell>
          <cell r="AD293">
            <v>0.53048466999999999</v>
          </cell>
          <cell r="AE293">
            <v>0.53089984000000001</v>
          </cell>
          <cell r="AF293">
            <v>0.53194775999999999</v>
          </cell>
          <cell r="AG293">
            <v>0.53200855999999996</v>
          </cell>
          <cell r="AH293">
            <v>0.53172193000000001</v>
          </cell>
        </row>
        <row r="294">
          <cell r="A294"/>
          <cell r="B294"/>
          <cell r="C294"/>
          <cell r="D294"/>
        </row>
        <row r="295">
          <cell r="A295"/>
          <cell r="B295"/>
          <cell r="C295"/>
          <cell r="D295"/>
        </row>
        <row r="296">
          <cell r="A296" t="str">
            <v>PNDCO</v>
          </cell>
          <cell r="B296" t="str">
            <v>PNDCOARS</v>
          </cell>
          <cell r="C296" t="str">
            <v>ON Tier 1 - Tasa Fija USD Ley Extranjera ON Pesos</v>
          </cell>
          <cell r="D296">
            <v>104.47329172546014</v>
          </cell>
          <cell r="E296">
            <v>664.77868149999995</v>
          </cell>
          <cell r="F296">
            <v>665.95251384999995</v>
          </cell>
          <cell r="G296">
            <v>662.76719666999998</v>
          </cell>
          <cell r="H296">
            <v>662.77041871999995</v>
          </cell>
          <cell r="I296">
            <v>664.00829176000002</v>
          </cell>
          <cell r="J296">
            <v>666.13616775000003</v>
          </cell>
          <cell r="K296">
            <v>666.88257065000005</v>
          </cell>
          <cell r="L296">
            <v>670.43122341000003</v>
          </cell>
          <cell r="M296">
            <v>668.59064376000003</v>
          </cell>
          <cell r="N296">
            <v>668.50145005000002</v>
          </cell>
          <cell r="O296">
            <v>667.37512002999995</v>
          </cell>
          <cell r="P296">
            <v>669.43863825000005</v>
          </cell>
          <cell r="Q296">
            <v>667.53155398000001</v>
          </cell>
          <cell r="R296">
            <v>669.56397116000005</v>
          </cell>
          <cell r="S296">
            <v>669.75240687999997</v>
          </cell>
          <cell r="T296">
            <v>670.98719472000005</v>
          </cell>
          <cell r="U296">
            <v>673.45230794999998</v>
          </cell>
          <cell r="V296">
            <v>675.75226098999997</v>
          </cell>
          <cell r="W296">
            <v>679.07204444000001</v>
          </cell>
          <cell r="X296">
            <v>679.02940216000002</v>
          </cell>
          <cell r="Y296">
            <v>677.69639001999997</v>
          </cell>
          <cell r="Z296">
            <v>676.87528384999996</v>
          </cell>
          <cell r="AA296">
            <v>680.39961714000003</v>
          </cell>
          <cell r="AB296">
            <v>680.74955977000002</v>
          </cell>
          <cell r="AC296">
            <v>671.83958222000001</v>
          </cell>
          <cell r="AD296">
            <v>674.60132973999998</v>
          </cell>
          <cell r="AE296">
            <v>673.37737116999995</v>
          </cell>
          <cell r="AF296">
            <v>675.06734539000001</v>
          </cell>
          <cell r="AG296">
            <v>675.01872021999998</v>
          </cell>
          <cell r="AH296">
            <v>674.47513164999998</v>
          </cell>
        </row>
        <row r="297">
          <cell r="A297" t="str">
            <v>YCAMO</v>
          </cell>
          <cell r="B297" t="str">
            <v>YCAMOARS</v>
          </cell>
          <cell r="C297" t="str">
            <v>ON Tier 1 - Tasa Fija USD Ley Extranjera ON Pesos</v>
          </cell>
          <cell r="D297">
            <v>274.91822445377886</v>
          </cell>
          <cell r="E297">
            <v>1616.4438512500001</v>
          </cell>
          <cell r="F297">
            <v>1620.1967793599999</v>
          </cell>
          <cell r="G297">
            <v>1612.28841883</v>
          </cell>
          <cell r="H297">
            <v>1612.6392723900001</v>
          </cell>
          <cell r="I297">
            <v>1615.7107415</v>
          </cell>
          <cell r="J297">
            <v>1621.2133379700001</v>
          </cell>
          <cell r="K297">
            <v>1622.6800277699999</v>
          </cell>
          <cell r="L297">
            <v>1632.30702464</v>
          </cell>
          <cell r="M297">
            <v>1625.91121264</v>
          </cell>
          <cell r="N297">
            <v>1626.7020657600001</v>
          </cell>
          <cell r="O297">
            <v>1623.4877645199999</v>
          </cell>
          <cell r="P297">
            <v>1629.48693321</v>
          </cell>
          <cell r="Q297">
            <v>1624.6090625899999</v>
          </cell>
          <cell r="R297">
            <v>1629.5372810199999</v>
          </cell>
          <cell r="S297">
            <v>1630.10114092</v>
          </cell>
          <cell r="T297">
            <v>1633.1380764400001</v>
          </cell>
          <cell r="U297">
            <v>1638.21007175</v>
          </cell>
          <cell r="V297">
            <v>1642.59610772</v>
          </cell>
          <cell r="W297">
            <v>1651.3521681499999</v>
          </cell>
          <cell r="X297">
            <v>1648.14900401</v>
          </cell>
          <cell r="Y297">
            <v>1643.6804896599999</v>
          </cell>
          <cell r="Z297">
            <v>1643.49201174</v>
          </cell>
          <cell r="AA297">
            <v>1651.0226603599999</v>
          </cell>
          <cell r="AB297">
            <v>1651.82838666</v>
          </cell>
          <cell r="AC297">
            <v>1626.42378676</v>
          </cell>
          <cell r="AD297">
            <v>1635.4193837299999</v>
          </cell>
          <cell r="AE297">
            <v>1630.4786718099999</v>
          </cell>
          <cell r="AF297">
            <v>1634.9062748399999</v>
          </cell>
          <cell r="AG297">
            <v>1634.5687270000001</v>
          </cell>
          <cell r="AH297">
            <v>1633.73603619</v>
          </cell>
        </row>
        <row r="298">
          <cell r="A298" t="str">
            <v>YMCIO</v>
          </cell>
          <cell r="B298" t="str">
            <v>YMCIOARS</v>
          </cell>
          <cell r="C298" t="str">
            <v>ON Tier 1 - Tasa Fija USD Ley Extranjera ON Pesos</v>
          </cell>
          <cell r="D298">
            <v>495.3336499072991</v>
          </cell>
          <cell r="E298">
            <v>1433.3782620300001</v>
          </cell>
          <cell r="F298">
            <v>1439.18428595</v>
          </cell>
          <cell r="G298">
            <v>1425.02588117</v>
          </cell>
          <cell r="H298">
            <v>1432.0865894399999</v>
          </cell>
          <cell r="I298">
            <v>1427.66169229</v>
          </cell>
          <cell r="J298">
            <v>1426.73118568</v>
          </cell>
          <cell r="K298">
            <v>1437.4417739999999</v>
          </cell>
          <cell r="L298">
            <v>1450.9172033100001</v>
          </cell>
          <cell r="M298">
            <v>1448.2101088899999</v>
          </cell>
          <cell r="N298">
            <v>1443.6247198420499</v>
          </cell>
          <cell r="O298">
            <v>1438.8503526</v>
          </cell>
          <cell r="P298">
            <v>1444.40097535</v>
          </cell>
          <cell r="Q298">
            <v>1446.7736669799999</v>
          </cell>
          <cell r="R298">
            <v>1444.58304849</v>
          </cell>
          <cell r="S298">
            <v>1445.09378115</v>
          </cell>
          <cell r="T298">
            <v>1447.8025636899999</v>
          </cell>
          <cell r="U298">
            <v>1451.4492992200001</v>
          </cell>
          <cell r="V298">
            <v>1453.93711282</v>
          </cell>
          <cell r="W298">
            <v>1448.58985226</v>
          </cell>
          <cell r="X298">
            <v>1461.79778543</v>
          </cell>
          <cell r="Y298">
            <v>1454.26150026</v>
          </cell>
          <cell r="Z298">
            <v>1452.53186886</v>
          </cell>
          <cell r="AA298">
            <v>1464.8893294100001</v>
          </cell>
          <cell r="AB298">
            <v>1456.41626339</v>
          </cell>
          <cell r="AC298">
            <v>1437.0815654800001</v>
          </cell>
          <cell r="AD298">
            <v>1454.4084709900001</v>
          </cell>
          <cell r="AE298">
            <v>1443.3023758500001</v>
          </cell>
          <cell r="AF298">
            <v>1447.4330007900001</v>
          </cell>
          <cell r="AG298">
            <v>1447.29368899</v>
          </cell>
          <cell r="AH298">
            <v>1462.8308891199999</v>
          </cell>
        </row>
        <row r="299">
          <cell r="A299" t="str">
            <v>AER4O</v>
          </cell>
          <cell r="B299" t="str">
            <v>AER4OARS</v>
          </cell>
          <cell r="C299" t="str">
            <v>ON Tier 1 - Tasa Fija USD Ley Extranjera ON Pesos</v>
          </cell>
          <cell r="D299">
            <v>496.22250842347842</v>
          </cell>
          <cell r="E299">
            <v>1156.64618477</v>
          </cell>
          <cell r="F299">
            <v>1159.2464712799999</v>
          </cell>
          <cell r="G299">
            <v>1153.5814466100001</v>
          </cell>
          <cell r="H299">
            <v>1153.93022677</v>
          </cell>
          <cell r="I299">
            <v>1156.1640244800001</v>
          </cell>
          <cell r="J299">
            <v>1160.15659123</v>
          </cell>
          <cell r="K299">
            <v>1160.91576424</v>
          </cell>
          <cell r="L299">
            <v>1167.1984837499999</v>
          </cell>
          <cell r="M299">
            <v>1163.1820135800001</v>
          </cell>
          <cell r="N299">
            <v>1163.2963712599999</v>
          </cell>
          <cell r="O299">
            <v>1160.7571115200001</v>
          </cell>
          <cell r="P299">
            <v>1163.9277608499999</v>
          </cell>
          <cell r="Q299">
            <v>1161.62994559</v>
          </cell>
          <cell r="R299">
            <v>1164.0777383100001</v>
          </cell>
          <cell r="S299">
            <v>1164.49485237</v>
          </cell>
          <cell r="T299">
            <v>1166.6790492800001</v>
          </cell>
          <cell r="U299">
            <v>1170.2368157000001</v>
          </cell>
          <cell r="V299">
            <v>1173.5191687199999</v>
          </cell>
          <cell r="W299">
            <v>1178.3076928400001</v>
          </cell>
          <cell r="X299">
            <v>1175.1784532300001</v>
          </cell>
          <cell r="Y299">
            <v>1171.7576548699999</v>
          </cell>
          <cell r="Z299">
            <v>1169.4680401600001</v>
          </cell>
          <cell r="AA299">
            <v>1174.0506389100001</v>
          </cell>
          <cell r="AB299">
            <v>1174.6390451</v>
          </cell>
          <cell r="AC299">
            <v>1157.77750197</v>
          </cell>
          <cell r="AD299">
            <v>1164.9620601199999</v>
          </cell>
          <cell r="AE299">
            <v>1162.83814723</v>
          </cell>
          <cell r="AF299">
            <v>1166.17684304</v>
          </cell>
          <cell r="AG299">
            <v>1166.03504213</v>
          </cell>
          <cell r="AH299">
            <v>1165.6023578700001</v>
          </cell>
        </row>
        <row r="300">
          <cell r="A300" t="str">
            <v>YMCUO</v>
          </cell>
          <cell r="B300" t="str">
            <v>YMCUOARS</v>
          </cell>
          <cell r="C300" t="str">
            <v>ON Tier 1 - Tasa Fija USD Ley Extranjera ON Pesos</v>
          </cell>
          <cell r="D300">
            <v>735.66591270461709</v>
          </cell>
          <cell r="E300">
            <v>1544.05575294</v>
          </cell>
          <cell r="F300">
            <v>1540.6993582099999</v>
          </cell>
          <cell r="G300">
            <v>1534.7307349800001</v>
          </cell>
          <cell r="H300">
            <v>1537.5774986900001</v>
          </cell>
          <cell r="I300">
            <v>1530.5948490000001</v>
          </cell>
          <cell r="J300">
            <v>1530.4287766699999</v>
          </cell>
          <cell r="K300">
            <v>1531.9269547199999</v>
          </cell>
          <cell r="L300">
            <v>1536.9719595900001</v>
          </cell>
          <cell r="M300">
            <v>1536.7971202900001</v>
          </cell>
          <cell r="N300">
            <v>1544.32825619</v>
          </cell>
          <cell r="O300">
            <v>1540.70625724</v>
          </cell>
          <cell r="P300">
            <v>1539.10682167</v>
          </cell>
          <cell r="Q300">
            <v>1538.2496969900001</v>
          </cell>
          <cell r="R300">
            <v>1540.0317442200001</v>
          </cell>
          <cell r="S300">
            <v>1536.7121715400001</v>
          </cell>
          <cell r="T300">
            <v>1540.5440087100001</v>
          </cell>
          <cell r="U300">
            <v>1538.7702686</v>
          </cell>
          <cell r="V300">
            <v>1539.42879595</v>
          </cell>
          <cell r="W300">
            <v>1544.6428908299999</v>
          </cell>
          <cell r="X300">
            <v>1543.68456952</v>
          </cell>
          <cell r="Y300">
            <v>1546.43237116</v>
          </cell>
          <cell r="Z300">
            <v>1547.47910716</v>
          </cell>
          <cell r="AA300">
            <v>1541.93314033</v>
          </cell>
          <cell r="AB300">
            <v>1538.12442255</v>
          </cell>
          <cell r="AC300">
            <v>1543.41065622</v>
          </cell>
          <cell r="AD300">
            <v>1549.1280845599999</v>
          </cell>
          <cell r="AE300">
            <v>1531.9112584300001</v>
          </cell>
          <cell r="AF300">
            <v>1537.5172099900001</v>
          </cell>
          <cell r="AG300">
            <v>1537.8070823200001</v>
          </cell>
          <cell r="AH300">
            <v>1542.4532736399999</v>
          </cell>
        </row>
        <row r="301">
          <cell r="A301" t="str">
            <v>BYCHO</v>
          </cell>
          <cell r="B301" t="str">
            <v>BYCHOARS</v>
          </cell>
          <cell r="C301" t="str">
            <v>ON Tier 1 - Tasa Fija USD Ley Extranjera ON Pesos</v>
          </cell>
          <cell r="D301">
            <v>688.3417411435604</v>
          </cell>
          <cell r="E301">
            <v>1677.6847106</v>
          </cell>
          <cell r="F301">
            <v>1681.57854129</v>
          </cell>
          <cell r="G301">
            <v>1673.3211865599999</v>
          </cell>
          <cell r="H301">
            <v>1673.9838315699999</v>
          </cell>
          <cell r="I301">
            <v>1677.2677939800001</v>
          </cell>
          <cell r="J301">
            <v>1683.1762390700001</v>
          </cell>
          <cell r="K301">
            <v>1683.95539168</v>
          </cell>
          <cell r="L301">
            <v>1692.7717841000001</v>
          </cell>
          <cell r="M301">
            <v>1686.99915386</v>
          </cell>
          <cell r="N301">
            <v>1687.0007744699999</v>
          </cell>
          <cell r="O301">
            <v>1683.01187768</v>
          </cell>
          <cell r="P301">
            <v>1686.88038284</v>
          </cell>
          <cell r="Q301">
            <v>1684.49619302</v>
          </cell>
          <cell r="R301">
            <v>1687.13647489</v>
          </cell>
          <cell r="S301">
            <v>1687.77603361</v>
          </cell>
          <cell r="T301">
            <v>1690.9610735199999</v>
          </cell>
          <cell r="U301">
            <v>1695.85613749</v>
          </cell>
          <cell r="V301">
            <v>1700.47137613</v>
          </cell>
          <cell r="W301">
            <v>1706.31832132</v>
          </cell>
          <cell r="X301">
            <v>1700.3901652100001</v>
          </cell>
          <cell r="Y301">
            <v>1694.96508967</v>
          </cell>
          <cell r="Z301">
            <v>1690.2187533900001</v>
          </cell>
          <cell r="AA301">
            <v>1695.9550425800001</v>
          </cell>
          <cell r="AB301">
            <v>1696.80859736</v>
          </cell>
          <cell r="AC301">
            <v>1672.6493298099999</v>
          </cell>
          <cell r="AD301">
            <v>1684.19839484</v>
          </cell>
          <cell r="AE301">
            <v>1681.87707383</v>
          </cell>
          <cell r="AF301">
            <v>1686.9339341100001</v>
          </cell>
          <cell r="AG301">
            <v>1624.30413942</v>
          </cell>
          <cell r="AH301">
            <v>1623.9837661199999</v>
          </cell>
        </row>
        <row r="302">
          <cell r="A302" t="str">
            <v>YMC1O</v>
          </cell>
          <cell r="B302" t="str">
            <v>YMC1OARS</v>
          </cell>
          <cell r="C302" t="str">
            <v>ON Tier 1 - Tasa Fija USD Ley Extranjera ON Pesos</v>
          </cell>
          <cell r="D302">
            <v>883.98055978401646</v>
          </cell>
          <cell r="E302">
            <v>1687.4369938499999</v>
          </cell>
          <cell r="F302">
            <v>1690.8765731000001</v>
          </cell>
          <cell r="G302">
            <v>1682.6331099199999</v>
          </cell>
          <cell r="H302">
            <v>1683.30057435</v>
          </cell>
          <cell r="I302">
            <v>1686.63967063</v>
          </cell>
          <cell r="J302">
            <v>1692.50962536</v>
          </cell>
          <cell r="K302">
            <v>1692.9437868800001</v>
          </cell>
          <cell r="L302">
            <v>1700.5725409300001</v>
          </cell>
          <cell r="M302">
            <v>1695.96817053</v>
          </cell>
          <cell r="N302">
            <v>1694.92670054</v>
          </cell>
          <cell r="O302">
            <v>1690.7238142199999</v>
          </cell>
          <cell r="P302">
            <v>1693.04049429</v>
          </cell>
          <cell r="Q302">
            <v>1691.9351512999999</v>
          </cell>
          <cell r="R302">
            <v>1693.38258649</v>
          </cell>
          <cell r="S302">
            <v>1694.01427943</v>
          </cell>
          <cell r="T302">
            <v>1697.22404646</v>
          </cell>
          <cell r="U302">
            <v>1702.0568283800001</v>
          </cell>
          <cell r="V302">
            <v>1706.95667368</v>
          </cell>
          <cell r="W302">
            <v>1710.6402386100001</v>
          </cell>
          <cell r="X302">
            <v>1704.00391795</v>
          </cell>
          <cell r="Y302">
            <v>1698.14389723</v>
          </cell>
          <cell r="Z302">
            <v>1689.9937355</v>
          </cell>
          <cell r="AA302">
            <v>1694.75026538</v>
          </cell>
          <cell r="AB302">
            <v>1695.63188713</v>
          </cell>
          <cell r="AC302">
            <v>1674.2116785400001</v>
          </cell>
          <cell r="AD302">
            <v>1686.1650163100001</v>
          </cell>
          <cell r="AE302">
            <v>1685.9929542</v>
          </cell>
          <cell r="AF302">
            <v>1691.26630542</v>
          </cell>
          <cell r="AG302">
            <v>1691.4373983</v>
          </cell>
          <cell r="AH302">
            <v>1691.08940319</v>
          </cell>
        </row>
        <row r="303">
          <cell r="A303" t="str">
            <v>ARC1O</v>
          </cell>
          <cell r="B303" t="str">
            <v>ARC1OARS</v>
          </cell>
          <cell r="C303" t="str">
            <v>ON Tier 1 - Tasa Fija USD Ley Extranjera ON Pesos</v>
          </cell>
          <cell r="D303">
            <v>895.75829300625207</v>
          </cell>
          <cell r="E303">
            <v>1633.65363591</v>
          </cell>
          <cell r="F303">
            <v>1636.6150725</v>
          </cell>
          <cell r="G303">
            <v>1628.7117216700001</v>
          </cell>
          <cell r="H303">
            <v>1629.2017380499999</v>
          </cell>
          <cell r="I303">
            <v>1632.4178313899999</v>
          </cell>
          <cell r="J303">
            <v>1637.9285769200001</v>
          </cell>
          <cell r="K303">
            <v>1638.4201049400001</v>
          </cell>
          <cell r="L303">
            <v>1645.4721421900001</v>
          </cell>
          <cell r="M303">
            <v>1641.27410433</v>
          </cell>
          <cell r="N303">
            <v>1639.8859869099999</v>
          </cell>
          <cell r="O303">
            <v>1635.98548123</v>
          </cell>
          <cell r="P303">
            <v>1638.48787253</v>
          </cell>
          <cell r="Q303">
            <v>1630.12943881</v>
          </cell>
          <cell r="R303">
            <v>1623</v>
          </cell>
          <cell r="S303">
            <v>1639.2511873399999</v>
          </cell>
          <cell r="T303">
            <v>1642.3487860800001</v>
          </cell>
          <cell r="U303">
            <v>1646.9335816600001</v>
          </cell>
          <cell r="V303">
            <v>1651.5856968999999</v>
          </cell>
          <cell r="W303">
            <v>1655.2429028500001</v>
          </cell>
          <cell r="X303">
            <v>1649.2210274700001</v>
          </cell>
          <cell r="Y303">
            <v>1643.3036701200001</v>
          </cell>
          <cell r="Z303">
            <v>1635.3998805000001</v>
          </cell>
          <cell r="AA303">
            <v>1640.1316963700001</v>
          </cell>
          <cell r="AB303">
            <v>1640.98729377</v>
          </cell>
          <cell r="AC303">
            <v>1621.0590653100001</v>
          </cell>
          <cell r="AD303">
            <v>1631.84689157</v>
          </cell>
          <cell r="AE303">
            <v>1631.5270549100001</v>
          </cell>
          <cell r="AF303">
            <v>1623</v>
          </cell>
          <cell r="AG303">
            <v>1636.9770566</v>
          </cell>
          <cell r="AH303">
            <v>1615.1881081900001</v>
          </cell>
        </row>
        <row r="304">
          <cell r="A304" t="str">
            <v>TTCDO</v>
          </cell>
          <cell r="B304" t="str">
            <v>TTCDOARS</v>
          </cell>
          <cell r="C304" t="str">
            <v>ON Tier 1 - Tasa Fija USD Ley Extranjera ON Pesos</v>
          </cell>
          <cell r="D304">
            <v>1260.3655356104105</v>
          </cell>
          <cell r="E304">
            <v>1666.1726671900001</v>
          </cell>
          <cell r="F304">
            <v>1668.39133421</v>
          </cell>
          <cell r="G304">
            <v>1659.48118671</v>
          </cell>
          <cell r="H304">
            <v>1660.8958086</v>
          </cell>
          <cell r="I304">
            <v>1664.22712353</v>
          </cell>
          <cell r="J304">
            <v>1669.6738227000001</v>
          </cell>
          <cell r="K304">
            <v>1669.6574075999999</v>
          </cell>
          <cell r="L304">
            <v>1672.73212098</v>
          </cell>
          <cell r="M304">
            <v>1672.28949947</v>
          </cell>
          <cell r="N304">
            <v>1669.7</v>
          </cell>
          <cell r="O304">
            <v>1667.8480325999999</v>
          </cell>
          <cell r="P304">
            <v>1673.8</v>
          </cell>
          <cell r="Q304">
            <v>1704.2218719699999</v>
          </cell>
          <cell r="R304">
            <v>1665.84003403</v>
          </cell>
          <cell r="S304">
            <v>1669</v>
          </cell>
          <cell r="T304">
            <v>1667</v>
          </cell>
          <cell r="U304">
            <v>1672</v>
          </cell>
          <cell r="V304">
            <v>1673.81976057</v>
          </cell>
          <cell r="W304">
            <v>1682</v>
          </cell>
          <cell r="X304">
            <v>1672.0621940799999</v>
          </cell>
          <cell r="Y304">
            <v>1654.4</v>
          </cell>
          <cell r="Z304">
            <v>1662.3781643</v>
          </cell>
          <cell r="AA304">
            <v>1672.7786123599999</v>
          </cell>
          <cell r="AB304">
            <v>1656.55402226</v>
          </cell>
          <cell r="AC304">
            <v>1660.2758304500001</v>
          </cell>
          <cell r="AD304">
            <v>1672.4631887200001</v>
          </cell>
          <cell r="AE304">
            <v>1674.8915195899999</v>
          </cell>
          <cell r="AF304">
            <v>1671.0297283499999</v>
          </cell>
          <cell r="AG304">
            <v>1672.6</v>
          </cell>
          <cell r="AH304">
            <v>1665.1080989500001</v>
          </cell>
        </row>
        <row r="305">
          <cell r="A305" t="str">
            <v>YMCXO</v>
          </cell>
          <cell r="B305" t="str">
            <v>YMCXOARS</v>
          </cell>
          <cell r="C305" t="str">
            <v>ON Tier 1 - Tasa Fija USD Ley Extranjera ON Pesos</v>
          </cell>
          <cell r="D305">
            <v>1335.1448689380793</v>
          </cell>
          <cell r="E305">
            <v>1752.7364726400001</v>
          </cell>
          <cell r="F305">
            <v>1760.2898065899999</v>
          </cell>
          <cell r="G305">
            <v>1750.46994675</v>
          </cell>
          <cell r="H305">
            <v>1737.2240863500001</v>
          </cell>
          <cell r="I305">
            <v>1735.5410107099999</v>
          </cell>
          <cell r="J305">
            <v>1731.8037845900001</v>
          </cell>
          <cell r="K305">
            <v>1739.38380203</v>
          </cell>
          <cell r="L305">
            <v>1676.6750215500001</v>
          </cell>
          <cell r="M305">
            <v>1677.1085431900001</v>
          </cell>
          <cell r="N305">
            <v>1669.8525234000001</v>
          </cell>
          <cell r="O305">
            <v>1667.1365135200001</v>
          </cell>
          <cell r="P305">
            <v>1675.82351062</v>
          </cell>
          <cell r="Q305">
            <v>1677.9233879599999</v>
          </cell>
          <cell r="R305">
            <v>1678.42379856</v>
          </cell>
          <cell r="S305">
            <v>1667.5563458199999</v>
          </cell>
          <cell r="T305">
            <v>1668.9153392400001</v>
          </cell>
          <cell r="U305">
            <v>1677.2662015400001</v>
          </cell>
          <cell r="V305">
            <v>1675.0681214599999</v>
          </cell>
          <cell r="W305">
            <v>1697.7823657900001</v>
          </cell>
          <cell r="X305">
            <v>1669.06816205</v>
          </cell>
          <cell r="Y305">
            <v>1658.7016964699999</v>
          </cell>
          <cell r="Z305">
            <v>1656.9149980100001</v>
          </cell>
          <cell r="AA305">
            <v>1683.17166129</v>
          </cell>
          <cell r="AB305">
            <v>1690.0840693</v>
          </cell>
          <cell r="AC305">
            <v>1664.72221178</v>
          </cell>
          <cell r="AD305">
            <v>1669.5417463199999</v>
          </cell>
          <cell r="AE305">
            <v>1668.7267848500001</v>
          </cell>
          <cell r="AF305">
            <v>1674.0746520600001</v>
          </cell>
          <cell r="AG305">
            <v>1672.3956407000001</v>
          </cell>
          <cell r="AH305">
            <v>1665.31696182</v>
          </cell>
        </row>
        <row r="306">
          <cell r="A306" t="str">
            <v>PNXCO</v>
          </cell>
          <cell r="B306" t="str">
            <v>PNXCOARS</v>
          </cell>
          <cell r="C306" t="str">
            <v>ON Tier 1 - Tasa Fija USD Ley Extranjera ON Pesos</v>
          </cell>
          <cell r="D306">
            <v>1358.5649667788427</v>
          </cell>
          <cell r="E306">
            <v>1724.7226417500001</v>
          </cell>
          <cell r="F306">
            <v>1726.68313861</v>
          </cell>
          <cell r="G306">
            <v>1718.5305986000001</v>
          </cell>
          <cell r="H306">
            <v>1718.88121445</v>
          </cell>
          <cell r="I306">
            <v>1722.33105802</v>
          </cell>
          <cell r="J306">
            <v>1727.8180179000001</v>
          </cell>
          <cell r="K306">
            <v>1727.7353753299999</v>
          </cell>
          <cell r="L306">
            <v>1732.8400671300001</v>
          </cell>
          <cell r="M306">
            <v>1730.1211970500001</v>
          </cell>
          <cell r="N306">
            <v>1726.55708979</v>
          </cell>
          <cell r="O306">
            <v>1722.24941719</v>
          </cell>
          <cell r="P306">
            <v>1723.18960629</v>
          </cell>
          <cell r="Q306">
            <v>1721.98093206</v>
          </cell>
          <cell r="R306">
            <v>1723.10670551</v>
          </cell>
          <cell r="S306">
            <v>1723.6851278500001</v>
          </cell>
          <cell r="T306">
            <v>1726.9611002199999</v>
          </cell>
          <cell r="U306">
            <v>1731.0445189</v>
          </cell>
          <cell r="V306">
            <v>1735.66991945</v>
          </cell>
          <cell r="W306">
            <v>1736.29004835</v>
          </cell>
          <cell r="X306">
            <v>1728.24111748</v>
          </cell>
          <cell r="Y306">
            <v>1720.2720887099999</v>
          </cell>
          <cell r="Z306">
            <v>1706.95097154</v>
          </cell>
          <cell r="AA306">
            <v>1746.5783285699999</v>
          </cell>
          <cell r="AB306">
            <v>1710.95051463</v>
          </cell>
          <cell r="AC306">
            <v>1694.8222578499999</v>
          </cell>
          <cell r="AD306">
            <v>1706.1870087</v>
          </cell>
          <cell r="AE306">
            <v>1708.3488508400001</v>
          </cell>
          <cell r="AF306">
            <v>1714.02826353</v>
          </cell>
          <cell r="AG306">
            <v>1715.40211039</v>
          </cell>
          <cell r="AH306">
            <v>1714.6403582</v>
          </cell>
        </row>
        <row r="307">
          <cell r="A307" t="str">
            <v>PLC5O</v>
          </cell>
          <cell r="B307" t="str">
            <v>PLC5OARS</v>
          </cell>
          <cell r="C307" t="str">
            <v>ON Tier 1 - Tasa Fija USD Ley Extranjera ON Pesos</v>
          </cell>
          <cell r="D307">
            <v>1391.8850833637496</v>
          </cell>
          <cell r="E307">
            <v>1693.6525220000001</v>
          </cell>
          <cell r="F307">
            <v>1695.4910770199999</v>
          </cell>
          <cell r="G307">
            <v>1687.4960047899999</v>
          </cell>
          <cell r="H307">
            <v>1687.8408975699999</v>
          </cell>
          <cell r="I307">
            <v>1691.2342934999999</v>
          </cell>
          <cell r="J307">
            <v>1696.6113629399999</v>
          </cell>
          <cell r="K307">
            <v>1696.4736070500001</v>
          </cell>
          <cell r="L307">
            <v>1701.25873727</v>
          </cell>
          <cell r="M307">
            <v>1698.8427053400001</v>
          </cell>
          <cell r="N307">
            <v>1695.15246168</v>
          </cell>
          <cell r="O307">
            <v>1675.1028390900001</v>
          </cell>
          <cell r="P307">
            <v>1687.08841981</v>
          </cell>
          <cell r="Q307">
            <v>1690.58464426</v>
          </cell>
          <cell r="R307">
            <v>1691.43978165</v>
          </cell>
          <cell r="S307">
            <v>1692.0046420900001</v>
          </cell>
          <cell r="T307">
            <v>1695.22233592</v>
          </cell>
          <cell r="U307">
            <v>1699.24947638</v>
          </cell>
          <cell r="V307">
            <v>1685.0781003100001</v>
          </cell>
          <cell r="W307">
            <v>1691.09934944</v>
          </cell>
          <cell r="X307">
            <v>1696.11182033</v>
          </cell>
          <cell r="Y307">
            <v>1649.6992169099999</v>
          </cell>
          <cell r="Z307">
            <v>1674.5379048</v>
          </cell>
          <cell r="AA307">
            <v>1691.61619238</v>
          </cell>
          <cell r="AB307">
            <v>1678.3130912500001</v>
          </cell>
          <cell r="AC307">
            <v>1663.03638394</v>
          </cell>
          <cell r="AD307">
            <v>1674.24101999</v>
          </cell>
          <cell r="AE307">
            <v>1676.81133901</v>
          </cell>
          <cell r="AF307">
            <v>1682.4163215599999</v>
          </cell>
          <cell r="AG307">
            <v>1671.2882286399999</v>
          </cell>
          <cell r="AH307">
            <v>1676.0605709199999</v>
          </cell>
        </row>
        <row r="308">
          <cell r="A308" t="str">
            <v>TSC3O</v>
          </cell>
          <cell r="B308" t="str">
            <v>TSC3OARS</v>
          </cell>
          <cell r="C308" t="str">
            <v>ON Tier 1 - Tasa Fija USD Ley Extranjera ON Pesos</v>
          </cell>
          <cell r="D308">
            <v>1449.1939179876699</v>
          </cell>
          <cell r="E308">
            <v>1695.39891167</v>
          </cell>
          <cell r="F308">
            <v>1703.3561927200001</v>
          </cell>
          <cell r="G308">
            <v>1689.1357631000001</v>
          </cell>
          <cell r="H308">
            <v>1689.45255855</v>
          </cell>
          <cell r="I308">
            <v>1692.8546566299999</v>
          </cell>
          <cell r="J308">
            <v>1698.1893110599999</v>
          </cell>
          <cell r="K308">
            <v>1705</v>
          </cell>
          <cell r="L308">
            <v>1702.5772327699999</v>
          </cell>
          <cell r="M308">
            <v>1700.2089944500001</v>
          </cell>
          <cell r="N308">
            <v>1694.5</v>
          </cell>
          <cell r="O308">
            <v>1692.0442651799999</v>
          </cell>
          <cell r="P308">
            <v>1692.65748403</v>
          </cell>
          <cell r="Q308">
            <v>1695.8</v>
          </cell>
          <cell r="R308">
            <v>1692.5214955399999</v>
          </cell>
          <cell r="S308">
            <v>1693.08454377</v>
          </cell>
          <cell r="T308">
            <v>1696.3062378</v>
          </cell>
          <cell r="U308">
            <v>1690</v>
          </cell>
          <cell r="V308">
            <v>1695</v>
          </cell>
          <cell r="W308">
            <v>1704.65410722</v>
          </cell>
          <cell r="X308">
            <v>1696.3901786500001</v>
          </cell>
          <cell r="Y308">
            <v>1688.2168149399999</v>
          </cell>
          <cell r="Z308">
            <v>1674.20733172</v>
          </cell>
          <cell r="AA308">
            <v>1676.8542679300001</v>
          </cell>
          <cell r="AB308">
            <v>1710.5</v>
          </cell>
          <cell r="AC308">
            <v>1662.79834899</v>
          </cell>
          <cell r="AD308">
            <v>1673.98824446</v>
          </cell>
          <cell r="AE308">
            <v>1676.5603471100001</v>
          </cell>
          <cell r="AF308">
            <v>1701.27123734</v>
          </cell>
          <cell r="AG308">
            <v>1683.7413801099999</v>
          </cell>
          <cell r="AH308">
            <v>1682.96466562</v>
          </cell>
        </row>
        <row r="309">
          <cell r="A309" t="str">
            <v>YFCJO</v>
          </cell>
          <cell r="B309" t="str">
            <v>YFCJOARS</v>
          </cell>
          <cell r="C309" t="str">
            <v>ON Tier 1 - Tasa Fija USD Ley Extranjera ON Pesos</v>
          </cell>
          <cell r="D309">
            <v>1485.5833480480992</v>
          </cell>
          <cell r="E309">
            <v>1686.6768720299999</v>
          </cell>
          <cell r="F309">
            <v>1688.20221393</v>
          </cell>
          <cell r="G309">
            <v>1680.3049143200001</v>
          </cell>
          <cell r="H309">
            <v>1680.54120693</v>
          </cell>
          <cell r="I309">
            <v>1683.9216308600001</v>
          </cell>
          <cell r="J309">
            <v>1689.1337044300001</v>
          </cell>
          <cell r="K309">
            <v>1688.9389481999999</v>
          </cell>
          <cell r="L309">
            <v>1693.3481721000001</v>
          </cell>
          <cell r="M309">
            <v>1690.9547641199999</v>
          </cell>
          <cell r="N309">
            <v>1686.8999911999999</v>
          </cell>
          <cell r="O309">
            <v>1671</v>
          </cell>
          <cell r="P309">
            <v>1683.6398008799999</v>
          </cell>
          <cell r="Q309">
            <v>1682.00662336</v>
          </cell>
          <cell r="R309">
            <v>1683.35013652</v>
          </cell>
          <cell r="S309">
            <v>1683.9001616800001</v>
          </cell>
          <cell r="T309">
            <v>1687.10225094</v>
          </cell>
          <cell r="U309">
            <v>1668.6198384899999</v>
          </cell>
          <cell r="V309">
            <v>1694.95915565</v>
          </cell>
          <cell r="W309">
            <v>1695.0888806600001</v>
          </cell>
          <cell r="X309">
            <v>1686.75220666</v>
          </cell>
          <cell r="Y309">
            <v>1678.2523873600001</v>
          </cell>
          <cell r="Z309">
            <v>1664.4728559499999</v>
          </cell>
          <cell r="AA309">
            <v>1667.0436423199999</v>
          </cell>
          <cell r="AB309">
            <v>1667.9504707799999</v>
          </cell>
          <cell r="AC309">
            <v>1653.26413568</v>
          </cell>
          <cell r="AD309">
            <v>1664.08634979</v>
          </cell>
          <cell r="AE309">
            <v>1666.3028054500001</v>
          </cell>
          <cell r="AF309">
            <v>1671.92859572</v>
          </cell>
          <cell r="AG309">
            <v>1673.61107253</v>
          </cell>
          <cell r="AH309">
            <v>1672.7289968699999</v>
          </cell>
        </row>
        <row r="310">
          <cell r="A310" t="str">
            <v>MGCMO</v>
          </cell>
          <cell r="B310" t="str">
            <v>MGC3OARS</v>
          </cell>
          <cell r="C310" t="str">
            <v>ON Tier 1 - Tasa Fija USD Ley Extranjera ON Pesos</v>
          </cell>
          <cell r="D310">
            <v>1509.4918655337863</v>
          </cell>
          <cell r="E310">
            <v>1727.8</v>
          </cell>
          <cell r="F310">
            <v>1707.04119532</v>
          </cell>
          <cell r="G310">
            <v>1699.0418644199999</v>
          </cell>
          <cell r="H310">
            <v>1699.3058928200001</v>
          </cell>
          <cell r="I310">
            <v>1702.72222001</v>
          </cell>
          <cell r="J310">
            <v>1708.0285526099999</v>
          </cell>
          <cell r="K310">
            <v>1661</v>
          </cell>
          <cell r="L310">
            <v>1667</v>
          </cell>
          <cell r="M310">
            <v>1646.4804449000001</v>
          </cell>
          <cell r="N310">
            <v>1642.48652107</v>
          </cell>
          <cell r="O310">
            <v>1638.33494359</v>
          </cell>
          <cell r="P310">
            <v>1670</v>
          </cell>
          <cell r="Q310">
            <v>1637.7440855299999</v>
          </cell>
          <cell r="R310">
            <v>1660</v>
          </cell>
          <cell r="S310">
            <v>1639.2117095799999</v>
          </cell>
          <cell r="T310">
            <v>1661.46011363</v>
          </cell>
          <cell r="U310">
            <v>1659</v>
          </cell>
          <cell r="V310">
            <v>1650.14720551</v>
          </cell>
          <cell r="W310">
            <v>1649.89530702</v>
          </cell>
          <cell r="X310">
            <v>1652.8</v>
          </cell>
          <cell r="Y310">
            <v>1640.93355135</v>
          </cell>
          <cell r="Z310">
            <v>1632.9</v>
          </cell>
          <cell r="AA310">
            <v>1621.80788336</v>
          </cell>
          <cell r="AB310">
            <v>1622.6946888800001</v>
          </cell>
          <cell r="AC310">
            <v>1608.6293767100001</v>
          </cell>
          <cell r="AD310">
            <v>1619.4328479200001</v>
          </cell>
          <cell r="AE310">
            <v>1622.0232338000001</v>
          </cell>
          <cell r="AF310">
            <v>1627.5385639199999</v>
          </cell>
          <cell r="AG310">
            <v>1663.8500835899999</v>
          </cell>
          <cell r="AH310">
            <v>1676.3967856500001</v>
          </cell>
        </row>
        <row r="311">
          <cell r="A311" t="str">
            <v>TTCAO</v>
          </cell>
          <cell r="B311" t="str">
            <v>TTCAOARS</v>
          </cell>
          <cell r="C311" t="str">
            <v>ON Tier 1 - Tasa Fija USD Ley Extranjera ON Pesos</v>
          </cell>
          <cell r="D311">
            <v>1589.6510489289938</v>
          </cell>
          <cell r="E311">
            <v>1635.3910011200001</v>
          </cell>
          <cell r="F311">
            <v>1636.6548524100001</v>
          </cell>
          <cell r="G311">
            <v>1629.0391565699999</v>
          </cell>
          <cell r="H311">
            <v>1629.2184192300001</v>
          </cell>
          <cell r="I311">
            <v>1632.5051363</v>
          </cell>
          <cell r="J311">
            <v>1636.4</v>
          </cell>
          <cell r="K311">
            <v>1637.1806939099999</v>
          </cell>
          <cell r="L311">
            <v>1641.1046854199999</v>
          </cell>
          <cell r="M311">
            <v>1638.8620068600001</v>
          </cell>
          <cell r="N311">
            <v>1634.59278694</v>
          </cell>
          <cell r="O311">
            <v>1630.5168679599999</v>
          </cell>
          <cell r="P311">
            <v>1631.4537932400001</v>
          </cell>
          <cell r="Q311">
            <v>1631</v>
          </cell>
          <cell r="R311">
            <v>1631.01789297</v>
          </cell>
          <cell r="S311">
            <v>1631.54719845</v>
          </cell>
          <cell r="T311">
            <v>1634.6531499</v>
          </cell>
          <cell r="U311">
            <v>1637.8773912500001</v>
          </cell>
          <cell r="V311">
            <v>1641.69467734</v>
          </cell>
          <cell r="W311">
            <v>1641.5026631600001</v>
          </cell>
          <cell r="X311">
            <v>1632.896669</v>
          </cell>
          <cell r="Y311">
            <v>1626.1229557900001</v>
          </cell>
          <cell r="Z311">
            <v>1610.27997005</v>
          </cell>
          <cell r="AA311">
            <v>1612.3957908</v>
          </cell>
          <cell r="AB311">
            <v>1635.4312833399999</v>
          </cell>
          <cell r="AC311">
            <v>1599.5795389699999</v>
          </cell>
          <cell r="AD311">
            <v>1610.02812032</v>
          </cell>
          <cell r="AE311">
            <v>1612.1615830799999</v>
          </cell>
          <cell r="AF311">
            <v>1617.68816984</v>
          </cell>
          <cell r="AG311">
            <v>1619.5393859200001</v>
          </cell>
          <cell r="AH311">
            <v>1618.6239282199999</v>
          </cell>
        </row>
        <row r="312">
          <cell r="A312" t="str">
            <v>PLC4O</v>
          </cell>
          <cell r="B312" t="str">
            <v>PLC4OARS</v>
          </cell>
          <cell r="C312" t="str">
            <v>ON Tier 1 - Tasa Fija USD Ley Extranjera ON Pesos</v>
          </cell>
          <cell r="D312">
            <v>1632.8455360872349</v>
          </cell>
          <cell r="E312">
            <v>1699.9531688300001</v>
          </cell>
          <cell r="F312">
            <v>1701.4921571299999</v>
          </cell>
          <cell r="G312">
            <v>1690.88197049</v>
          </cell>
          <cell r="H312">
            <v>1690.8601101100001</v>
          </cell>
          <cell r="I312">
            <v>1716.1874895799999</v>
          </cell>
          <cell r="J312">
            <v>1688.5601808900001</v>
          </cell>
          <cell r="K312">
            <v>1689.3663781499999</v>
          </cell>
          <cell r="L312">
            <v>1696.16441055</v>
          </cell>
          <cell r="M312">
            <v>1722.6189795099999</v>
          </cell>
          <cell r="N312">
            <v>1681.3036351799999</v>
          </cell>
          <cell r="O312">
            <v>1695.90750873</v>
          </cell>
          <cell r="P312">
            <v>1698.6</v>
          </cell>
          <cell r="Q312">
            <v>1691.75439517</v>
          </cell>
          <cell r="R312">
            <v>1698.1727297100001</v>
          </cell>
          <cell r="S312">
            <v>1713.9244376700001</v>
          </cell>
          <cell r="T312">
            <v>1708.1958725500001</v>
          </cell>
          <cell r="U312">
            <v>1692.8695791600001</v>
          </cell>
          <cell r="V312">
            <v>1697.401118</v>
          </cell>
          <cell r="W312">
            <v>1698.77725336</v>
          </cell>
          <cell r="X312">
            <v>1683.5411073099999</v>
          </cell>
          <cell r="Y312">
            <v>1684</v>
          </cell>
          <cell r="Z312">
            <v>1672.1800118599999</v>
          </cell>
          <cell r="AA312">
            <v>1681.38336297</v>
          </cell>
          <cell r="AB312">
            <v>1692.33390175</v>
          </cell>
          <cell r="AC312">
            <v>1674.6603280700001</v>
          </cell>
          <cell r="AD312">
            <v>1679.9928764599999</v>
          </cell>
          <cell r="AE312">
            <v>1679.41739325</v>
          </cell>
          <cell r="AF312">
            <v>1688.8177127399999</v>
          </cell>
          <cell r="AG312">
            <v>1682.3912763200001</v>
          </cell>
          <cell r="AH312">
            <v>1700.2275896900001</v>
          </cell>
        </row>
        <row r="313">
          <cell r="A313" t="str">
            <v>VSCVO</v>
          </cell>
          <cell r="B313" t="str">
            <v>VSCVOARS</v>
          </cell>
          <cell r="C313" t="str">
            <v>ON Tier 1 - Tasa Fija USD Ley Extranjera ON Pesos</v>
          </cell>
          <cell r="D313">
            <v>1639.4672403267296</v>
          </cell>
          <cell r="E313">
            <v>1731.5490816900001</v>
          </cell>
          <cell r="F313">
            <v>1727.2590746200001</v>
          </cell>
          <cell r="G313">
            <v>1711.8881152900001</v>
          </cell>
          <cell r="H313">
            <v>1714.45107727</v>
          </cell>
          <cell r="I313">
            <v>1711.5278372299999</v>
          </cell>
          <cell r="J313">
            <v>1718.59413533</v>
          </cell>
          <cell r="K313">
            <v>1746.33551979</v>
          </cell>
          <cell r="L313">
            <v>1722.30800054</v>
          </cell>
          <cell r="M313">
            <v>1728.6726488199999</v>
          </cell>
          <cell r="N313">
            <v>1721.4</v>
          </cell>
          <cell r="O313">
            <v>1710.1499628199999</v>
          </cell>
          <cell r="P313">
            <v>1728.5710437600001</v>
          </cell>
          <cell r="Q313">
            <v>1714.9318434100001</v>
          </cell>
          <cell r="R313">
            <v>1723.20655857</v>
          </cell>
          <cell r="S313">
            <v>1715.81985648</v>
          </cell>
          <cell r="T313">
            <v>1721.9622747200001</v>
          </cell>
          <cell r="U313">
            <v>1728.9347148899999</v>
          </cell>
          <cell r="V313">
            <v>1728.56707749</v>
          </cell>
          <cell r="W313">
            <v>1730.14706716</v>
          </cell>
          <cell r="X313">
            <v>1730.55170565</v>
          </cell>
          <cell r="Y313">
            <v>1703.82578603</v>
          </cell>
          <cell r="Z313">
            <v>1701.10753617</v>
          </cell>
          <cell r="AA313">
            <v>1705.3479591099999</v>
          </cell>
          <cell r="AB313">
            <v>1706.5097265500001</v>
          </cell>
          <cell r="AC313">
            <v>1703.2782538900001</v>
          </cell>
          <cell r="AD313">
            <v>1704.54208958</v>
          </cell>
          <cell r="AE313">
            <v>1701.80809832</v>
          </cell>
          <cell r="AF313">
            <v>1705.4891813900001</v>
          </cell>
          <cell r="AG313">
            <v>1705.86211366</v>
          </cell>
          <cell r="AH313">
            <v>1709.3668225199999</v>
          </cell>
        </row>
        <row r="314">
          <cell r="A314" t="str">
            <v>YM34O</v>
          </cell>
          <cell r="B314" t="str">
            <v>YM34OARS</v>
          </cell>
          <cell r="C314" t="str">
            <v>ON Tier 1 - Tasa Fija USD Ley Extranjera ON Pesos</v>
          </cell>
          <cell r="D314">
            <v>1817.1453936684818</v>
          </cell>
          <cell r="E314">
            <v>1675.3129134400001</v>
          </cell>
          <cell r="F314">
            <v>1674.86114327</v>
          </cell>
          <cell r="G314">
            <v>1666.96054613</v>
          </cell>
          <cell r="H314">
            <v>1663.5653008700001</v>
          </cell>
          <cell r="I314">
            <v>1662.11673718</v>
          </cell>
          <cell r="J314">
            <v>1663.0259159</v>
          </cell>
          <cell r="K314">
            <v>1667.97635296</v>
          </cell>
          <cell r="L314">
            <v>1666.1705066500001</v>
          </cell>
          <cell r="M314">
            <v>1665.1836510799999</v>
          </cell>
          <cell r="N314">
            <v>1660.9058446700001</v>
          </cell>
          <cell r="O314">
            <v>1655.4197618000001</v>
          </cell>
          <cell r="P314">
            <v>1665.8872668399999</v>
          </cell>
          <cell r="Q314">
            <v>1661.3691668900001</v>
          </cell>
          <cell r="R314">
            <v>1660.7418797400001</v>
          </cell>
          <cell r="S314">
            <v>1658.8769887000001</v>
          </cell>
          <cell r="T314">
            <v>1658.96881119</v>
          </cell>
          <cell r="U314">
            <v>1660.88245067</v>
          </cell>
          <cell r="V314">
            <v>1662.6889897900001</v>
          </cell>
          <cell r="W314">
            <v>1668.10849353</v>
          </cell>
          <cell r="X314">
            <v>1662.7477221900001</v>
          </cell>
          <cell r="Y314">
            <v>1654.2527389500001</v>
          </cell>
          <cell r="Z314">
            <v>1642.70308256</v>
          </cell>
          <cell r="AA314">
            <v>1648.7556800499999</v>
          </cell>
          <cell r="AB314">
            <v>1644.36176432</v>
          </cell>
          <cell r="AC314">
            <v>1640.93463217</v>
          </cell>
          <cell r="AD314">
            <v>1639.73041812</v>
          </cell>
          <cell r="AE314">
            <v>1642.5246542499999</v>
          </cell>
          <cell r="AF314">
            <v>1657.9059748699999</v>
          </cell>
          <cell r="AG314">
            <v>1669.3648626700001</v>
          </cell>
          <cell r="AH314">
            <v>1656.42586622</v>
          </cell>
        </row>
        <row r="315">
          <cell r="A315" t="str">
            <v>YMCJO</v>
          </cell>
          <cell r="B315" t="str">
            <v>YMCJOARS</v>
          </cell>
          <cell r="C315" t="str">
            <v>YMCJO - Z-Spread NY Pesos</v>
          </cell>
          <cell r="D315">
            <v>1915.5175069218301</v>
          </cell>
          <cell r="E315">
            <v>1637.7578587600001</v>
          </cell>
          <cell r="F315">
            <v>1642.46157806</v>
          </cell>
          <cell r="G315">
            <v>1628.99659099</v>
          </cell>
          <cell r="H315">
            <v>1634.7458377600001</v>
          </cell>
          <cell r="I315">
            <v>1627.07305533</v>
          </cell>
          <cell r="J315">
            <v>1623.0992424599999</v>
          </cell>
          <cell r="K315">
            <v>1624.48264896</v>
          </cell>
          <cell r="L315">
            <v>1636.3896811699999</v>
          </cell>
          <cell r="M315">
            <v>1633.11202334</v>
          </cell>
          <cell r="N315">
            <v>1625.6804854699999</v>
          </cell>
          <cell r="O315">
            <v>1619.0518569200001</v>
          </cell>
          <cell r="P315">
            <v>1623.3533687500001</v>
          </cell>
          <cell r="Q315">
            <v>1618.8445619900001</v>
          </cell>
          <cell r="R315">
            <v>1621.1868095499999</v>
          </cell>
          <cell r="S315">
            <v>1612.1861566299999</v>
          </cell>
          <cell r="T315">
            <v>1614.86039899</v>
          </cell>
          <cell r="U315">
            <v>1627.8309655999999</v>
          </cell>
          <cell r="V315">
            <v>1621.5970308799999</v>
          </cell>
          <cell r="W315">
            <v>1631.53102173</v>
          </cell>
          <cell r="X315">
            <v>1620.82963384</v>
          </cell>
          <cell r="Y315">
            <v>1574.33255353</v>
          </cell>
          <cell r="Z315">
            <v>1569.8659745699999</v>
          </cell>
          <cell r="AA315">
            <v>1556.8332453800001</v>
          </cell>
          <cell r="AB315">
            <v>1579.27075302</v>
          </cell>
          <cell r="AC315">
            <v>1563.21611459</v>
          </cell>
          <cell r="AD315">
            <v>1559.2503578200001</v>
          </cell>
          <cell r="AE315">
            <v>1552.57475884</v>
          </cell>
          <cell r="AF315">
            <v>1559.4917927700001</v>
          </cell>
          <cell r="AG315">
            <v>1559.26204263</v>
          </cell>
          <cell r="AH315">
            <v>1560.33051387</v>
          </cell>
        </row>
        <row r="316">
          <cell r="A316" t="str">
            <v>CAC5O</v>
          </cell>
          <cell r="B316" t="str">
            <v>CAC5OARS</v>
          </cell>
          <cell r="C316" t="str">
            <v>ON Tier 2 - Tasa Fija USD Ley Extranjera ON Pesos</v>
          </cell>
          <cell r="D316">
            <v>389.9258093274259</v>
          </cell>
          <cell r="E316">
            <v>815.57873884000003</v>
          </cell>
          <cell r="F316">
            <v>817.66273340999999</v>
          </cell>
          <cell r="G316">
            <v>813.67624398999999</v>
          </cell>
          <cell r="H316">
            <v>813.91003922000004</v>
          </cell>
          <cell r="I316">
            <v>815.49403301999996</v>
          </cell>
          <cell r="J316">
            <v>818.28624293999997</v>
          </cell>
          <cell r="K316">
            <v>819.18551379999997</v>
          </cell>
          <cell r="L316">
            <v>824.20498340999995</v>
          </cell>
          <cell r="M316">
            <v>821.18777854999996</v>
          </cell>
          <cell r="N316">
            <v>821.70193540000002</v>
          </cell>
          <cell r="O316">
            <v>820.04261716999997</v>
          </cell>
          <cell r="P316">
            <v>822.71153446999995</v>
          </cell>
          <cell r="Q316">
            <v>820.88008744000001</v>
          </cell>
          <cell r="R316">
            <v>822.99791459999994</v>
          </cell>
          <cell r="S316">
            <v>823.30924067000001</v>
          </cell>
          <cell r="T316">
            <v>824.86679617000004</v>
          </cell>
          <cell r="U316">
            <v>827.68856511000001</v>
          </cell>
          <cell r="V316">
            <v>830.06026713000006</v>
          </cell>
          <cell r="W316">
            <v>834.25378814999999</v>
          </cell>
          <cell r="X316">
            <v>833.20133252000005</v>
          </cell>
          <cell r="Y316">
            <v>831.21205722000002</v>
          </cell>
          <cell r="Z316">
            <v>830.60260679999999</v>
          </cell>
          <cell r="AA316">
            <v>834.20414038000001</v>
          </cell>
          <cell r="AB316">
            <v>834.58720391999998</v>
          </cell>
          <cell r="AC316">
            <v>821.79614153</v>
          </cell>
          <cell r="AD316">
            <v>826.29536465000001</v>
          </cell>
          <cell r="AE316">
            <v>824.18465644000003</v>
          </cell>
          <cell r="AF316">
            <v>826.20586060999995</v>
          </cell>
          <cell r="AG316">
            <v>825.87248862000001</v>
          </cell>
          <cell r="AH316">
            <v>825.61724356000002</v>
          </cell>
        </row>
        <row r="317">
          <cell r="A317" t="str">
            <v>TLCMO</v>
          </cell>
          <cell r="B317" t="str">
            <v>TLCMOARS</v>
          </cell>
          <cell r="C317" t="str">
            <v>ON Tier 2 - Tasa Fija USD Ley Extranjera ON Pesos</v>
          </cell>
          <cell r="D317">
            <v>1162.9727663214906</v>
          </cell>
          <cell r="E317">
            <v>1728.89370824</v>
          </cell>
          <cell r="F317">
            <v>1729.0907327800001</v>
          </cell>
          <cell r="G317">
            <v>1688.4859252399999</v>
          </cell>
          <cell r="H317">
            <v>1719.2961586900001</v>
          </cell>
          <cell r="I317">
            <v>1715.1568357399999</v>
          </cell>
          <cell r="J317">
            <v>1697.76311822</v>
          </cell>
          <cell r="K317">
            <v>1726.2821047499999</v>
          </cell>
          <cell r="L317">
            <v>1732.86195946</v>
          </cell>
          <cell r="M317">
            <v>1704.07509286</v>
          </cell>
          <cell r="N317">
            <v>1715.2270937400001</v>
          </cell>
          <cell r="O317">
            <v>1717.88106335</v>
          </cell>
          <cell r="P317">
            <v>1719.75419199</v>
          </cell>
          <cell r="Q317">
            <v>1718.6982375499999</v>
          </cell>
          <cell r="R317">
            <v>1719.4090136499999</v>
          </cell>
          <cell r="S317">
            <v>1724.55625169</v>
          </cell>
          <cell r="T317">
            <v>1723.90494158</v>
          </cell>
          <cell r="U317">
            <v>1711.7193115</v>
          </cell>
          <cell r="V317">
            <v>1717.1182778499999</v>
          </cell>
          <cell r="W317">
            <v>1733.7528886499999</v>
          </cell>
          <cell r="X317">
            <v>1715.0176417</v>
          </cell>
          <cell r="Y317">
            <v>1700.0041951799999</v>
          </cell>
          <cell r="Z317">
            <v>1691.8803661899999</v>
          </cell>
          <cell r="AA317">
            <v>1704.13248054</v>
          </cell>
          <cell r="AB317">
            <v>1694.9585097199999</v>
          </cell>
          <cell r="AC317">
            <v>1695.9896354</v>
          </cell>
          <cell r="AD317">
            <v>1694.98233228</v>
          </cell>
          <cell r="AE317">
            <v>1695.3000952299999</v>
          </cell>
          <cell r="AF317">
            <v>1707.94270443</v>
          </cell>
          <cell r="AG317">
            <v>1709.5013069500001</v>
          </cell>
          <cell r="AH317">
            <v>1723.0319344699999</v>
          </cell>
        </row>
        <row r="318">
          <cell r="A318" t="str">
            <v>TLCPO</v>
          </cell>
          <cell r="B318" t="str">
            <v>TLCPOARS</v>
          </cell>
          <cell r="C318" t="str">
            <v>ON Tier 2 - Tasa Fija USD Ley Extranjera ON Pesos</v>
          </cell>
          <cell r="D318">
            <v>1696.8015796181828</v>
          </cell>
          <cell r="E318">
            <v>1744.0081049099999</v>
          </cell>
          <cell r="F318">
            <v>1759.73927499</v>
          </cell>
          <cell r="G318">
            <v>1739.5212442500001</v>
          </cell>
          <cell r="H318">
            <v>1749.4133588899999</v>
          </cell>
          <cell r="I318">
            <v>1739.7213125999999</v>
          </cell>
          <cell r="J318">
            <v>1744.77487724</v>
          </cell>
          <cell r="K318">
            <v>1741.88468444</v>
          </cell>
          <cell r="L318">
            <v>1749.9188518000001</v>
          </cell>
          <cell r="M318">
            <v>1760.07164962</v>
          </cell>
          <cell r="N318">
            <v>1744.28340359</v>
          </cell>
          <cell r="O318">
            <v>1746.8004398999999</v>
          </cell>
          <cell r="P318">
            <v>1758.1519887300001</v>
          </cell>
          <cell r="Q318">
            <v>1756.95316716</v>
          </cell>
          <cell r="R318">
            <v>1747.04997224</v>
          </cell>
          <cell r="S318">
            <v>1750.85649453</v>
          </cell>
          <cell r="T318">
            <v>1759.5733261600001</v>
          </cell>
          <cell r="U318">
            <v>1749.81315391</v>
          </cell>
          <cell r="V318">
            <v>1741.86118042</v>
          </cell>
          <cell r="W318">
            <v>1742.96765387</v>
          </cell>
          <cell r="X318">
            <v>1743.74100488</v>
          </cell>
          <cell r="Y318">
            <v>1708.9030660400001</v>
          </cell>
          <cell r="Z318">
            <v>1734.6514972499999</v>
          </cell>
          <cell r="AA318">
            <v>1733.5736800699999</v>
          </cell>
          <cell r="AB318">
            <v>1721.1808468500001</v>
          </cell>
          <cell r="AC318">
            <v>1696.02337162</v>
          </cell>
          <cell r="AD318">
            <v>1704.1092585199999</v>
          </cell>
          <cell r="AE318">
            <v>1705.5584832500001</v>
          </cell>
          <cell r="AF318">
            <v>1702.15415308</v>
          </cell>
          <cell r="AG318">
            <v>1701.58571749</v>
          </cell>
          <cell r="AH318">
            <v>1704.0721578099999</v>
          </cell>
        </row>
        <row r="319">
          <cell r="A319" t="str">
            <v>AEC2O</v>
          </cell>
          <cell r="B319" t="str">
            <v>AEC2OARS</v>
          </cell>
          <cell r="C319" t="str">
            <v>ON Tier 3 - Tasa Fija USD Ley Extranjera ON Pesos</v>
          </cell>
          <cell r="D319">
            <v>225.786015529612</v>
          </cell>
          <cell r="E319">
            <v>801.31328569000004</v>
          </cell>
          <cell r="F319">
            <v>803.14650048999999</v>
          </cell>
          <cell r="G319">
            <v>799.30483963999995</v>
          </cell>
          <cell r="H319">
            <v>799.61008859000003</v>
          </cell>
          <cell r="I319">
            <v>801.17926174000002</v>
          </cell>
          <cell r="J319">
            <v>803.87677530999997</v>
          </cell>
          <cell r="K319">
            <v>804.81511143</v>
          </cell>
          <cell r="L319">
            <v>809.65537758999994</v>
          </cell>
          <cell r="M319">
            <v>806.94968994999999</v>
          </cell>
          <cell r="N319">
            <v>807.25686103999999</v>
          </cell>
          <cell r="O319">
            <v>805.89355803000001</v>
          </cell>
          <cell r="P319">
            <v>808.75745565</v>
          </cell>
          <cell r="Q319">
            <v>806.46798707999994</v>
          </cell>
          <cell r="R319">
            <v>808.87967332999995</v>
          </cell>
          <cell r="S319">
            <v>809.34012496000003</v>
          </cell>
          <cell r="T319">
            <v>810.89768304999996</v>
          </cell>
          <cell r="U319">
            <v>813.52151681999999</v>
          </cell>
          <cell r="V319">
            <v>815.77226981000001</v>
          </cell>
          <cell r="W319">
            <v>820.44476306000001</v>
          </cell>
          <cell r="X319">
            <v>819.29722396</v>
          </cell>
          <cell r="Y319">
            <v>817.23264817999996</v>
          </cell>
          <cell r="Z319">
            <v>816.59838071000001</v>
          </cell>
          <cell r="AA319">
            <v>819.35940262999998</v>
          </cell>
          <cell r="AB319">
            <v>820.0855067</v>
          </cell>
          <cell r="AC319">
            <v>807.81770326000003</v>
          </cell>
          <cell r="AD319">
            <v>812.23460522000005</v>
          </cell>
          <cell r="AE319">
            <v>810.17012512999997</v>
          </cell>
          <cell r="AF319">
            <v>812.31068183000002</v>
          </cell>
          <cell r="AG319">
            <v>812.24000882999997</v>
          </cell>
          <cell r="AH319">
            <v>811.72890115999996</v>
          </cell>
        </row>
        <row r="320">
          <cell r="A320"/>
          <cell r="B320"/>
          <cell r="C320"/>
          <cell r="D320"/>
        </row>
        <row r="321">
          <cell r="A321" t="str">
            <v>Obligaciones Negociables Dólar linked</v>
          </cell>
          <cell r="B321" t="str">
            <v>Obligaciones Negociables Dólar linkedARS</v>
          </cell>
          <cell r="C321"/>
          <cell r="D321"/>
        </row>
        <row r="322">
          <cell r="A322"/>
          <cell r="B322"/>
          <cell r="C322"/>
          <cell r="D322"/>
        </row>
        <row r="323">
          <cell r="A323" t="str">
            <v>GE22P</v>
          </cell>
          <cell r="B323" t="str">
            <v>GE22PARS</v>
          </cell>
          <cell r="C323" t="str">
            <v>ON PyME Gar - Tasa Fija USD Link ON</v>
          </cell>
          <cell r="D323">
            <v>131.1001615570151</v>
          </cell>
          <cell r="E323">
            <v>510.72555130000001</v>
          </cell>
          <cell r="F323">
            <v>510.44772897000001</v>
          </cell>
          <cell r="G323">
            <v>509.38620815000002</v>
          </cell>
          <cell r="H323">
            <v>509.32235009999999</v>
          </cell>
          <cell r="I323">
            <v>510.75254536</v>
          </cell>
          <cell r="J323">
            <v>511.17886496</v>
          </cell>
          <cell r="K323">
            <v>512.96674524000002</v>
          </cell>
          <cell r="L323">
            <v>510.85372605999999</v>
          </cell>
          <cell r="M323">
            <v>512.98661771000002</v>
          </cell>
          <cell r="N323">
            <v>512.79797986999995</v>
          </cell>
          <cell r="O323">
            <v>511.64060304999998</v>
          </cell>
          <cell r="P323">
            <v>510.17117167999999</v>
          </cell>
          <cell r="Q323">
            <v>510.67672261000001</v>
          </cell>
          <cell r="R323">
            <v>511.70716332000001</v>
          </cell>
          <cell r="S323">
            <v>512.67731896999999</v>
          </cell>
          <cell r="T323">
            <v>512.4223207</v>
          </cell>
          <cell r="U323">
            <v>515.13392001</v>
          </cell>
          <cell r="V323">
            <v>516.04256695000004</v>
          </cell>
          <cell r="W323">
            <v>518.01225335000004</v>
          </cell>
          <cell r="X323">
            <v>519.75872391999997</v>
          </cell>
          <cell r="Y323">
            <v>515.94998700999997</v>
          </cell>
          <cell r="Z323">
            <v>513.20671378999998</v>
          </cell>
          <cell r="AA323">
            <v>515.53140459999997</v>
          </cell>
          <cell r="AB323">
            <v>515.71114867999995</v>
          </cell>
          <cell r="AC323">
            <v>516.67333697000004</v>
          </cell>
          <cell r="AD323">
            <v>517.00749540000004</v>
          </cell>
          <cell r="AE323">
            <v>517.27073786999995</v>
          </cell>
          <cell r="AF323">
            <v>516.99649685999998</v>
          </cell>
          <cell r="AG323">
            <v>516.81929855999999</v>
          </cell>
          <cell r="AH323">
            <v>516.94365468000001</v>
          </cell>
        </row>
        <row r="324">
          <cell r="A324" t="str">
            <v>HA12L</v>
          </cell>
          <cell r="B324" t="str">
            <v>HA12LARS</v>
          </cell>
          <cell r="C324" t="str">
            <v>ON PyME Gar - Tasa Fija USD Link ON</v>
          </cell>
          <cell r="D324">
            <v>267.19214527311755</v>
          </cell>
          <cell r="E324">
            <v>1535.7798398899999</v>
          </cell>
          <cell r="F324">
            <v>1540.95048208</v>
          </cell>
          <cell r="G324">
            <v>1546.9652366</v>
          </cell>
          <cell r="H324">
            <v>1549.6569783299999</v>
          </cell>
          <cell r="I324">
            <v>1550.13321131</v>
          </cell>
          <cell r="J324">
            <v>1550.2668282699999</v>
          </cell>
          <cell r="K324">
            <v>1550.59079668</v>
          </cell>
          <cell r="L324">
            <v>1545.1769393899999</v>
          </cell>
          <cell r="M324">
            <v>1560.7845358300001</v>
          </cell>
          <cell r="N324">
            <v>1556.8218984</v>
          </cell>
          <cell r="O324">
            <v>1556.91907345</v>
          </cell>
          <cell r="P324">
            <v>1553.54794455</v>
          </cell>
          <cell r="Q324">
            <v>1555.67772253</v>
          </cell>
          <cell r="R324">
            <v>1557.05136109</v>
          </cell>
          <cell r="S324">
            <v>1557.2944445400001</v>
          </cell>
          <cell r="T324">
            <v>1556.3540624300001</v>
          </cell>
          <cell r="U324">
            <v>1558.66621121</v>
          </cell>
          <cell r="V324">
            <v>1558.6465849000001</v>
          </cell>
          <cell r="W324">
            <v>1559.1430053300001</v>
          </cell>
          <cell r="X324">
            <v>1561.5088170900001</v>
          </cell>
          <cell r="Y324">
            <v>1558.6640363199999</v>
          </cell>
          <cell r="Z324">
            <v>1558.73491756</v>
          </cell>
          <cell r="AA324">
            <v>1562.1811405000001</v>
          </cell>
          <cell r="AB324">
            <v>1564.0407768</v>
          </cell>
          <cell r="AC324">
            <v>1572.6153697499999</v>
          </cell>
          <cell r="AD324">
            <v>1576.5549172999999</v>
          </cell>
          <cell r="AE324">
            <v>1579.07860882</v>
          </cell>
          <cell r="AF324">
            <v>1578.0293981299999</v>
          </cell>
          <cell r="AG324">
            <v>1579.6454243600001</v>
          </cell>
          <cell r="AH324">
            <v>1579.8947735500001</v>
          </cell>
        </row>
        <row r="325">
          <cell r="A325" t="str">
            <v>APS1L</v>
          </cell>
          <cell r="B325" t="str">
            <v>APS1LARS</v>
          </cell>
          <cell r="C325" t="str">
            <v>ON PyME Gar - Tasa Fija USD Link ON</v>
          </cell>
          <cell r="D325">
            <v>390.02421346570242</v>
          </cell>
          <cell r="E325">
            <v>1492.2157823</v>
          </cell>
          <cell r="F325">
            <v>1491.4395203199999</v>
          </cell>
          <cell r="G325">
            <v>1488.37362876</v>
          </cell>
          <cell r="H325">
            <v>1488.22302053</v>
          </cell>
          <cell r="I325">
            <v>1499</v>
          </cell>
          <cell r="J325">
            <v>1488.5113535800001</v>
          </cell>
          <cell r="K325">
            <v>1493.78313439</v>
          </cell>
          <cell r="L325">
            <v>1486.4779208</v>
          </cell>
          <cell r="M325">
            <v>1506.6433867600001</v>
          </cell>
          <cell r="N325">
            <v>1503.9738065500001</v>
          </cell>
          <cell r="O325">
            <v>1500.6033425099999</v>
          </cell>
          <cell r="P325">
            <v>1501.9690723399999</v>
          </cell>
          <cell r="Q325">
            <v>1503.1138410799999</v>
          </cell>
          <cell r="R325">
            <v>1506.15127145</v>
          </cell>
          <cell r="S325">
            <v>1509.0205350199999</v>
          </cell>
          <cell r="T325">
            <v>1508.65902596</v>
          </cell>
          <cell r="U325">
            <v>1512.7776945099999</v>
          </cell>
          <cell r="V325">
            <v>1515.4684754699999</v>
          </cell>
          <cell r="W325">
            <v>1521.27556727</v>
          </cell>
          <cell r="X325">
            <v>1526.4738995099999</v>
          </cell>
          <cell r="Y325">
            <v>1520.3178370200001</v>
          </cell>
          <cell r="Z325">
            <v>1513.6717373500001</v>
          </cell>
          <cell r="AA325">
            <v>1522.1838016199999</v>
          </cell>
          <cell r="AB325">
            <v>1522.45744898</v>
          </cell>
          <cell r="AC325">
            <v>1519.25294749</v>
          </cell>
          <cell r="AD325">
            <v>1519.7018694200001</v>
          </cell>
          <cell r="AE325">
            <v>1520.8535314200001</v>
          </cell>
          <cell r="AF325">
            <v>1518.9818857299999</v>
          </cell>
          <cell r="AG325">
            <v>1521.0214462599999</v>
          </cell>
          <cell r="AH325">
            <v>1521.6195374900001</v>
          </cell>
        </row>
        <row r="326">
          <cell r="A326" t="str">
            <v>PN40O</v>
          </cell>
          <cell r="B326" t="str">
            <v>PN40OARS</v>
          </cell>
          <cell r="C326" t="str">
            <v>ON Tier 1 - Tasa Fija USD Link ON</v>
          </cell>
          <cell r="D326">
            <v>0</v>
          </cell>
          <cell r="E326">
            <v>1519.3830826599999</v>
          </cell>
          <cell r="F326">
            <v>1515.4593621700001</v>
          </cell>
          <cell r="G326">
            <v>1521.0291367299999</v>
          </cell>
          <cell r="H326">
            <v>1511.5854123700001</v>
          </cell>
          <cell r="I326">
            <v>1524.82935152</v>
          </cell>
          <cell r="J326">
            <v>1515.4092619999999</v>
          </cell>
          <cell r="K326">
            <v>1520.51984212</v>
          </cell>
          <cell r="L326">
            <v>1527.4180024699999</v>
          </cell>
          <cell r="M326">
            <v>1514.5756525700001</v>
          </cell>
          <cell r="N326">
            <v>1515.1514347034099</v>
          </cell>
          <cell r="O326">
            <v>1511.6170488099999</v>
          </cell>
          <cell r="P326">
            <v>1520.5922417700001</v>
          </cell>
          <cell r="Q326">
            <v>1533.3796683800001</v>
          </cell>
          <cell r="R326">
            <v>1536.61002831</v>
          </cell>
          <cell r="S326">
            <v>1537.56253376</v>
          </cell>
          <cell r="T326">
            <v>1518.00102444</v>
          </cell>
          <cell r="U326">
            <v>1524.0805967399999</v>
          </cell>
          <cell r="V326">
            <v>1524.5171849799999</v>
          </cell>
          <cell r="W326">
            <v>1530.09908212</v>
          </cell>
          <cell r="X326">
            <v>1535.0450771400001</v>
          </cell>
          <cell r="Y326">
            <v>1529.6713420399999</v>
          </cell>
          <cell r="Z326">
            <v>1522.9734800799999</v>
          </cell>
          <cell r="AA326">
            <v>1528.89464709</v>
          </cell>
          <cell r="AB326">
            <v>1529.3497923100001</v>
          </cell>
          <cell r="AC326">
            <v>1528.26726401</v>
          </cell>
          <cell r="AD326">
            <v>1528.9677088000001</v>
          </cell>
          <cell r="AE326">
            <v>1528.03224604</v>
          </cell>
          <cell r="AF326">
            <v>1527.4300127399999</v>
          </cell>
          <cell r="AG326">
            <v>1527.4780959846998</v>
          </cell>
          <cell r="AH326">
            <v>1527.4780959846998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28.999999999999801</v>
          </cell>
          <cell r="E327">
            <v>501.82411529000001</v>
          </cell>
          <cell r="F327">
            <v>501.50223368000002</v>
          </cell>
          <cell r="G327">
            <v>500.41045180999998</v>
          </cell>
          <cell r="H327">
            <v>500.23175795999998</v>
          </cell>
          <cell r="I327">
            <v>501.55608556999999</v>
          </cell>
          <cell r="J327">
            <v>501.69436703999997</v>
          </cell>
          <cell r="K327">
            <v>503.39397875999998</v>
          </cell>
          <cell r="L327">
            <v>502.05862680000001</v>
          </cell>
          <cell r="M327">
            <v>501.14243051</v>
          </cell>
          <cell r="N327">
            <v>501.35268610000003</v>
          </cell>
          <cell r="O327">
            <v>500.18979862999998</v>
          </cell>
          <cell r="P327">
            <v>499.69468147999999</v>
          </cell>
          <cell r="Q327">
            <v>500.27858285000002</v>
          </cell>
          <cell r="R327">
            <v>501.22426031999998</v>
          </cell>
          <cell r="S327">
            <v>502.14519064000001</v>
          </cell>
          <cell r="T327">
            <v>501.79734034000001</v>
          </cell>
          <cell r="U327">
            <v>503.58669612</v>
          </cell>
          <cell r="V327">
            <v>504.44374758999999</v>
          </cell>
          <cell r="W327">
            <v>506.29623483</v>
          </cell>
          <cell r="X327">
            <v>507.94951487999998</v>
          </cell>
          <cell r="Y327">
            <v>505.80342895000001</v>
          </cell>
          <cell r="Z327">
            <v>503.31520811000001</v>
          </cell>
          <cell r="AA327">
            <v>505.26982366999999</v>
          </cell>
          <cell r="AB327">
            <v>505.41800454999998</v>
          </cell>
          <cell r="AC327">
            <v>505.01134685</v>
          </cell>
          <cell r="AD327">
            <v>505.40504609999999</v>
          </cell>
          <cell r="AE327">
            <v>505.41810062000002</v>
          </cell>
          <cell r="AF327">
            <v>504.84100102000002</v>
          </cell>
          <cell r="AG327">
            <v>504.15515017000001</v>
          </cell>
          <cell r="AH327">
            <v>504.20587346999997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56.9999999999986</v>
          </cell>
          <cell r="E328">
            <v>1501.34771411</v>
          </cell>
          <cell r="F328">
            <v>1500.3994289499999</v>
          </cell>
          <cell r="G328">
            <v>1497.14776951</v>
          </cell>
          <cell r="H328">
            <v>1496.62794816</v>
          </cell>
          <cell r="I328">
            <v>1500.6350652000001</v>
          </cell>
          <cell r="J328">
            <v>1501.4246577399999</v>
          </cell>
          <cell r="K328">
            <v>1506.5311704000001</v>
          </cell>
          <cell r="L328">
            <v>1501.78828937</v>
          </cell>
          <cell r="M328">
            <v>1499.06457841</v>
          </cell>
          <cell r="N328">
            <v>1499.74455369</v>
          </cell>
          <cell r="O328">
            <v>1496.2830050099999</v>
          </cell>
          <cell r="P328">
            <v>1492.7328</v>
          </cell>
          <cell r="Q328">
            <v>1495.46405645</v>
          </cell>
          <cell r="R328">
            <v>1498.2951004399999</v>
          </cell>
          <cell r="S328">
            <v>1501.0606314300001</v>
          </cell>
          <cell r="T328">
            <v>1500.02504161</v>
          </cell>
          <cell r="U328">
            <v>1506.48076659</v>
          </cell>
          <cell r="V328">
            <v>1509.05886902</v>
          </cell>
          <cell r="W328">
            <v>1514.6149775399999</v>
          </cell>
          <cell r="X328">
            <v>1519.60433319</v>
          </cell>
          <cell r="Y328">
            <v>1512.5883252799999</v>
          </cell>
          <cell r="Z328">
            <v>1504.4959036600001</v>
          </cell>
          <cell r="AA328">
            <v>1510.3331143800001</v>
          </cell>
          <cell r="AB328">
            <v>1510.7705454500001</v>
          </cell>
          <cell r="AC328">
            <v>1510.90298936</v>
          </cell>
          <cell r="AD328">
            <v>1512.0905796500001</v>
          </cell>
          <cell r="AE328">
            <v>1511.75241422</v>
          </cell>
          <cell r="AF328">
            <v>1510.26308896</v>
          </cell>
          <cell r="AG328">
            <v>1508.2235452899999</v>
          </cell>
          <cell r="AH328">
            <v>1508.42451065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117.71259658726726</v>
          </cell>
          <cell r="E329">
            <v>1497.72</v>
          </cell>
          <cell r="F329">
            <v>1500.3511680900001</v>
          </cell>
          <cell r="G329">
            <v>1497.12592939</v>
          </cell>
          <cell r="H329">
            <v>1496.6325435700001</v>
          </cell>
          <cell r="I329">
            <v>1500.71989996</v>
          </cell>
          <cell r="J329">
            <v>1501.8730946000001</v>
          </cell>
          <cell r="K329">
            <v>1507.0180403700001</v>
          </cell>
          <cell r="L329">
            <v>1500.9487980599999</v>
          </cell>
          <cell r="M329">
            <v>1498.2571068100001</v>
          </cell>
          <cell r="N329">
            <v>1499.02903062</v>
          </cell>
          <cell r="O329">
            <v>1495.6000951799999</v>
          </cell>
          <cell r="P329">
            <v>1491.9199668399999</v>
          </cell>
          <cell r="Q329">
            <v>1493.5690919199999</v>
          </cell>
          <cell r="R329">
            <v>1498.7</v>
          </cell>
          <cell r="S329">
            <v>1503.9749999999999</v>
          </cell>
          <cell r="T329">
            <v>1498.1622167</v>
          </cell>
          <cell r="U329">
            <v>1506.13348683</v>
          </cell>
          <cell r="V329">
            <v>1508.73705924</v>
          </cell>
          <cell r="W329">
            <v>1514.3182461900001</v>
          </cell>
          <cell r="X329">
            <v>1519.3862967800001</v>
          </cell>
          <cell r="Y329">
            <v>1512.4170370500001</v>
          </cell>
          <cell r="Z329">
            <v>1503.30769416</v>
          </cell>
          <cell r="AA329">
            <v>1509.1313034</v>
          </cell>
          <cell r="AB329">
            <v>1509.5593315799999</v>
          </cell>
          <cell r="AC329">
            <v>1511.2775968399999</v>
          </cell>
          <cell r="AD329">
            <v>1512.48421164</v>
          </cell>
          <cell r="AE329">
            <v>1511.38680183</v>
          </cell>
          <cell r="AF329">
            <v>1510.12739347</v>
          </cell>
          <cell r="AG329">
            <v>1508.1115275499999</v>
          </cell>
          <cell r="AH329">
            <v>1508.40711874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140.99999999999866</v>
          </cell>
          <cell r="E330">
            <v>1487.80625059</v>
          </cell>
          <cell r="F330">
            <v>1486.9007193499999</v>
          </cell>
          <cell r="G330">
            <v>1483.7126016899999</v>
          </cell>
          <cell r="H330">
            <v>1483.23188177</v>
          </cell>
          <cell r="I330">
            <v>1487.30769199</v>
          </cell>
          <cell r="J330">
            <v>1488.44089411</v>
          </cell>
          <cell r="K330">
            <v>1493.5517408600001</v>
          </cell>
          <cell r="L330">
            <v>1487.1295288700001</v>
          </cell>
          <cell r="M330">
            <v>1484.4722805900001</v>
          </cell>
          <cell r="N330">
            <v>1485.2663638500001</v>
          </cell>
          <cell r="O330">
            <v>1481.8787297599999</v>
          </cell>
          <cell r="P330">
            <v>1479.8387499999999</v>
          </cell>
          <cell r="Q330">
            <v>1479.7469583300001</v>
          </cell>
          <cell r="R330">
            <v>1482.5580629900001</v>
          </cell>
          <cell r="S330">
            <v>1485.3243033399999</v>
          </cell>
          <cell r="T330">
            <v>1484.3095686300001</v>
          </cell>
          <cell r="U330">
            <v>1491.6433</v>
          </cell>
          <cell r="V330">
            <v>1495.1077775599999</v>
          </cell>
          <cell r="W330">
            <v>1500.6469935099999</v>
          </cell>
          <cell r="X330">
            <v>1505.6949275300001</v>
          </cell>
          <cell r="Y330">
            <v>1499.6949999999999</v>
          </cell>
          <cell r="Z330">
            <v>1489.85</v>
          </cell>
          <cell r="AA330">
            <v>1495.6699864</v>
          </cell>
          <cell r="AB330">
            <v>1496.09166086</v>
          </cell>
          <cell r="AC330">
            <v>1497.9929937500001</v>
          </cell>
          <cell r="AD330">
            <v>1494.3393000000001</v>
          </cell>
          <cell r="AE330">
            <v>1493.63</v>
          </cell>
          <cell r="AF330">
            <v>1493.6</v>
          </cell>
          <cell r="AG330">
            <v>1501.7535292800001</v>
          </cell>
          <cell r="AH330">
            <v>1494.9226670800001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146.77471164393265</v>
          </cell>
          <cell r="E331">
            <v>1497.96257363</v>
          </cell>
          <cell r="F331">
            <v>1487.92</v>
          </cell>
          <cell r="G331">
            <v>1493.8442647899999</v>
          </cell>
          <cell r="H331">
            <v>1493.36191725</v>
          </cell>
          <cell r="I331">
            <v>1497.47059577</v>
          </cell>
          <cell r="J331">
            <v>1494.7831867499999</v>
          </cell>
          <cell r="K331">
            <v>1499.9185773700001</v>
          </cell>
          <cell r="L331">
            <v>1481.68613648</v>
          </cell>
          <cell r="M331">
            <v>1490.71073054</v>
          </cell>
          <cell r="N331">
            <v>1491.51488477</v>
          </cell>
          <cell r="O331">
            <v>1488.11525944</v>
          </cell>
          <cell r="P331">
            <v>1484.5464682700001</v>
          </cell>
          <cell r="Q331">
            <v>1484.1</v>
          </cell>
          <cell r="R331">
            <v>1488.7991986</v>
          </cell>
          <cell r="S331">
            <v>1490.5</v>
          </cell>
          <cell r="T331">
            <v>1490.5602880700001</v>
          </cell>
          <cell r="U331">
            <v>1498.85788445</v>
          </cell>
          <cell r="V331">
            <v>1501.4592385599999</v>
          </cell>
          <cell r="W331">
            <v>1507.02394357</v>
          </cell>
          <cell r="X331">
            <v>1512.0992715100001</v>
          </cell>
          <cell r="Y331">
            <v>1505.7162760900001</v>
          </cell>
          <cell r="Z331">
            <v>1495.1335999999999</v>
          </cell>
          <cell r="AA331">
            <v>1504.32</v>
          </cell>
          <cell r="AB331">
            <v>1502.5346961299999</v>
          </cell>
          <cell r="AC331">
            <v>1504.4567188599999</v>
          </cell>
          <cell r="AD331">
            <v>1505.66579568</v>
          </cell>
          <cell r="AE331">
            <v>1504.2296982600001</v>
          </cell>
          <cell r="AF331">
            <v>1502.97232364</v>
          </cell>
          <cell r="AG331">
            <v>1500.97589565</v>
          </cell>
          <cell r="AH331">
            <v>1501.3099210299999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264.99999999999852</v>
          </cell>
          <cell r="E332">
            <v>1463.35</v>
          </cell>
          <cell r="F332">
            <v>1463.21942807</v>
          </cell>
          <cell r="G332">
            <v>1460.1110196699999</v>
          </cell>
          <cell r="H332">
            <v>1459.6670462</v>
          </cell>
          <cell r="I332">
            <v>1463.76670233</v>
          </cell>
          <cell r="J332">
            <v>1463.6046994200001</v>
          </cell>
          <cell r="K332">
            <v>1468.6759621900001</v>
          </cell>
          <cell r="L332">
            <v>1461.0288455</v>
          </cell>
          <cell r="M332">
            <v>1458.4536265700001</v>
          </cell>
          <cell r="N332">
            <v>1459.34116457</v>
          </cell>
          <cell r="O332">
            <v>1456.0487517399999</v>
          </cell>
          <cell r="P332">
            <v>1455.2883450100001</v>
          </cell>
          <cell r="Q332">
            <v>1457.3</v>
          </cell>
          <cell r="R332">
            <v>1458.4665254500001</v>
          </cell>
          <cell r="S332">
            <v>1461.21412351</v>
          </cell>
          <cell r="T332">
            <v>1460.22471883</v>
          </cell>
          <cell r="U332">
            <v>1467.4280000000001</v>
          </cell>
          <cell r="V332">
            <v>1470.59654697</v>
          </cell>
          <cell r="W332">
            <v>1476.0770772400001</v>
          </cell>
          <cell r="X332">
            <v>1481.1399802999999</v>
          </cell>
          <cell r="Y332">
            <v>1479.5606068699999</v>
          </cell>
          <cell r="Z332">
            <v>1469.7295368299999</v>
          </cell>
          <cell r="AA332">
            <v>1475.4143746100001</v>
          </cell>
          <cell r="AB332">
            <v>1475.82403647</v>
          </cell>
          <cell r="AC332">
            <v>1481.0355999999999</v>
          </cell>
          <cell r="AD332">
            <v>1477.09522861</v>
          </cell>
          <cell r="AE332">
            <v>1483.6131331700001</v>
          </cell>
          <cell r="AF332">
            <v>1472.5594560500001</v>
          </cell>
          <cell r="AG332">
            <v>1470.6354842999999</v>
          </cell>
          <cell r="AH332">
            <v>1471.0919609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271.99999999999824</v>
          </cell>
          <cell r="E333">
            <v>1462.66221593</v>
          </cell>
          <cell r="F333">
            <v>1461.8018019599999</v>
          </cell>
          <cell r="G333">
            <v>1458.69743275</v>
          </cell>
          <cell r="H333">
            <v>1458.25492457</v>
          </cell>
          <cell r="I333">
            <v>1462.3537789</v>
          </cell>
          <cell r="J333">
            <v>1454.4</v>
          </cell>
          <cell r="K333">
            <v>1467.13245824</v>
          </cell>
          <cell r="L333">
            <v>1459.45439403</v>
          </cell>
          <cell r="M333">
            <v>1456.8832938800001</v>
          </cell>
          <cell r="N333">
            <v>1457.7739626699999</v>
          </cell>
          <cell r="O333">
            <v>1454.48646237</v>
          </cell>
          <cell r="P333">
            <v>1455.6169</v>
          </cell>
          <cell r="Q333">
            <v>1454.31835785</v>
          </cell>
          <cell r="R333">
            <v>1457.09013205</v>
          </cell>
          <cell r="S333">
            <v>1459.8361298699999</v>
          </cell>
          <cell r="T333">
            <v>1458.84799337</v>
          </cell>
          <cell r="U333">
            <v>1471.7942</v>
          </cell>
          <cell r="V333">
            <v>1469.1195762699999</v>
          </cell>
          <cell r="W333">
            <v>1474.5958904500001</v>
          </cell>
          <cell r="X333">
            <v>1479.6576337500001</v>
          </cell>
          <cell r="Y333">
            <v>1478.44737349</v>
          </cell>
          <cell r="Z333">
            <v>1465.09</v>
          </cell>
          <cell r="AA333">
            <v>1474.2949877799999</v>
          </cell>
          <cell r="AB333">
            <v>1469.6733999999999</v>
          </cell>
          <cell r="AC333">
            <v>1474.5507566399999</v>
          </cell>
          <cell r="AD333">
            <v>1475.76286656</v>
          </cell>
          <cell r="AE333">
            <v>1472.92762687</v>
          </cell>
          <cell r="AF333">
            <v>1471.09763026</v>
          </cell>
          <cell r="AG333">
            <v>1469.17713712</v>
          </cell>
          <cell r="AH333">
            <v>1469.6394851800001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433.00000000000233</v>
          </cell>
          <cell r="E334">
            <v>1429.2141837199999</v>
          </cell>
          <cell r="F334">
            <v>1428.3833267699999</v>
          </cell>
          <cell r="G334">
            <v>1425.35992992</v>
          </cell>
          <cell r="H334">
            <v>1424.9376779700001</v>
          </cell>
          <cell r="I334">
            <v>1428.9742647</v>
          </cell>
          <cell r="J334">
            <v>1424.5138738799999</v>
          </cell>
          <cell r="K334">
            <v>1429.47719942</v>
          </cell>
          <cell r="L334">
            <v>1420.77</v>
          </cell>
          <cell r="M334">
            <v>1419.50000598</v>
          </cell>
          <cell r="N334">
            <v>1420.4165469100001</v>
          </cell>
          <cell r="O334">
            <v>1417.2298117800001</v>
          </cell>
          <cell r="P334">
            <v>1422.0797126099999</v>
          </cell>
          <cell r="Q334">
            <v>1422.6582618100001</v>
          </cell>
          <cell r="R334">
            <v>1425.3734821999999</v>
          </cell>
          <cell r="S334">
            <v>1428.07132374</v>
          </cell>
          <cell r="T334">
            <v>1427.1086360199999</v>
          </cell>
          <cell r="U334">
            <v>1431.2608829599999</v>
          </cell>
          <cell r="V334">
            <v>1433.7925956300001</v>
          </cell>
          <cell r="W334">
            <v>1439.154642</v>
          </cell>
          <cell r="X334">
            <v>1444.1479240399999</v>
          </cell>
          <cell r="Y334">
            <v>1452.47224796</v>
          </cell>
          <cell r="Z334">
            <v>1442.9424766899999</v>
          </cell>
          <cell r="AA334">
            <v>1448.5286968600001</v>
          </cell>
          <cell r="AB334">
            <v>1448.93581672</v>
          </cell>
          <cell r="AC334">
            <v>1442.1830076799999</v>
          </cell>
          <cell r="AD334">
            <v>1443.3909311</v>
          </cell>
          <cell r="AE334">
            <v>1438.59978813</v>
          </cell>
          <cell r="AF334">
            <v>1435.3590467199999</v>
          </cell>
          <cell r="AG334">
            <v>1433.51256302</v>
          </cell>
          <cell r="AH334">
            <v>1434.07401615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600.02359203423896</v>
          </cell>
          <cell r="E335">
            <v>1423.5602754199999</v>
          </cell>
          <cell r="F335">
            <v>1422.7250110800001</v>
          </cell>
          <cell r="G335">
            <v>1419.71277932</v>
          </cell>
          <cell r="H335">
            <v>1419.28526027</v>
          </cell>
          <cell r="I335">
            <v>1423.2646443799999</v>
          </cell>
          <cell r="J335">
            <v>1408.5106912399999</v>
          </cell>
          <cell r="K335">
            <v>1413.42065695</v>
          </cell>
          <cell r="L335">
            <v>1407.5</v>
          </cell>
          <cell r="M335">
            <v>1405.0084927800001</v>
          </cell>
          <cell r="N335">
            <v>1405.9017867299999</v>
          </cell>
          <cell r="O335">
            <v>1402.7431823300001</v>
          </cell>
          <cell r="P335">
            <v>1409.8183464900001</v>
          </cell>
          <cell r="Q335">
            <v>1414.67547522</v>
          </cell>
          <cell r="R335">
            <v>1417.3740642099999</v>
          </cell>
          <cell r="S335">
            <v>1420.05270913</v>
          </cell>
          <cell r="T335">
            <v>1419.0941225500001</v>
          </cell>
          <cell r="U335">
            <v>1418.50703436</v>
          </cell>
          <cell r="V335">
            <v>1421.0166593500001</v>
          </cell>
          <cell r="W335">
            <v>1426.3314773</v>
          </cell>
          <cell r="X335">
            <v>1431.2823894000001</v>
          </cell>
          <cell r="Y335">
            <v>1449.3149961300001</v>
          </cell>
          <cell r="Z335">
            <v>1439.86315625</v>
          </cell>
          <cell r="AA335">
            <v>1445.4515927699999</v>
          </cell>
          <cell r="AB335">
            <v>1445.87195316</v>
          </cell>
          <cell r="AC335">
            <v>1430.9583675599999</v>
          </cell>
          <cell r="AD335">
            <v>1432.1700892900001</v>
          </cell>
          <cell r="AE335">
            <v>1424.7494612999999</v>
          </cell>
          <cell r="AF335">
            <v>1420.0012680299999</v>
          </cell>
          <cell r="AG335">
            <v>1418.1901341099999</v>
          </cell>
          <cell r="AH335">
            <v>1418.80857186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458.21546243437496</v>
          </cell>
          <cell r="F336">
            <v>458.24382612749991</v>
          </cell>
          <cell r="G336">
            <v>458.27218982062499</v>
          </cell>
          <cell r="H336">
            <v>456.98796329999999</v>
          </cell>
          <cell r="I336">
            <v>456.76273677187493</v>
          </cell>
          <cell r="J336">
            <v>457.61841363375004</v>
          </cell>
          <cell r="K336">
            <v>457.64672810062496</v>
          </cell>
          <cell r="L336">
            <v>459.19211478750003</v>
          </cell>
          <cell r="M336">
            <v>458.63624747249997</v>
          </cell>
          <cell r="N336">
            <v>457.85393240999997</v>
          </cell>
          <cell r="O336">
            <v>457.88228125312497</v>
          </cell>
          <cell r="P336">
            <v>456.80763397499999</v>
          </cell>
          <cell r="Q336">
            <v>456.8358842925</v>
          </cell>
          <cell r="R336">
            <v>453.69995999999998</v>
          </cell>
          <cell r="S336">
            <v>454.47402</v>
          </cell>
          <cell r="T336">
            <v>454.10514000000001</v>
          </cell>
          <cell r="U336">
            <v>454.88891999999998</v>
          </cell>
          <cell r="V336">
            <v>455.62245000000001</v>
          </cell>
          <cell r="W336">
            <v>457.18986000000001</v>
          </cell>
          <cell r="X336">
            <v>458.62689</v>
          </cell>
          <cell r="Y336">
            <v>457.19090999999997</v>
          </cell>
          <cell r="Z336">
            <v>455.25626999999997</v>
          </cell>
          <cell r="AA336">
            <v>456.96762000000001</v>
          </cell>
          <cell r="AB336">
            <v>456.92604</v>
          </cell>
          <cell r="AC336">
            <v>455.77443</v>
          </cell>
          <cell r="AD336">
            <v>456.09005999999999</v>
          </cell>
          <cell r="AE336">
            <v>456.21408000000002</v>
          </cell>
          <cell r="AF336">
            <v>455.53089</v>
          </cell>
          <cell r="AG336">
            <v>454.76298000000003</v>
          </cell>
          <cell r="AH336">
            <v>454.75628999999998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  <cell r="O337">
            <v>9.9999999999999995E-8</v>
          </cell>
          <cell r="P337">
            <v>9.9999999999999995E-8</v>
          </cell>
          <cell r="Q337">
            <v>9.9999999999999995E-8</v>
          </cell>
          <cell r="R337">
            <v>9.9999999999999995E-8</v>
          </cell>
          <cell r="S337">
            <v>9.9999999999999995E-8</v>
          </cell>
          <cell r="T337">
            <v>9.9999999999999995E-8</v>
          </cell>
          <cell r="U337">
            <v>9.9999999999999995E-8</v>
          </cell>
          <cell r="V337">
            <v>9.9999999999999995E-8</v>
          </cell>
          <cell r="W337">
            <v>9.9999999999999995E-8</v>
          </cell>
          <cell r="X337">
            <v>9.9999999999999995E-8</v>
          </cell>
          <cell r="Y337">
            <v>9.9999999999999995E-8</v>
          </cell>
          <cell r="Z337">
            <v>9.9999999999999995E-8</v>
          </cell>
          <cell r="AA337">
            <v>9.9999999999999995E-8</v>
          </cell>
          <cell r="AB337">
            <v>9.9999999999999995E-8</v>
          </cell>
          <cell r="AC337">
            <v>9.9999999999999995E-8</v>
          </cell>
          <cell r="AD337">
            <v>9.9999999999999995E-8</v>
          </cell>
          <cell r="AE337">
            <v>9.9999999999999995E-8</v>
          </cell>
          <cell r="AF337">
            <v>9.9999999999999995E-8</v>
          </cell>
          <cell r="AG337">
            <v>9.9999999999999995E-8</v>
          </cell>
          <cell r="AH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7.0000000000106501</v>
          </cell>
          <cell r="E341">
            <v>0.31128144000000002</v>
          </cell>
          <cell r="F341">
            <v>0.31166972999999998</v>
          </cell>
          <cell r="G341">
            <v>0.31199138999999998</v>
          </cell>
          <cell r="H341">
            <v>0.31279167000000002</v>
          </cell>
          <cell r="I341">
            <v>0.31314425000000001</v>
          </cell>
          <cell r="J341">
            <v>0.31341397999999998</v>
          </cell>
          <cell r="K341">
            <v>0.31363011000000002</v>
          </cell>
          <cell r="L341">
            <v>0.31381907999999997</v>
          </cell>
          <cell r="M341">
            <v>0.31444516</v>
          </cell>
          <cell r="N341">
            <v>0.31464028999999999</v>
          </cell>
          <cell r="O341">
            <v>0.31503381000000003</v>
          </cell>
          <cell r="P341">
            <v>0.31507497000000001</v>
          </cell>
          <cell r="Q341">
            <v>0.31532829000000001</v>
          </cell>
          <cell r="R341">
            <v>0.24684790000000001</v>
          </cell>
          <cell r="S341">
            <v>0.24703717</v>
          </cell>
          <cell r="T341">
            <v>0.24731184000000001</v>
          </cell>
          <cell r="U341">
            <v>0.24731764000000001</v>
          </cell>
          <cell r="V341">
            <v>0.24741550000000001</v>
          </cell>
          <cell r="W341">
            <v>0.24793973</v>
          </cell>
          <cell r="X341">
            <v>0.24806228</v>
          </cell>
          <cell r="Y341">
            <v>0.24824192</v>
          </cell>
          <cell r="Z341">
            <v>0.24840889999999999</v>
          </cell>
          <cell r="AA341">
            <v>0.24858078</v>
          </cell>
          <cell r="AB341">
            <v>0.24914475999999999</v>
          </cell>
          <cell r="AC341">
            <v>0.24934798999999999</v>
          </cell>
          <cell r="AD341">
            <v>0.2495242</v>
          </cell>
          <cell r="AE341">
            <v>0.24972501999999999</v>
          </cell>
          <cell r="AF341">
            <v>0.24996604</v>
          </cell>
          <cell r="AG341">
            <v>0.25068829999999998</v>
          </cell>
          <cell r="AH341">
            <v>0.25090884000000002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6.9999999999997007</v>
          </cell>
          <cell r="E342">
            <v>0.31995118</v>
          </cell>
          <cell r="F342">
            <v>0.32035324999999998</v>
          </cell>
          <cell r="G342">
            <v>0.32068497000000001</v>
          </cell>
          <cell r="H342">
            <v>0.32151001000000001</v>
          </cell>
          <cell r="I342">
            <v>0.32187524000000001</v>
          </cell>
          <cell r="J342">
            <v>0.32215364000000002</v>
          </cell>
          <cell r="K342">
            <v>0.32237548999999999</v>
          </cell>
          <cell r="L342">
            <v>0.32256909</v>
          </cell>
          <cell r="M342">
            <v>0.32321126999999999</v>
          </cell>
          <cell r="N342">
            <v>0.32341094999999997</v>
          </cell>
          <cell r="O342">
            <v>0.32382140999999998</v>
          </cell>
          <cell r="P342">
            <v>0.32385733</v>
          </cell>
          <cell r="Q342">
            <v>0.32410709999999998</v>
          </cell>
          <cell r="R342">
            <v>0.25372222999999999</v>
          </cell>
          <cell r="S342">
            <v>0.25391677000000001</v>
          </cell>
          <cell r="T342">
            <v>0.25419909000000002</v>
          </cell>
          <cell r="U342">
            <v>0.25420504999999999</v>
          </cell>
          <cell r="V342">
            <v>0.25430564</v>
          </cell>
          <cell r="W342">
            <v>0.25484446999999999</v>
          </cell>
          <cell r="X342">
            <v>0.25497043000000003</v>
          </cell>
          <cell r="Y342">
            <v>0.25515505999999999</v>
          </cell>
          <cell r="Z342">
            <v>0.25532669000000002</v>
          </cell>
          <cell r="AA342">
            <v>0.25550337000000001</v>
          </cell>
          <cell r="AB342">
            <v>0.25608304999999998</v>
          </cell>
          <cell r="AC342">
            <v>0.25629194</v>
          </cell>
          <cell r="AD342">
            <v>0.25647305999999997</v>
          </cell>
          <cell r="AE342">
            <v>0.25667947000000002</v>
          </cell>
          <cell r="AF342">
            <v>0.25692721000000002</v>
          </cell>
          <cell r="AG342">
            <v>0.25766958000000001</v>
          </cell>
          <cell r="AH342">
            <v>0.25789625999999999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166.9698349451821</v>
          </cell>
          <cell r="E343">
            <v>0.95119063000000004</v>
          </cell>
          <cell r="F343">
            <v>0.95110086999999999</v>
          </cell>
          <cell r="G343">
            <v>0.95183466000000005</v>
          </cell>
          <cell r="H343">
            <v>0.95319341999999996</v>
          </cell>
          <cell r="I343">
            <v>0.95423122000000005</v>
          </cell>
          <cell r="J343">
            <v>0.95559503999999995</v>
          </cell>
          <cell r="K343">
            <v>0.95583118</v>
          </cell>
          <cell r="L343">
            <v>0.95679857000000001</v>
          </cell>
          <cell r="M343">
            <v>0.95793691000000003</v>
          </cell>
          <cell r="N343">
            <v>0.95941149999999997</v>
          </cell>
          <cell r="O343">
            <v>0.96206806</v>
          </cell>
          <cell r="P343">
            <v>0.96320523000000002</v>
          </cell>
          <cell r="Q343">
            <v>0.96469362000000003</v>
          </cell>
          <cell r="R343">
            <v>0.86792554</v>
          </cell>
          <cell r="S343">
            <v>0.86874503999999997</v>
          </cell>
          <cell r="T343">
            <v>0.87510739000000004</v>
          </cell>
          <cell r="U343">
            <v>0.87550318000000005</v>
          </cell>
          <cell r="V343">
            <v>0.87623698000000005</v>
          </cell>
          <cell r="W343">
            <v>0.87704649000000001</v>
          </cell>
          <cell r="X343">
            <v>0.87576668000000002</v>
          </cell>
          <cell r="Y343">
            <v>0.87674406999999999</v>
          </cell>
          <cell r="Z343">
            <v>0.87738391000000004</v>
          </cell>
          <cell r="AA343">
            <v>0.87776131000000002</v>
          </cell>
          <cell r="AB343">
            <v>0.87933216000000003</v>
          </cell>
          <cell r="AC343">
            <v>0.88086299000000001</v>
          </cell>
          <cell r="AD343">
            <v>0.88148320999999996</v>
          </cell>
          <cell r="AE343">
            <v>0.88157518000000001</v>
          </cell>
          <cell r="AF343">
            <v>0.88198122999999995</v>
          </cell>
          <cell r="AG343">
            <v>0.88415927999999999</v>
          </cell>
          <cell r="AH343">
            <v>0.88711264999999995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204.66207003144476</v>
          </cell>
          <cell r="T344">
            <v>0.99351482999999996</v>
          </cell>
          <cell r="U344">
            <v>0.99462419999999996</v>
          </cell>
          <cell r="V344">
            <v>0.99586858</v>
          </cell>
          <cell r="W344">
            <v>0.99645943999999997</v>
          </cell>
          <cell r="X344">
            <v>0.99455112000000001</v>
          </cell>
          <cell r="Y344">
            <v>0.99583940999999998</v>
          </cell>
          <cell r="Z344">
            <v>0.99666186000000001</v>
          </cell>
          <cell r="AA344">
            <v>0.99710160000000003</v>
          </cell>
          <cell r="AB344">
            <v>0.99878445000000005</v>
          </cell>
          <cell r="AC344">
            <v>1.0008513699999999</v>
          </cell>
          <cell r="AD344">
            <v>1.00169946</v>
          </cell>
          <cell r="AE344">
            <v>1.00147795</v>
          </cell>
          <cell r="AF344">
            <v>1.0014357</v>
          </cell>
          <cell r="AG344">
            <v>1.00405224</v>
          </cell>
          <cell r="AH344">
            <v>1.0079268400000001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14.000000000039549</v>
          </cell>
          <cell r="E345">
            <v>4.8909569999999999E-2</v>
          </cell>
          <cell r="F345">
            <v>4.8965689999999999E-2</v>
          </cell>
          <cell r="G345">
            <v>4.9016480000000001E-2</v>
          </cell>
          <cell r="H345">
            <v>4.9138179999999997E-2</v>
          </cell>
          <cell r="I345">
            <v>4.9188969999999999E-2</v>
          </cell>
          <cell r="J345">
            <v>4.922965E-2</v>
          </cell>
          <cell r="K345">
            <v>4.9265360000000001E-2</v>
          </cell>
          <cell r="L345">
            <v>4.9296029999999998E-2</v>
          </cell>
          <cell r="M345">
            <v>4.9399409999999998E-2</v>
          </cell>
          <cell r="N345">
            <v>4.943264E-2</v>
          </cell>
          <cell r="O345">
            <v>4.9481879999999999E-2</v>
          </cell>
          <cell r="P345">
            <v>4.9503449999999997E-2</v>
          </cell>
          <cell r="Q345">
            <v>4.9540189999999998E-2</v>
          </cell>
          <cell r="R345">
            <v>4.9641699999999997E-2</v>
          </cell>
          <cell r="S345">
            <v>4.9677649999999997E-2</v>
          </cell>
          <cell r="T345">
            <v>4.9715969999999998E-2</v>
          </cell>
          <cell r="U345">
            <v>4.9744770000000001E-2</v>
          </cell>
          <cell r="V345">
            <v>4.9778490000000002E-2</v>
          </cell>
          <cell r="W345">
            <v>2.3798940000000001E-2</v>
          </cell>
          <cell r="X345">
            <v>2.3808300000000001E-2</v>
          </cell>
          <cell r="Y345">
            <v>2.3825019999999999E-2</v>
          </cell>
          <cell r="Z345">
            <v>2.384068E-2</v>
          </cell>
          <cell r="AA345">
            <v>2.385557E-2</v>
          </cell>
          <cell r="AB345">
            <v>2.3908829999999999E-2</v>
          </cell>
          <cell r="AC345">
            <v>2.392886E-2</v>
          </cell>
          <cell r="AD345">
            <v>2.3944989999999999E-2</v>
          </cell>
          <cell r="AE345">
            <v>2.3964579999999999E-2</v>
          </cell>
          <cell r="AF345">
            <v>2.3990379999999999E-2</v>
          </cell>
          <cell r="AG345">
            <v>2.4057149999999999E-2</v>
          </cell>
          <cell r="AH345">
            <v>2.4081439999999999E-2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13.99999999997385</v>
          </cell>
          <cell r="E346">
            <v>0.11830316</v>
          </cell>
          <cell r="F346">
            <v>0.11843892</v>
          </cell>
          <cell r="G346">
            <v>0.11856177</v>
          </cell>
          <cell r="H346">
            <v>0.11885613</v>
          </cell>
          <cell r="I346">
            <v>0.11897898</v>
          </cell>
          <cell r="J346">
            <v>0.11907737</v>
          </cell>
          <cell r="K346">
            <v>0.11916374</v>
          </cell>
          <cell r="L346">
            <v>0.11923795</v>
          </cell>
          <cell r="M346">
            <v>0.11948797999999999</v>
          </cell>
          <cell r="N346">
            <v>0.11956838</v>
          </cell>
          <cell r="O346">
            <v>0.11968748</v>
          </cell>
          <cell r="P346">
            <v>0.11973965</v>
          </cell>
          <cell r="Q346">
            <v>0.11982851</v>
          </cell>
          <cell r="R346">
            <v>0.12007404000000001</v>
          </cell>
          <cell r="S346">
            <v>0.12016099</v>
          </cell>
          <cell r="T346">
            <v>0.12025371</v>
          </cell>
          <cell r="U346">
            <v>0.12032336</v>
          </cell>
          <cell r="V346">
            <v>0.12040491</v>
          </cell>
          <cell r="W346">
            <v>7.7885650000000001E-2</v>
          </cell>
          <cell r="X346">
            <v>7.7916280000000004E-2</v>
          </cell>
          <cell r="Y346">
            <v>7.7971009999999993E-2</v>
          </cell>
          <cell r="Z346">
            <v>7.8022240000000007E-2</v>
          </cell>
          <cell r="AA346">
            <v>7.8070979999999998E-2</v>
          </cell>
          <cell r="AB346">
            <v>7.824528E-2</v>
          </cell>
          <cell r="AC346">
            <v>7.8310829999999998E-2</v>
          </cell>
          <cell r="AD346">
            <v>7.8363630000000004E-2</v>
          </cell>
          <cell r="AE346">
            <v>7.8427730000000001E-2</v>
          </cell>
          <cell r="AF346">
            <v>7.8512170000000006E-2</v>
          </cell>
          <cell r="AG346">
            <v>7.8730690000000006E-2</v>
          </cell>
          <cell r="AH346">
            <v>7.8810179999999994E-2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6.9999999999559002</v>
          </cell>
          <cell r="E347">
            <v>0.11668934</v>
          </cell>
          <cell r="F347">
            <v>0.11681542</v>
          </cell>
          <cell r="G347">
            <v>0.11692677999999999</v>
          </cell>
          <cell r="H347">
            <v>0.11720619</v>
          </cell>
          <cell r="I347">
            <v>0.11731465000000001</v>
          </cell>
          <cell r="J347">
            <v>0.11740599</v>
          </cell>
          <cell r="K347">
            <v>0.11748963</v>
          </cell>
          <cell r="L347">
            <v>0.1175658</v>
          </cell>
          <cell r="M347">
            <v>0.11781183000000001</v>
          </cell>
          <cell r="N347">
            <v>0.11789241</v>
          </cell>
          <cell r="O347">
            <v>0.11798975</v>
          </cell>
          <cell r="P347">
            <v>0.11805876</v>
          </cell>
          <cell r="Q347">
            <v>0.11814245</v>
          </cell>
          <cell r="R347">
            <v>6.6280489999999997E-2</v>
          </cell>
          <cell r="S347">
            <v>6.6332530000000001E-2</v>
          </cell>
          <cell r="T347">
            <v>6.6407759999999996E-2</v>
          </cell>
          <cell r="U347">
            <v>6.6409830000000003E-2</v>
          </cell>
          <cell r="V347">
            <v>6.6435859999999999E-2</v>
          </cell>
          <cell r="W347">
            <v>6.6576109999999994E-2</v>
          </cell>
          <cell r="X347">
            <v>6.6608150000000005E-2</v>
          </cell>
          <cell r="Y347">
            <v>6.6655720000000002E-2</v>
          </cell>
          <cell r="Z347">
            <v>6.6701099999999999E-2</v>
          </cell>
          <cell r="AA347">
            <v>6.6745319999999997E-2</v>
          </cell>
          <cell r="AB347">
            <v>6.6895940000000001E-2</v>
          </cell>
          <cell r="AC347">
            <v>6.6950519999999999E-2</v>
          </cell>
          <cell r="AD347">
            <v>6.6997849999999998E-2</v>
          </cell>
          <cell r="AE347">
            <v>6.7051780000000005E-2</v>
          </cell>
          <cell r="AF347">
            <v>6.7116510000000004E-2</v>
          </cell>
          <cell r="AG347">
            <v>6.7310499999999995E-2</v>
          </cell>
          <cell r="AH347">
            <v>6.7369719999999994E-2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13.000000000173602</v>
          </cell>
          <cell r="E348">
            <v>6.7115040000000001E-2</v>
          </cell>
          <cell r="F348">
            <v>6.7188380000000006E-2</v>
          </cell>
          <cell r="G348">
            <v>6.725486E-2</v>
          </cell>
          <cell r="H348">
            <v>6.7418329999999999E-2</v>
          </cell>
          <cell r="I348">
            <v>6.7483879999999996E-2</v>
          </cell>
          <cell r="J348">
            <v>6.7537829999999993E-2</v>
          </cell>
          <cell r="K348">
            <v>6.7586320000000005E-2</v>
          </cell>
          <cell r="L348">
            <v>6.7629369999999994E-2</v>
          </cell>
          <cell r="M348">
            <v>6.7771029999999996E-2</v>
          </cell>
          <cell r="N348">
            <v>6.7817020000000006E-2</v>
          </cell>
          <cell r="O348">
            <v>6.7878010000000003E-2</v>
          </cell>
          <cell r="P348">
            <v>6.7913260000000003E-2</v>
          </cell>
          <cell r="Q348">
            <v>6.7962540000000002E-2</v>
          </cell>
          <cell r="R348">
            <v>6.8103629999999998E-2</v>
          </cell>
          <cell r="S348">
            <v>6.8152180000000007E-2</v>
          </cell>
          <cell r="T348">
            <v>6.8201109999999995E-2</v>
          </cell>
          <cell r="U348">
            <v>2.6332299999999999E-2</v>
          </cell>
          <cell r="V348">
            <v>2.63409E-2</v>
          </cell>
          <cell r="W348">
            <v>2.6395680000000001E-2</v>
          </cell>
          <cell r="X348">
            <v>2.64064E-2</v>
          </cell>
          <cell r="Y348">
            <v>2.6424989999999999E-2</v>
          </cell>
          <cell r="Z348">
            <v>2.6442440000000001E-2</v>
          </cell>
          <cell r="AA348">
            <v>2.6459099999999999E-2</v>
          </cell>
          <cell r="AB348">
            <v>2.6518259999999998E-2</v>
          </cell>
          <cell r="AC348">
            <v>2.6540399999999999E-2</v>
          </cell>
          <cell r="AD348">
            <v>2.6558410000000001E-2</v>
          </cell>
          <cell r="AE348">
            <v>2.6580099999999999E-2</v>
          </cell>
          <cell r="AF348">
            <v>2.660831E-2</v>
          </cell>
          <cell r="AG348">
            <v>2.668276E-2</v>
          </cell>
          <cell r="AH348">
            <v>2.6709210000000001E-2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13.000000000023949</v>
          </cell>
          <cell r="E349">
            <v>0.10162334000000001</v>
          </cell>
          <cell r="F349">
            <v>0.10173438999999999</v>
          </cell>
          <cell r="G349">
            <v>0.10183506000000001</v>
          </cell>
          <cell r="H349">
            <v>0.10208257</v>
          </cell>
          <cell r="I349">
            <v>0.10218183</v>
          </cell>
          <cell r="J349">
            <v>0.10226351</v>
          </cell>
          <cell r="K349">
            <v>0.10233694</v>
          </cell>
          <cell r="L349">
            <v>0.10240212999999999</v>
          </cell>
          <cell r="M349">
            <v>0.10261663</v>
          </cell>
          <cell r="N349">
            <v>0.10268626</v>
          </cell>
          <cell r="O349">
            <v>0.10277862</v>
          </cell>
          <cell r="P349">
            <v>0.10283199</v>
          </cell>
          <cell r="Q349">
            <v>0.1029066</v>
          </cell>
          <cell r="R349">
            <v>0.10312024</v>
          </cell>
          <cell r="S349">
            <v>0.10319375</v>
          </cell>
          <cell r="T349">
            <v>0.10326784</v>
          </cell>
          <cell r="U349">
            <v>5.8438810000000001E-2</v>
          </cell>
          <cell r="V349">
            <v>5.84579E-2</v>
          </cell>
          <cell r="W349">
            <v>5.8579480000000003E-2</v>
          </cell>
          <cell r="X349">
            <v>5.8603250000000003E-2</v>
          </cell>
          <cell r="Y349">
            <v>5.8644509999999997E-2</v>
          </cell>
          <cell r="Z349">
            <v>5.8683230000000003E-2</v>
          </cell>
          <cell r="AA349">
            <v>5.8720210000000002E-2</v>
          </cell>
          <cell r="AB349">
            <v>5.8851519999999997E-2</v>
          </cell>
          <cell r="AC349">
            <v>5.8900639999999997E-2</v>
          </cell>
          <cell r="AD349">
            <v>5.8940619999999999E-2</v>
          </cell>
          <cell r="AE349">
            <v>5.898875E-2</v>
          </cell>
          <cell r="AF349">
            <v>5.9051359999999997E-2</v>
          </cell>
          <cell r="AG349">
            <v>5.921659E-2</v>
          </cell>
          <cell r="AH349">
            <v>5.927528E-2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12.9999999999692</v>
          </cell>
          <cell r="E350">
            <v>0.13913170999999999</v>
          </cell>
          <cell r="F350">
            <v>0.13928373999999999</v>
          </cell>
          <cell r="G350">
            <v>0.13942156999999999</v>
          </cell>
          <cell r="H350">
            <v>0.13976044000000001</v>
          </cell>
          <cell r="I350">
            <v>0.13989634000000001</v>
          </cell>
          <cell r="J350">
            <v>0.14000815999999999</v>
          </cell>
          <cell r="K350">
            <v>0.14010869000000001</v>
          </cell>
          <cell r="L350">
            <v>0.14019794999999999</v>
          </cell>
          <cell r="M350">
            <v>0.14049160999999999</v>
          </cell>
          <cell r="N350">
            <v>0.14058694999999999</v>
          </cell>
          <cell r="O350">
            <v>0.14071338999999999</v>
          </cell>
          <cell r="P350">
            <v>0.14078646</v>
          </cell>
          <cell r="Q350">
            <v>0.14088861</v>
          </cell>
          <cell r="R350">
            <v>0.14118109000000001</v>
          </cell>
          <cell r="S350">
            <v>0.14128173999999999</v>
          </cell>
          <cell r="T350">
            <v>0.14138318</v>
          </cell>
          <cell r="U350">
            <v>9.5453339999999998E-2</v>
          </cell>
          <cell r="V350">
            <v>9.5484529999999998E-2</v>
          </cell>
          <cell r="W350">
            <v>9.5683119999999997E-2</v>
          </cell>
          <cell r="X350">
            <v>9.572195E-2</v>
          </cell>
          <cell r="Y350">
            <v>9.5789330000000006E-2</v>
          </cell>
          <cell r="Z350">
            <v>9.5852590000000001E-2</v>
          </cell>
          <cell r="AA350">
            <v>9.5912990000000004E-2</v>
          </cell>
          <cell r="AB350">
            <v>9.6127459999999998E-2</v>
          </cell>
          <cell r="AC350">
            <v>9.6207699999999993E-2</v>
          </cell>
          <cell r="AD350">
            <v>9.6273010000000006E-2</v>
          </cell>
          <cell r="AE350">
            <v>9.6351610000000004E-2</v>
          </cell>
          <cell r="AF350">
            <v>9.6453880000000006E-2</v>
          </cell>
          <cell r="AG350">
            <v>9.6723770000000001E-2</v>
          </cell>
          <cell r="AH350">
            <v>9.6819630000000004E-2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13.000000000027601</v>
          </cell>
          <cell r="E351">
            <v>0.23323720000000001</v>
          </cell>
          <cell r="F351">
            <v>0.23349206</v>
          </cell>
          <cell r="G351">
            <v>0.23372312000000001</v>
          </cell>
          <cell r="H351">
            <v>0.23429117999999999</v>
          </cell>
          <cell r="I351">
            <v>0.23451900000000001</v>
          </cell>
          <cell r="J351">
            <v>0.23470646000000001</v>
          </cell>
          <cell r="K351">
            <v>0.23487499000000001</v>
          </cell>
          <cell r="L351">
            <v>0.23502460999999999</v>
          </cell>
          <cell r="M351">
            <v>0.2355169</v>
          </cell>
          <cell r="N351">
            <v>0.23567672000000001</v>
          </cell>
          <cell r="O351">
            <v>0.23588867999999999</v>
          </cell>
          <cell r="P351">
            <v>0.23601117999999999</v>
          </cell>
          <cell r="Q351">
            <v>0.23618242</v>
          </cell>
          <cell r="R351">
            <v>0.23667273999999999</v>
          </cell>
          <cell r="S351">
            <v>0.23684146</v>
          </cell>
          <cell r="T351">
            <v>0.23701151000000001</v>
          </cell>
          <cell r="U351">
            <v>0.18791764</v>
          </cell>
          <cell r="V351">
            <v>0.18797902999999999</v>
          </cell>
          <cell r="W351">
            <v>0.18836998999999999</v>
          </cell>
          <cell r="X351">
            <v>0.18844643999999999</v>
          </cell>
          <cell r="Y351">
            <v>0.1885791</v>
          </cell>
          <cell r="Z351">
            <v>0.18870363000000001</v>
          </cell>
          <cell r="AA351">
            <v>0.18882254000000001</v>
          </cell>
          <cell r="AB351">
            <v>0.18924477000000001</v>
          </cell>
          <cell r="AC351">
            <v>0.18940272999999999</v>
          </cell>
          <cell r="AD351">
            <v>0.18953130000000001</v>
          </cell>
          <cell r="AE351">
            <v>0.18968604</v>
          </cell>
          <cell r="AF351">
            <v>0.18988737999999999</v>
          </cell>
          <cell r="AG351">
            <v>0.1904187</v>
          </cell>
          <cell r="AH351">
            <v>0.19060743999999999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2.00000000002025</v>
          </cell>
          <cell r="E352">
            <v>9.7590670000000004E-2</v>
          </cell>
          <cell r="F352">
            <v>9.7684179999999995E-2</v>
          </cell>
          <cell r="G352">
            <v>9.7770049999999997E-2</v>
          </cell>
          <cell r="H352">
            <v>9.7995260000000001E-2</v>
          </cell>
          <cell r="I352">
            <v>9.8076479999999994E-2</v>
          </cell>
          <cell r="J352">
            <v>9.8148780000000005E-2</v>
          </cell>
          <cell r="K352">
            <v>9.8217529999999997E-2</v>
          </cell>
          <cell r="L352">
            <v>9.8283540000000003E-2</v>
          </cell>
          <cell r="M352">
            <v>9.8488829999999999E-2</v>
          </cell>
          <cell r="N352">
            <v>3.8837990000000003E-2</v>
          </cell>
          <cell r="O352">
            <v>3.88919E-2</v>
          </cell>
          <cell r="P352">
            <v>3.8897059999999997E-2</v>
          </cell>
          <cell r="Q352">
            <v>3.892868E-2</v>
          </cell>
          <cell r="R352">
            <v>3.9004520000000001E-2</v>
          </cell>
          <cell r="S352">
            <v>3.9034609999999997E-2</v>
          </cell>
          <cell r="T352">
            <v>3.9075270000000002E-2</v>
          </cell>
          <cell r="U352">
            <v>3.9080910000000003E-2</v>
          </cell>
          <cell r="V352">
            <v>3.9098510000000003E-2</v>
          </cell>
          <cell r="W352">
            <v>3.9182040000000001E-2</v>
          </cell>
          <cell r="X352">
            <v>3.9203340000000003E-2</v>
          </cell>
          <cell r="Y352">
            <v>3.9231700000000001E-2</v>
          </cell>
          <cell r="Z352">
            <v>3.9259130000000003E-2</v>
          </cell>
          <cell r="AA352">
            <v>3.928624E-2</v>
          </cell>
          <cell r="AB352">
            <v>3.9375540000000001E-2</v>
          </cell>
          <cell r="AC352">
            <v>3.9407039999999997E-2</v>
          </cell>
          <cell r="AD352">
            <v>3.9435810000000002E-2</v>
          </cell>
          <cell r="AE352">
            <v>3.9467080000000002E-2</v>
          </cell>
          <cell r="AF352">
            <v>3.950178E-2</v>
          </cell>
          <cell r="AG352">
            <v>3.961916E-2</v>
          </cell>
          <cell r="AH352">
            <v>3.9650339999999999E-2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13.000000000023949</v>
          </cell>
          <cell r="E353">
            <v>0.16370024</v>
          </cell>
          <cell r="F353">
            <v>0.16390009999999999</v>
          </cell>
          <cell r="G353">
            <v>0.16407157</v>
          </cell>
          <cell r="H353">
            <v>0.16448799</v>
          </cell>
          <cell r="I353">
            <v>0.16466919999999999</v>
          </cell>
          <cell r="J353">
            <v>0.16481006000000001</v>
          </cell>
          <cell r="K353">
            <v>0.16492641999999999</v>
          </cell>
          <cell r="L353">
            <v>0.16502692999999999</v>
          </cell>
          <cell r="M353">
            <v>0.16536339999999999</v>
          </cell>
          <cell r="N353">
            <v>0.16547023999999999</v>
          </cell>
          <cell r="O353">
            <v>0.16566338999999999</v>
          </cell>
          <cell r="P353">
            <v>0.16570481000000001</v>
          </cell>
          <cell r="Q353">
            <v>0.16583031000000001</v>
          </cell>
          <cell r="R353">
            <v>0.16616237</v>
          </cell>
          <cell r="S353">
            <v>0.16628432000000001</v>
          </cell>
          <cell r="T353">
            <v>0.166439</v>
          </cell>
          <cell r="U353">
            <v>0.16659383999999999</v>
          </cell>
          <cell r="V353">
            <v>2.5036030000000001E-2</v>
          </cell>
          <cell r="W353">
            <v>2.5088099999999999E-2</v>
          </cell>
          <cell r="X353">
            <v>2.5098280000000001E-2</v>
          </cell>
          <cell r="Y353">
            <v>2.5115950000000001E-2</v>
          </cell>
          <cell r="Z353">
            <v>2.5132539999999998E-2</v>
          </cell>
          <cell r="AA353">
            <v>2.514837E-2</v>
          </cell>
          <cell r="AB353">
            <v>2.5204609999999999E-2</v>
          </cell>
          <cell r="AC353">
            <v>2.5225649999999999E-2</v>
          </cell>
          <cell r="AD353">
            <v>2.5242770000000001E-2</v>
          </cell>
          <cell r="AE353">
            <v>2.5263379999999998E-2</v>
          </cell>
          <cell r="AF353">
            <v>2.5290199999999999E-2</v>
          </cell>
          <cell r="AG353">
            <v>2.5360959999999998E-2</v>
          </cell>
          <cell r="AH353">
            <v>2.5386100000000002E-2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6.9999999999887503</v>
          </cell>
          <cell r="E354">
            <v>0.31627151999999997</v>
          </cell>
          <cell r="F354">
            <v>0.31667252000000001</v>
          </cell>
          <cell r="G354">
            <v>0.31704021999999998</v>
          </cell>
          <cell r="H354">
            <v>0.31786474999999997</v>
          </cell>
          <cell r="I354">
            <v>0.31824270999999998</v>
          </cell>
          <cell r="J354">
            <v>0.31853049</v>
          </cell>
          <cell r="K354">
            <v>0.31876687999999997</v>
          </cell>
          <cell r="L354">
            <v>0.31895531999999999</v>
          </cell>
          <cell r="M354">
            <v>0.31962579000000002</v>
          </cell>
          <cell r="N354">
            <v>0.31984089999999998</v>
          </cell>
          <cell r="O354">
            <v>0.32024030999999997</v>
          </cell>
          <cell r="P354">
            <v>0.32032152000000003</v>
          </cell>
          <cell r="Q354">
            <v>0.32102211000000003</v>
          </cell>
          <cell r="R354">
            <v>0.24451391</v>
          </cell>
          <cell r="S354">
            <v>0.24470586999999999</v>
          </cell>
          <cell r="T354">
            <v>0.24498342000000001</v>
          </cell>
          <cell r="U354">
            <v>0.24499104999999999</v>
          </cell>
          <cell r="V354">
            <v>0.24508706999999999</v>
          </cell>
          <cell r="W354">
            <v>0.24560446</v>
          </cell>
          <cell r="X354">
            <v>0.24572266000000001</v>
          </cell>
          <cell r="Y354">
            <v>0.24589815000000001</v>
          </cell>
          <cell r="Z354">
            <v>0.24606555999999999</v>
          </cell>
          <cell r="AA354">
            <v>0.24622869999999999</v>
          </cell>
          <cell r="AB354">
            <v>0.24678433999999999</v>
          </cell>
          <cell r="AC354">
            <v>0.24698569000000001</v>
          </cell>
          <cell r="AD354">
            <v>0.24716029</v>
          </cell>
          <cell r="AE354">
            <v>0.24735926</v>
          </cell>
          <cell r="AF354">
            <v>0.24759806000000001</v>
          </cell>
          <cell r="AG354">
            <v>0.24831368000000001</v>
          </cell>
          <cell r="AH354">
            <v>0.24853217999999999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6.9999999998464002</v>
          </cell>
          <cell r="E355">
            <v>0.13746539999999999</v>
          </cell>
          <cell r="F355">
            <v>0.13760885</v>
          </cell>
          <cell r="G355">
            <v>0.13773742999999999</v>
          </cell>
          <cell r="H355">
            <v>0.13807027999999999</v>
          </cell>
          <cell r="I355">
            <v>0.13820136</v>
          </cell>
          <cell r="J355">
            <v>0.13830843000000001</v>
          </cell>
          <cell r="K355">
            <v>0.13839977000000001</v>
          </cell>
          <cell r="L355">
            <v>0.13848597000000001</v>
          </cell>
          <cell r="M355">
            <v>0.13876938</v>
          </cell>
          <cell r="N355">
            <v>0.13886261</v>
          </cell>
          <cell r="O355">
            <v>0.13898859999999999</v>
          </cell>
          <cell r="P355">
            <v>0.13905778999999999</v>
          </cell>
          <cell r="Q355">
            <v>0.13914098999999999</v>
          </cell>
          <cell r="R355">
            <v>1.5641829999999999E-2</v>
          </cell>
          <cell r="S355">
            <v>1.5653710000000001E-2</v>
          </cell>
          <cell r="T355">
            <v>1.5671009999999999E-2</v>
          </cell>
          <cell r="U355">
            <v>1.5671009999999999E-2</v>
          </cell>
          <cell r="V355">
            <v>1.5677219999999999E-2</v>
          </cell>
          <cell r="W355">
            <v>1.5710470000000001E-2</v>
          </cell>
          <cell r="X355">
            <v>1.5718280000000001E-2</v>
          </cell>
          <cell r="Y355">
            <v>1.5729730000000001E-2</v>
          </cell>
          <cell r="Z355">
            <v>1.5740290000000001E-2</v>
          </cell>
          <cell r="AA355">
            <v>1.5751149999999998E-2</v>
          </cell>
          <cell r="AB355">
            <v>1.5787010000000001E-2</v>
          </cell>
          <cell r="AC355">
            <v>1.5800359999999999E-2</v>
          </cell>
          <cell r="AD355">
            <v>1.581202E-2</v>
          </cell>
          <cell r="AE355">
            <v>1.582561E-2</v>
          </cell>
          <cell r="AF355">
            <v>1.5841089999999999E-2</v>
          </cell>
          <cell r="AG355">
            <v>1.5886979999999998E-2</v>
          </cell>
          <cell r="AH355">
            <v>1.5900959999999999E-2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43.6928481491491</v>
          </cell>
          <cell r="E356">
            <v>0.31052200000000002</v>
          </cell>
          <cell r="F356">
            <v>0.31092613000000002</v>
          </cell>
          <cell r="G356">
            <v>0.31122557000000001</v>
          </cell>
          <cell r="H356">
            <v>0.31203114999999998</v>
          </cell>
          <cell r="I356">
            <v>0.31241671999999998</v>
          </cell>
          <cell r="J356">
            <v>0.31270902</v>
          </cell>
          <cell r="K356">
            <v>0.31290621000000002</v>
          </cell>
          <cell r="L356">
            <v>0.31309144999999999</v>
          </cell>
          <cell r="M356">
            <v>0.31368599000000003</v>
          </cell>
          <cell r="N356">
            <v>0.31391615</v>
          </cell>
          <cell r="O356">
            <v>0.31448180999999997</v>
          </cell>
          <cell r="P356">
            <v>0.3144826</v>
          </cell>
          <cell r="Q356">
            <v>0.31477039000000001</v>
          </cell>
          <cell r="R356">
            <v>0.31536483999999998</v>
          </cell>
          <cell r="S356">
            <v>0.31562783</v>
          </cell>
          <cell r="T356">
            <v>0.31615406000000001</v>
          </cell>
          <cell r="U356">
            <v>0.23077734999999999</v>
          </cell>
          <cell r="V356">
            <v>0.23080647000000001</v>
          </cell>
          <cell r="W356">
            <v>0.23124321</v>
          </cell>
          <cell r="X356">
            <v>0.23124602999999999</v>
          </cell>
          <cell r="Y356">
            <v>0.23140185999999999</v>
          </cell>
          <cell r="Z356">
            <v>0.23154026999999999</v>
          </cell>
          <cell r="AA356">
            <v>0.23164752</v>
          </cell>
          <cell r="AB356">
            <v>0.23213655999999999</v>
          </cell>
          <cell r="AC356">
            <v>0.23235021</v>
          </cell>
          <cell r="AD356">
            <v>0.23249553000000001</v>
          </cell>
          <cell r="AE356">
            <v>0.23269165</v>
          </cell>
          <cell r="AF356">
            <v>0.23300345</v>
          </cell>
          <cell r="AG356">
            <v>0.23357331000000001</v>
          </cell>
          <cell r="AH356">
            <v>0.23392262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6.9999999999267004</v>
          </cell>
          <cell r="E357">
            <v>0.15836406</v>
          </cell>
          <cell r="F357">
            <v>0.15854794999999999</v>
          </cell>
          <cell r="G357">
            <v>0.15870503</v>
          </cell>
          <cell r="H357">
            <v>0.15909872999999999</v>
          </cell>
          <cell r="I357">
            <v>0.15926249000000001</v>
          </cell>
          <cell r="J357">
            <v>0.15939321000000001</v>
          </cell>
          <cell r="K357">
            <v>0.15950462000000001</v>
          </cell>
          <cell r="L357">
            <v>0.15960427999999999</v>
          </cell>
          <cell r="M357">
            <v>0.15992967</v>
          </cell>
          <cell r="N357">
            <v>0.16003350999999999</v>
          </cell>
          <cell r="O357">
            <v>0.16020128</v>
          </cell>
          <cell r="P357">
            <v>0.16025629999999999</v>
          </cell>
          <cell r="Q357">
            <v>0.1603436</v>
          </cell>
          <cell r="R357">
            <v>3.923447E-2</v>
          </cell>
          <cell r="S357">
            <v>3.9265269999999998E-2</v>
          </cell>
          <cell r="T357">
            <v>3.9309810000000001E-2</v>
          </cell>
          <cell r="U357">
            <v>3.9311029999999997E-2</v>
          </cell>
          <cell r="V357">
            <v>3.9326439999999997E-2</v>
          </cell>
          <cell r="W357">
            <v>3.940946E-2</v>
          </cell>
          <cell r="X357">
            <v>3.942843E-2</v>
          </cell>
          <cell r="Y357">
            <v>3.945659E-2</v>
          </cell>
          <cell r="Z357">
            <v>3.9483450000000003E-2</v>
          </cell>
          <cell r="AA357">
            <v>3.9509629999999997E-2</v>
          </cell>
          <cell r="AB357">
            <v>3.959878E-2</v>
          </cell>
          <cell r="AC357">
            <v>3.9631090000000001E-2</v>
          </cell>
          <cell r="AD357">
            <v>3.9659109999999997E-2</v>
          </cell>
          <cell r="AE357">
            <v>3.9691030000000002E-2</v>
          </cell>
          <cell r="AF357">
            <v>3.9729349999999997E-2</v>
          </cell>
          <cell r="AG357">
            <v>3.984418E-2</v>
          </cell>
          <cell r="AH357">
            <v>3.9879240000000003E-2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54.765201413649947</v>
          </cell>
          <cell r="E358">
            <v>0.43923700999999998</v>
          </cell>
          <cell r="F358">
            <v>0.43980778999999998</v>
          </cell>
          <cell r="G358">
            <v>0.44023574999999998</v>
          </cell>
          <cell r="H358">
            <v>0.44137353000000001</v>
          </cell>
          <cell r="I358">
            <v>0.44194112000000002</v>
          </cell>
          <cell r="J358">
            <v>0.44237439000000001</v>
          </cell>
          <cell r="K358">
            <v>0.44264278000000001</v>
          </cell>
          <cell r="L358">
            <v>0.44290728000000001</v>
          </cell>
          <cell r="M358">
            <v>0.44369824000000002</v>
          </cell>
          <cell r="N358">
            <v>0.44398802999999998</v>
          </cell>
          <cell r="O358">
            <v>0.44479542</v>
          </cell>
          <cell r="P358">
            <v>0.44470788999999999</v>
          </cell>
          <cell r="Q358">
            <v>0.44508734999999999</v>
          </cell>
          <cell r="R358">
            <v>0.44592683</v>
          </cell>
          <cell r="S358">
            <v>0.44627885</v>
          </cell>
          <cell r="T358">
            <v>0.44714632999999998</v>
          </cell>
          <cell r="U358">
            <v>0.34580283000000001</v>
          </cell>
          <cell r="V358">
            <v>0.34583520000000001</v>
          </cell>
          <cell r="W358">
            <v>0.34647348</v>
          </cell>
          <cell r="X358">
            <v>0.34645229999999999</v>
          </cell>
          <cell r="Y358">
            <v>0.34672645000000002</v>
          </cell>
          <cell r="Z358">
            <v>0.34692025999999998</v>
          </cell>
          <cell r="AA358">
            <v>0.34714234999999999</v>
          </cell>
          <cell r="AB358">
            <v>0.34790785000000002</v>
          </cell>
          <cell r="AC358">
            <v>0.34831498</v>
          </cell>
          <cell r="AD358">
            <v>0.34858046999999998</v>
          </cell>
          <cell r="AE358">
            <v>0.34886975999999997</v>
          </cell>
          <cell r="AF358">
            <v>0.34935260000000001</v>
          </cell>
          <cell r="AG358">
            <v>0.3501707</v>
          </cell>
          <cell r="AH358">
            <v>0.35075334000000002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21.604040243074849</v>
          </cell>
          <cell r="E359">
            <v>0.35016339000000002</v>
          </cell>
          <cell r="F359">
            <v>0.35060246</v>
          </cell>
          <cell r="G359">
            <v>0.35096266999999998</v>
          </cell>
          <cell r="H359">
            <v>0.35185967000000001</v>
          </cell>
          <cell r="I359">
            <v>0.35225930999999999</v>
          </cell>
          <cell r="J359">
            <v>0.35256690000000002</v>
          </cell>
          <cell r="K359">
            <v>0.35280651000000002</v>
          </cell>
          <cell r="L359">
            <v>0.35302065999999999</v>
          </cell>
          <cell r="M359">
            <v>0.35371756999999998</v>
          </cell>
          <cell r="N359">
            <v>0.35394037</v>
          </cell>
          <cell r="O359">
            <v>0.35439886999999998</v>
          </cell>
          <cell r="P359">
            <v>0.35444123999999999</v>
          </cell>
          <cell r="Q359">
            <v>0.35471296000000002</v>
          </cell>
          <cell r="R359">
            <v>0.21155607000000001</v>
          </cell>
          <cell r="S359">
            <v>0.21172642999999999</v>
          </cell>
          <cell r="T359">
            <v>0.21203298000000001</v>
          </cell>
          <cell r="U359">
            <v>0.21198196</v>
          </cell>
          <cell r="V359">
            <v>0.21203699000000001</v>
          </cell>
          <cell r="W359">
            <v>0.21246831999999999</v>
          </cell>
          <cell r="X359">
            <v>0.21253428999999999</v>
          </cell>
          <cell r="Y359">
            <v>0.21268787</v>
          </cell>
          <cell r="Z359">
            <v>0.21282287</v>
          </cell>
          <cell r="AA359">
            <v>0.21295823999999999</v>
          </cell>
          <cell r="AB359">
            <v>0.21343449</v>
          </cell>
          <cell r="AC359">
            <v>0.21362922000000001</v>
          </cell>
          <cell r="AD359">
            <v>0.21378084999999999</v>
          </cell>
          <cell r="AE359">
            <v>0.21396049</v>
          </cell>
          <cell r="AF359">
            <v>0.21420674000000001</v>
          </cell>
          <cell r="AG359">
            <v>0.21478174999999999</v>
          </cell>
          <cell r="AH359">
            <v>0.21502315999999999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31.81020385416555</v>
          </cell>
          <cell r="E360">
            <v>0.53196732000000002</v>
          </cell>
          <cell r="F360">
            <v>0.53264104000000001</v>
          </cell>
          <cell r="G360">
            <v>0.53319318000000004</v>
          </cell>
          <cell r="H360">
            <v>0.53456093000000005</v>
          </cell>
          <cell r="I360">
            <v>0.53518604000000003</v>
          </cell>
          <cell r="J360">
            <v>0.53566605</v>
          </cell>
          <cell r="K360">
            <v>0.53602411000000005</v>
          </cell>
          <cell r="L360">
            <v>0.53634914</v>
          </cell>
          <cell r="M360">
            <v>0.53739234000000002</v>
          </cell>
          <cell r="N360">
            <v>0.53773404000000002</v>
          </cell>
          <cell r="O360">
            <v>0.53848147000000002</v>
          </cell>
          <cell r="P360">
            <v>0.53851629999999995</v>
          </cell>
          <cell r="Q360">
            <v>0.53894565999999999</v>
          </cell>
          <cell r="R360">
            <v>0.29788185</v>
          </cell>
          <cell r="S360">
            <v>0.29812582999999998</v>
          </cell>
          <cell r="T360">
            <v>0.29863093000000002</v>
          </cell>
          <cell r="U360">
            <v>0.29851195000000003</v>
          </cell>
          <cell r="V360">
            <v>0.29856719999999998</v>
          </cell>
          <cell r="W360">
            <v>0.29915742000000001</v>
          </cell>
          <cell r="X360">
            <v>0.29921429999999999</v>
          </cell>
          <cell r="Y360">
            <v>0.29943315999999998</v>
          </cell>
          <cell r="Z360">
            <v>0.29961528999999998</v>
          </cell>
          <cell r="AA360">
            <v>0.29980027999999997</v>
          </cell>
          <cell r="AB360">
            <v>0.30046569000000001</v>
          </cell>
          <cell r="AC360">
            <v>0.30075966999999998</v>
          </cell>
          <cell r="AD360">
            <v>0.30097359000000001</v>
          </cell>
          <cell r="AE360">
            <v>0.30123055999999998</v>
          </cell>
          <cell r="AF360">
            <v>0.30160856000000003</v>
          </cell>
          <cell r="AG360">
            <v>0.30238042999999998</v>
          </cell>
          <cell r="AH360">
            <v>0.30277133000000001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65.481621432932698</v>
          </cell>
          <cell r="E361">
            <v>0.52403443000000005</v>
          </cell>
          <cell r="F361">
            <v>0.52469745999999995</v>
          </cell>
          <cell r="G361">
            <v>0.52520816999999997</v>
          </cell>
          <cell r="H361">
            <v>0.52654920000000005</v>
          </cell>
          <cell r="I361">
            <v>0.52724495999999998</v>
          </cell>
          <cell r="J361">
            <v>0.52778612999999996</v>
          </cell>
          <cell r="K361">
            <v>0.52809143999999997</v>
          </cell>
          <cell r="L361">
            <v>0.52841439000000001</v>
          </cell>
          <cell r="M361">
            <v>0.52932606999999998</v>
          </cell>
          <cell r="N361">
            <v>0.52969275999999998</v>
          </cell>
          <cell r="O361">
            <v>0.5307383</v>
          </cell>
          <cell r="P361">
            <v>0.53062295000000004</v>
          </cell>
          <cell r="Q361">
            <v>0.53109110999999998</v>
          </cell>
          <cell r="R361">
            <v>0.53209013999999999</v>
          </cell>
          <cell r="S361">
            <v>0.53251820000000005</v>
          </cell>
          <cell r="T361">
            <v>0.53375291000000002</v>
          </cell>
          <cell r="U361">
            <v>0.42137134999999998</v>
          </cell>
          <cell r="V361">
            <v>0.42140585000000003</v>
          </cell>
          <cell r="W361">
            <v>0.42215264000000002</v>
          </cell>
          <cell r="X361">
            <v>0.42207202999999999</v>
          </cell>
          <cell r="Y361">
            <v>0.42241454000000001</v>
          </cell>
          <cell r="Z361">
            <v>0.42264754999999998</v>
          </cell>
          <cell r="AA361">
            <v>0.42291030000000002</v>
          </cell>
          <cell r="AB361">
            <v>0.42383138999999997</v>
          </cell>
          <cell r="AC361">
            <v>0.42435477999999999</v>
          </cell>
          <cell r="AD361">
            <v>0.42467834999999998</v>
          </cell>
          <cell r="AE361">
            <v>0.42501999000000001</v>
          </cell>
          <cell r="AF361">
            <v>0.42561516999999999</v>
          </cell>
          <cell r="AG361">
            <v>0.42658448999999998</v>
          </cell>
          <cell r="AH361">
            <v>0.42736681999999998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46.880134046088102</v>
          </cell>
          <cell r="E362">
            <v>0.51962668999999995</v>
          </cell>
          <cell r="F362">
            <v>0.52032058000000003</v>
          </cell>
          <cell r="G362">
            <v>0.52089890999999999</v>
          </cell>
          <cell r="H362">
            <v>0.52226698999999999</v>
          </cell>
          <cell r="I362">
            <v>0.52296209999999999</v>
          </cell>
          <cell r="J362">
            <v>0.52348786000000003</v>
          </cell>
          <cell r="K362">
            <v>0.52382141999999998</v>
          </cell>
          <cell r="L362">
            <v>0.52413409</v>
          </cell>
          <cell r="M362">
            <v>0.52510486000000001</v>
          </cell>
          <cell r="N362">
            <v>0.52545425999999995</v>
          </cell>
          <cell r="O362">
            <v>0.52639431000000003</v>
          </cell>
          <cell r="P362">
            <v>0.52631225999999998</v>
          </cell>
          <cell r="Q362">
            <v>0.52675813999999999</v>
          </cell>
          <cell r="R362">
            <v>0.52775583000000004</v>
          </cell>
          <cell r="S362">
            <v>0.52817075000000002</v>
          </cell>
          <cell r="T362">
            <v>0.52914992000000005</v>
          </cell>
          <cell r="U362">
            <v>0.52929521999999996</v>
          </cell>
          <cell r="V362">
            <v>0.35878516999999999</v>
          </cell>
          <cell r="W362">
            <v>0.35946</v>
          </cell>
          <cell r="X362">
            <v>0.35946155000000002</v>
          </cell>
          <cell r="Y362">
            <v>0.35972785000000002</v>
          </cell>
          <cell r="Z362">
            <v>0.35993840999999999</v>
          </cell>
          <cell r="AA362">
            <v>0.36014351999999999</v>
          </cell>
          <cell r="AB362">
            <v>0.36092671999999998</v>
          </cell>
          <cell r="AC362">
            <v>0.36130635</v>
          </cell>
          <cell r="AD362">
            <v>0.36155353000000001</v>
          </cell>
          <cell r="AE362">
            <v>0.36185595999999998</v>
          </cell>
          <cell r="AF362">
            <v>0.36234328999999998</v>
          </cell>
          <cell r="AG362">
            <v>0.36322210999999999</v>
          </cell>
          <cell r="AH362">
            <v>0.36378385000000002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17.929838355679202</v>
          </cell>
          <cell r="E363">
            <v>0.62588900000000003</v>
          </cell>
          <cell r="F363">
            <v>0.62662099000000004</v>
          </cell>
          <cell r="G363">
            <v>0.62722531000000004</v>
          </cell>
          <cell r="H363">
            <v>0.62878692999999997</v>
          </cell>
          <cell r="I363">
            <v>0.62944719999999998</v>
          </cell>
          <cell r="J363">
            <v>0.62997049999999999</v>
          </cell>
          <cell r="K363">
            <v>0.63039471999999996</v>
          </cell>
          <cell r="L363">
            <v>0.63078840999999997</v>
          </cell>
          <cell r="M363">
            <v>0.63203635999999996</v>
          </cell>
          <cell r="N363">
            <v>0.31539915000000002</v>
          </cell>
          <cell r="O363">
            <v>0.31587016000000001</v>
          </cell>
          <cell r="P363">
            <v>0.31584727000000001</v>
          </cell>
          <cell r="Q363">
            <v>0.31610137999999999</v>
          </cell>
          <cell r="R363">
            <v>0.31670610999999999</v>
          </cell>
          <cell r="S363">
            <v>0.31694916000000001</v>
          </cell>
          <cell r="T363">
            <v>0.31734062000000002</v>
          </cell>
          <cell r="U363">
            <v>0.31731776</v>
          </cell>
          <cell r="V363">
            <v>0.31742948999999998</v>
          </cell>
          <cell r="W363">
            <v>0.31809320000000002</v>
          </cell>
          <cell r="X363">
            <v>0.31823142999999998</v>
          </cell>
          <cell r="Y363">
            <v>0.31846640999999998</v>
          </cell>
          <cell r="Z363">
            <v>0.31867515000000002</v>
          </cell>
          <cell r="AA363">
            <v>0.31889836999999999</v>
          </cell>
          <cell r="AB363">
            <v>0.31962298</v>
          </cell>
          <cell r="AC363">
            <v>0.31990074000000002</v>
          </cell>
          <cell r="AD363">
            <v>0.32013456000000001</v>
          </cell>
          <cell r="AE363">
            <v>0.32039775999999998</v>
          </cell>
          <cell r="AF363">
            <v>0.3207257</v>
          </cell>
          <cell r="AG363">
            <v>0.32162875000000002</v>
          </cell>
          <cell r="AH363">
            <v>0.32175555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52.470333389549403</v>
          </cell>
          <cell r="E364">
            <v>0.69008486999999996</v>
          </cell>
          <cell r="F364">
            <v>0.69095461999999996</v>
          </cell>
          <cell r="G364">
            <v>0.69167497</v>
          </cell>
          <cell r="H364">
            <v>0.69346472000000003</v>
          </cell>
          <cell r="I364">
            <v>0.69437232000000004</v>
          </cell>
          <cell r="J364">
            <v>0.69506224000000005</v>
          </cell>
          <cell r="K364">
            <v>0.69545444000000001</v>
          </cell>
          <cell r="L364">
            <v>0.69586607</v>
          </cell>
          <cell r="M364">
            <v>0.69710052</v>
          </cell>
          <cell r="N364">
            <v>0.69757106999999996</v>
          </cell>
          <cell r="O364">
            <v>0.69885788000000004</v>
          </cell>
          <cell r="P364">
            <v>0.69873631999999997</v>
          </cell>
          <cell r="Q364">
            <v>0.69926390999999999</v>
          </cell>
          <cell r="R364">
            <v>0.52637736999999996</v>
          </cell>
          <cell r="S364">
            <v>0.52680832</v>
          </cell>
          <cell r="T364">
            <v>0.52800994999999995</v>
          </cell>
          <cell r="U364">
            <v>0.52768742999999996</v>
          </cell>
          <cell r="V364">
            <v>0.52774898000000003</v>
          </cell>
          <cell r="W364">
            <v>0.52872783000000001</v>
          </cell>
          <cell r="X364">
            <v>0.52870605999999998</v>
          </cell>
          <cell r="Y364">
            <v>0.52911717999999996</v>
          </cell>
          <cell r="Z364">
            <v>0.52941846000000004</v>
          </cell>
          <cell r="AA364">
            <v>0.52974131999999996</v>
          </cell>
          <cell r="AB364">
            <v>0.53090457999999996</v>
          </cell>
          <cell r="AC364">
            <v>0.53150892999999999</v>
          </cell>
          <cell r="AD364">
            <v>0.53190588000000005</v>
          </cell>
          <cell r="AE364">
            <v>0.5323793</v>
          </cell>
          <cell r="AF364">
            <v>0.53310714999999997</v>
          </cell>
          <cell r="AG364">
            <v>0.53438215</v>
          </cell>
          <cell r="AH364">
            <v>0.53525060999999996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69.361098594551393</v>
          </cell>
          <cell r="E365">
            <v>0.49236490999999999</v>
          </cell>
          <cell r="F365">
            <v>0.49291836999999999</v>
          </cell>
          <cell r="G365">
            <v>0.49337895999999998</v>
          </cell>
          <cell r="H365">
            <v>0.49457889999999999</v>
          </cell>
          <cell r="I365">
            <v>0.49522078000000003</v>
          </cell>
          <cell r="J365">
            <v>0.49575361000000001</v>
          </cell>
          <cell r="K365">
            <v>0.49601834</v>
          </cell>
          <cell r="L365">
            <v>0.49634707</v>
          </cell>
          <cell r="M365">
            <v>0.49716800999999999</v>
          </cell>
          <cell r="N365">
            <v>0.40680991</v>
          </cell>
          <cell r="O365">
            <v>0.40789628</v>
          </cell>
          <cell r="P365">
            <v>0.40791050000000001</v>
          </cell>
          <cell r="Q365">
            <v>0.40837561</v>
          </cell>
          <cell r="R365">
            <v>0.40912674999999998</v>
          </cell>
          <cell r="S365">
            <v>0.40952223999999998</v>
          </cell>
          <cell r="T365">
            <v>0.41086344000000002</v>
          </cell>
          <cell r="U365">
            <v>0.41063925000000001</v>
          </cell>
          <cell r="V365">
            <v>0.41069577000000002</v>
          </cell>
          <cell r="W365">
            <v>0.41137090999999998</v>
          </cell>
          <cell r="X365">
            <v>0.41119549999999999</v>
          </cell>
          <cell r="Y365">
            <v>0.41147407000000003</v>
          </cell>
          <cell r="Z365">
            <v>0.41172123999999999</v>
          </cell>
          <cell r="AA365">
            <v>0.41183830999999999</v>
          </cell>
          <cell r="AB365">
            <v>0.41263820000000001</v>
          </cell>
          <cell r="AC365">
            <v>0.413049</v>
          </cell>
          <cell r="AD365">
            <v>0.41334558999999998</v>
          </cell>
          <cell r="AE365">
            <v>0.41365818999999998</v>
          </cell>
          <cell r="AF365">
            <v>0.41420342999999998</v>
          </cell>
          <cell r="AG365">
            <v>0.41514986999999998</v>
          </cell>
          <cell r="AH365">
            <v>0.41625359000000001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25.257023589299347</v>
          </cell>
          <cell r="E366">
            <v>1.0077912899999999</v>
          </cell>
          <cell r="F366">
            <v>1.00902151</v>
          </cell>
          <cell r="G366">
            <v>1.0100212799999999</v>
          </cell>
          <cell r="H366">
            <v>1.0125757799999999</v>
          </cell>
          <cell r="I366">
            <v>1.0137359800000001</v>
          </cell>
          <cell r="J366">
            <v>1.0146407799999999</v>
          </cell>
          <cell r="K366">
            <v>1.01529505</v>
          </cell>
          <cell r="L366">
            <v>1.0159229400000001</v>
          </cell>
          <cell r="M366">
            <v>1.01785356</v>
          </cell>
          <cell r="N366">
            <v>0.45283728000000001</v>
          </cell>
          <cell r="O366">
            <v>0.45354494000000001</v>
          </cell>
          <cell r="P366">
            <v>0.45348861000000001</v>
          </cell>
          <cell r="Q366">
            <v>0.45385779999999998</v>
          </cell>
          <cell r="R366">
            <v>0.45471972999999999</v>
          </cell>
          <cell r="S366">
            <v>0.45507130000000001</v>
          </cell>
          <cell r="T366">
            <v>0.45567457</v>
          </cell>
          <cell r="U366">
            <v>0.45560749</v>
          </cell>
          <cell r="V366">
            <v>0.45575127999999998</v>
          </cell>
          <cell r="W366">
            <v>0.45669419</v>
          </cell>
          <cell r="X366">
            <v>0.45687048000000002</v>
          </cell>
          <cell r="Y366">
            <v>0.45720896999999999</v>
          </cell>
          <cell r="Z366">
            <v>0.45750281999999998</v>
          </cell>
          <cell r="AA366">
            <v>0.45781973999999998</v>
          </cell>
          <cell r="AB366">
            <v>0.45885728999999997</v>
          </cell>
          <cell r="AC366">
            <v>0.45926850000000002</v>
          </cell>
          <cell r="AD366">
            <v>0.45960447999999998</v>
          </cell>
          <cell r="AE366">
            <v>0.45998662000000001</v>
          </cell>
          <cell r="AF366">
            <v>0.46048098999999998</v>
          </cell>
          <cell r="AG366">
            <v>0.46175115</v>
          </cell>
          <cell r="AH366">
            <v>0.46192144000000002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42.4265568918456</v>
          </cell>
          <cell r="E367">
            <v>1.0059759399999999</v>
          </cell>
          <cell r="F367">
            <v>1.00724788</v>
          </cell>
          <cell r="G367">
            <v>1.0082996</v>
          </cell>
          <cell r="H367">
            <v>1.0108820199999999</v>
          </cell>
          <cell r="I367">
            <v>1.01210921</v>
          </cell>
          <cell r="J367">
            <v>1.0130573700000001</v>
          </cell>
          <cell r="K367">
            <v>1.0137122300000001</v>
          </cell>
          <cell r="L367">
            <v>1.01433211</v>
          </cell>
          <cell r="M367">
            <v>1.0162523000000001</v>
          </cell>
          <cell r="N367">
            <v>1.01691968</v>
          </cell>
          <cell r="O367">
            <v>1.01848508</v>
          </cell>
          <cell r="P367">
            <v>1.0184899000000001</v>
          </cell>
          <cell r="Q367">
            <v>1.0193103999999999</v>
          </cell>
          <cell r="R367">
            <v>0.62012889999999998</v>
          </cell>
          <cell r="S367">
            <v>0.62064503999999998</v>
          </cell>
          <cell r="T367">
            <v>0.62189786999999996</v>
          </cell>
          <cell r="U367">
            <v>0.62159819000000005</v>
          </cell>
          <cell r="V367">
            <v>0.62169326999999996</v>
          </cell>
          <cell r="W367">
            <v>0.62287943999999995</v>
          </cell>
          <cell r="X367">
            <v>0.62291839999999998</v>
          </cell>
          <cell r="Y367">
            <v>0.62338453999999999</v>
          </cell>
          <cell r="Z367">
            <v>0.62375533000000005</v>
          </cell>
          <cell r="AA367">
            <v>0.62412895999999995</v>
          </cell>
          <cell r="AB367">
            <v>0.62549926</v>
          </cell>
          <cell r="AC367">
            <v>0.62615233000000003</v>
          </cell>
          <cell r="AD367">
            <v>0.62659825000000002</v>
          </cell>
          <cell r="AE367">
            <v>0.62712491999999997</v>
          </cell>
          <cell r="AF367">
            <v>0.62793927000000005</v>
          </cell>
          <cell r="AG367">
            <v>0.62949372999999997</v>
          </cell>
          <cell r="AH367">
            <v>0.63041493000000004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51.856470106709502</v>
          </cell>
          <cell r="E368">
            <v>0.98350166999999999</v>
          </cell>
          <cell r="F368">
            <v>0.98479784000000004</v>
          </cell>
          <cell r="G368">
            <v>0.98610757000000004</v>
          </cell>
          <cell r="H368">
            <v>0.98880307000000001</v>
          </cell>
          <cell r="I368">
            <v>0.99033864000000005</v>
          </cell>
          <cell r="J368">
            <v>0.99147876000000001</v>
          </cell>
          <cell r="K368">
            <v>0.99214353</v>
          </cell>
          <cell r="L368">
            <v>0.99271061000000005</v>
          </cell>
          <cell r="M368">
            <v>0.99458774999999999</v>
          </cell>
          <cell r="N368">
            <v>0.99532803000000003</v>
          </cell>
          <cell r="O368">
            <v>0.99747061999999997</v>
          </cell>
          <cell r="P368">
            <v>0.99723543999999997</v>
          </cell>
          <cell r="Q368">
            <v>0.99817283000000001</v>
          </cell>
          <cell r="R368">
            <v>1.0000136900000001</v>
          </cell>
          <cell r="S368">
            <v>1.00085764</v>
          </cell>
          <cell r="T368">
            <v>1.0031984199999999</v>
          </cell>
          <cell r="U368">
            <v>1.00268052</v>
          </cell>
          <cell r="V368">
            <v>1.00282724</v>
          </cell>
          <cell r="W368">
            <v>1.00467507</v>
          </cell>
          <cell r="X368">
            <v>1.0046228800000001</v>
          </cell>
          <cell r="Y368">
            <v>1.00539263</v>
          </cell>
          <cell r="Z368">
            <v>1.00598521</v>
          </cell>
          <cell r="AA368">
            <v>1.00657072</v>
          </cell>
          <cell r="AB368">
            <v>1.0087556799999999</v>
          </cell>
          <cell r="AC368">
            <v>1.00986522</v>
          </cell>
          <cell r="AD368">
            <v>1.01058351</v>
          </cell>
          <cell r="AE368">
            <v>1.0114079600000001</v>
          </cell>
          <cell r="AF368">
            <v>1.01273134</v>
          </cell>
          <cell r="AG368">
            <v>1.01518457</v>
          </cell>
          <cell r="AH368">
            <v>1.0168219300000001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70.377525296897801</v>
          </cell>
          <cell r="X369">
            <v>0.98915295999999997</v>
          </cell>
          <cell r="Y369">
            <v>0.98167256000000003</v>
          </cell>
          <cell r="Z369">
            <v>0.98216714999999999</v>
          </cell>
          <cell r="AA369">
            <v>0.98281662000000003</v>
          </cell>
          <cell r="AB369">
            <v>0.98494055999999996</v>
          </cell>
          <cell r="AC369">
            <v>0.98602820000000002</v>
          </cell>
          <cell r="AD369">
            <v>0.98658029999999997</v>
          </cell>
          <cell r="AE369">
            <v>0.98733300999999996</v>
          </cell>
          <cell r="AF369">
            <v>0.98877042000000004</v>
          </cell>
          <cell r="AG369">
            <v>0.99100527000000005</v>
          </cell>
          <cell r="AH369">
            <v>0.99295317999999999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82.093687454540301</v>
          </cell>
          <cell r="E370">
            <v>0.61343243000000003</v>
          </cell>
          <cell r="F370">
            <v>0.61415275000000003</v>
          </cell>
          <cell r="G370">
            <v>0.61474092000000002</v>
          </cell>
          <cell r="H370">
            <v>0.61626154</v>
          </cell>
          <cell r="I370">
            <v>0.61708841999999997</v>
          </cell>
          <cell r="J370">
            <v>0.61775782000000001</v>
          </cell>
          <cell r="K370">
            <v>0.61808921999999999</v>
          </cell>
          <cell r="L370">
            <v>0.61848588000000004</v>
          </cell>
          <cell r="M370">
            <v>0.61950218000000001</v>
          </cell>
          <cell r="N370">
            <v>0.61997627</v>
          </cell>
          <cell r="O370">
            <v>0.62130960999999996</v>
          </cell>
          <cell r="P370">
            <v>0.62119977000000004</v>
          </cell>
          <cell r="Q370">
            <v>0.62177121000000002</v>
          </cell>
          <cell r="R370">
            <v>0.62294846000000004</v>
          </cell>
          <cell r="S370">
            <v>0.62346102999999997</v>
          </cell>
          <cell r="T370">
            <v>0.62524555999999998</v>
          </cell>
          <cell r="U370">
            <v>0.51344495000000001</v>
          </cell>
          <cell r="V370">
            <v>0.51349484000000001</v>
          </cell>
          <cell r="W370">
            <v>0.5143432</v>
          </cell>
          <cell r="X370">
            <v>0.51414086999999997</v>
          </cell>
          <cell r="Y370">
            <v>0.51457717000000003</v>
          </cell>
          <cell r="Z370">
            <v>0.51486018</v>
          </cell>
          <cell r="AA370">
            <v>0.51516627999999998</v>
          </cell>
          <cell r="AB370">
            <v>0.51626455999999998</v>
          </cell>
          <cell r="AC370">
            <v>0.51695314000000003</v>
          </cell>
          <cell r="AD370">
            <v>0.51734780999999996</v>
          </cell>
          <cell r="AE370">
            <v>0.51773382000000001</v>
          </cell>
          <cell r="AF370">
            <v>0.51844869000000005</v>
          </cell>
          <cell r="AG370">
            <v>0.51959440999999995</v>
          </cell>
          <cell r="AH370">
            <v>0.52068219999999998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37.747939225831303</v>
          </cell>
          <cell r="E371">
            <v>1.0049344600000001</v>
          </cell>
          <cell r="F371">
            <v>1.00627818</v>
          </cell>
          <cell r="G371">
            <v>1.0073332500000001</v>
          </cell>
          <cell r="H371">
            <v>1.00997341</v>
          </cell>
          <cell r="I371">
            <v>1.0113252800000001</v>
          </cell>
          <cell r="J371">
            <v>1.0123466699999999</v>
          </cell>
          <cell r="K371">
            <v>1.0129469799999999</v>
          </cell>
          <cell r="L371">
            <v>1.01355671</v>
          </cell>
          <cell r="M371">
            <v>1.0153339100000001</v>
          </cell>
          <cell r="N371">
            <v>0.99492457000000001</v>
          </cell>
          <cell r="O371">
            <v>0.99687588000000005</v>
          </cell>
          <cell r="P371">
            <v>0.99658773</v>
          </cell>
          <cell r="Q371">
            <v>0.99746402999999995</v>
          </cell>
          <cell r="R371">
            <v>0.99931528999999997</v>
          </cell>
          <cell r="S371">
            <v>1.0001235500000001</v>
          </cell>
          <cell r="T371">
            <v>1.00221779</v>
          </cell>
          <cell r="U371">
            <v>1.00174772</v>
          </cell>
          <cell r="V371">
            <v>1.00192177</v>
          </cell>
          <cell r="W371">
            <v>1.0038246200000001</v>
          </cell>
          <cell r="X371">
            <v>1.00387812</v>
          </cell>
          <cell r="Y371">
            <v>1.00465765</v>
          </cell>
          <cell r="Z371">
            <v>1.00524955</v>
          </cell>
          <cell r="AA371">
            <v>1.0058975699999999</v>
          </cell>
          <cell r="AB371">
            <v>1.00812301</v>
          </cell>
          <cell r="AC371">
            <v>1.0092064300000001</v>
          </cell>
          <cell r="AD371">
            <v>1.0099501799999999</v>
          </cell>
          <cell r="AE371">
            <v>1.01079045</v>
          </cell>
          <cell r="AF371">
            <v>1.0120756900000001</v>
          </cell>
          <cell r="AG371">
            <v>1.0145838899999999</v>
          </cell>
          <cell r="AH371">
            <v>1.0167199200000001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97.559291700747707</v>
          </cell>
          <cell r="T372">
            <v>0.74489335999999995</v>
          </cell>
          <cell r="U372">
            <v>0.62197827000000006</v>
          </cell>
          <cell r="V372">
            <v>0.62270205999999995</v>
          </cell>
          <cell r="W372">
            <v>0.62365596000000001</v>
          </cell>
          <cell r="X372">
            <v>0.62329188000000002</v>
          </cell>
          <cell r="Y372">
            <v>0.62384666</v>
          </cell>
          <cell r="Z372">
            <v>0.62419734999999998</v>
          </cell>
          <cell r="AA372">
            <v>0.62455282999999995</v>
          </cell>
          <cell r="AB372">
            <v>0.62585338999999995</v>
          </cell>
          <cell r="AC372">
            <v>0.62674333999999998</v>
          </cell>
          <cell r="AD372">
            <v>0.62722144000000002</v>
          </cell>
          <cell r="AE372">
            <v>0.62763875999999996</v>
          </cell>
          <cell r="AF372">
            <v>0.62845547999999996</v>
          </cell>
          <cell r="AG372">
            <v>0.62983270999999996</v>
          </cell>
          <cell r="AH372">
            <v>0.63130010999999997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102.0807473900628</v>
          </cell>
          <cell r="E373">
            <v>0.80327521000000002</v>
          </cell>
          <cell r="F373">
            <v>0.80405596000000001</v>
          </cell>
          <cell r="G373">
            <v>0.80479213000000005</v>
          </cell>
          <cell r="H373">
            <v>0.80664400999999997</v>
          </cell>
          <cell r="I373">
            <v>0.80771349000000003</v>
          </cell>
          <cell r="J373">
            <v>0.80865123999999999</v>
          </cell>
          <cell r="K373">
            <v>0.80903479</v>
          </cell>
          <cell r="L373">
            <v>0.80960310000000002</v>
          </cell>
          <cell r="M373">
            <v>0.81084489999999998</v>
          </cell>
          <cell r="N373">
            <v>0.81157471999999997</v>
          </cell>
          <cell r="O373">
            <v>0.81347417</v>
          </cell>
          <cell r="P373">
            <v>0.81347422000000003</v>
          </cell>
          <cell r="Q373">
            <v>0.81426343000000001</v>
          </cell>
          <cell r="R373">
            <v>0.81584586999999997</v>
          </cell>
          <cell r="S373">
            <v>0.81653562999999996</v>
          </cell>
          <cell r="T373">
            <v>0.81953834000000003</v>
          </cell>
          <cell r="U373">
            <v>0.68410026999999995</v>
          </cell>
          <cell r="V373">
            <v>0.68422537999999999</v>
          </cell>
          <cell r="W373">
            <v>0.68524870999999998</v>
          </cell>
          <cell r="X373">
            <v>0.68481033000000002</v>
          </cell>
          <cell r="Y373">
            <v>0.68542879999999995</v>
          </cell>
          <cell r="Z373">
            <v>0.68581778999999998</v>
          </cell>
          <cell r="AA373">
            <v>0.68620334999999999</v>
          </cell>
          <cell r="AB373">
            <v>0.68762175000000003</v>
          </cell>
          <cell r="AC373">
            <v>0.68861691000000003</v>
          </cell>
          <cell r="AD373">
            <v>0.68914193000000001</v>
          </cell>
          <cell r="AE373">
            <v>0.68958176000000004</v>
          </cell>
          <cell r="AF373">
            <v>0.69045751</v>
          </cell>
          <cell r="AG373">
            <v>0.69197092000000004</v>
          </cell>
          <cell r="AH373">
            <v>0.69363041999999997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52.309120417185305</v>
          </cell>
          <cell r="E374">
            <v>0.79472118999999997</v>
          </cell>
          <cell r="F374">
            <v>0.79561652999999999</v>
          </cell>
          <cell r="G374">
            <v>0.78002187999999995</v>
          </cell>
          <cell r="H374">
            <v>0.57239483000000002</v>
          </cell>
          <cell r="I374">
            <v>0.57316007000000002</v>
          </cell>
          <cell r="J374">
            <v>0.57374627</v>
          </cell>
          <cell r="K374">
            <v>0.57410466000000004</v>
          </cell>
          <cell r="L374">
            <v>0.57445257000000005</v>
          </cell>
          <cell r="M374">
            <v>0.57550252000000002</v>
          </cell>
          <cell r="N374">
            <v>0.57589802000000001</v>
          </cell>
          <cell r="O374">
            <v>0.57695839000000004</v>
          </cell>
          <cell r="P374">
            <v>0.57687588000000001</v>
          </cell>
          <cell r="Q374">
            <v>0.57737108000000004</v>
          </cell>
          <cell r="R374">
            <v>0.57846684999999998</v>
          </cell>
          <cell r="S374">
            <v>0.57892478999999997</v>
          </cell>
          <cell r="T374">
            <v>0.58009211000000005</v>
          </cell>
          <cell r="U374">
            <v>0.58028062000000002</v>
          </cell>
          <cell r="V374">
            <v>0.39879007</v>
          </cell>
          <cell r="W374">
            <v>0.39952579999999999</v>
          </cell>
          <cell r="X374">
            <v>0.39950142999999999</v>
          </cell>
          <cell r="Y374">
            <v>0.39980121000000002</v>
          </cell>
          <cell r="Z374">
            <v>0.40003298999999998</v>
          </cell>
          <cell r="AA374">
            <v>0.40025738</v>
          </cell>
          <cell r="AB374">
            <v>0.40112279000000001</v>
          </cell>
          <cell r="AC374">
            <v>0.40155822000000002</v>
          </cell>
          <cell r="AD374">
            <v>0.40183333999999998</v>
          </cell>
          <cell r="AE374">
            <v>0.40216580000000002</v>
          </cell>
          <cell r="AF374">
            <v>0.40271404</v>
          </cell>
          <cell r="AG374">
            <v>0.40367521000000001</v>
          </cell>
          <cell r="AH374">
            <v>0.40433445000000001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100.52448728562069</v>
          </cell>
          <cell r="L375">
            <v>1.0247124000000001</v>
          </cell>
          <cell r="M375">
            <v>1.0289783800000001</v>
          </cell>
          <cell r="N375">
            <v>1.02983771</v>
          </cell>
          <cell r="O375">
            <v>1.0319060200000001</v>
          </cell>
          <cell r="P375">
            <v>0.85250546000000005</v>
          </cell>
          <cell r="Q375">
            <v>0.82379236</v>
          </cell>
          <cell r="R375">
            <v>0.82539205999999998</v>
          </cell>
          <cell r="S375">
            <v>0.82608899999999996</v>
          </cell>
          <cell r="T375">
            <v>0.82908066000000002</v>
          </cell>
          <cell r="U375">
            <v>0.82894188000000002</v>
          </cell>
          <cell r="V375">
            <v>0.70134373000000005</v>
          </cell>
          <cell r="W375">
            <v>0.71002688999999997</v>
          </cell>
          <cell r="X375">
            <v>0.70956571000000002</v>
          </cell>
          <cell r="Y375">
            <v>0.71017901999999999</v>
          </cell>
          <cell r="Z375">
            <v>0.71059552999999998</v>
          </cell>
          <cell r="AA375">
            <v>0.71093890999999998</v>
          </cell>
          <cell r="AB375">
            <v>0.71237746000000002</v>
          </cell>
          <cell r="AC375">
            <v>0.71335342999999996</v>
          </cell>
          <cell r="AD375">
            <v>0.71384433000000003</v>
          </cell>
          <cell r="AE375">
            <v>0.71429880999999995</v>
          </cell>
          <cell r="AF375">
            <v>0.71519522999999996</v>
          </cell>
          <cell r="AG375">
            <v>0.71678841000000004</v>
          </cell>
          <cell r="AH375">
            <v>0.71849492000000004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80.082125939641102</v>
          </cell>
          <cell r="E376">
            <v>1.0011240299999999</v>
          </cell>
          <cell r="F376">
            <v>1.0023901900000001</v>
          </cell>
          <cell r="G376">
            <v>1.0034459499999999</v>
          </cell>
          <cell r="H376">
            <v>1.0060073300000001</v>
          </cell>
          <cell r="I376">
            <v>1.00746727</v>
          </cell>
          <cell r="J376">
            <v>1.0086164099999999</v>
          </cell>
          <cell r="K376">
            <v>1.0085999999999999</v>
          </cell>
          <cell r="L376">
            <v>1.0097757199999999</v>
          </cell>
          <cell r="M376">
            <v>1.01136962</v>
          </cell>
          <cell r="N376">
            <v>0.99105840999999995</v>
          </cell>
          <cell r="O376">
            <v>0.99346597999999997</v>
          </cell>
          <cell r="P376">
            <v>0.99307654999999995</v>
          </cell>
          <cell r="Q376">
            <v>0.99403269000000005</v>
          </cell>
          <cell r="R376">
            <v>0.99585199999999996</v>
          </cell>
          <cell r="S376">
            <v>0.99670122000000005</v>
          </cell>
          <cell r="T376">
            <v>0.99984633999999994</v>
          </cell>
          <cell r="U376">
            <v>0.99907873999999997</v>
          </cell>
          <cell r="V376">
            <v>0.99913317000000001</v>
          </cell>
          <cell r="W376">
            <v>1.0008046399999999</v>
          </cell>
          <cell r="X376">
            <v>1.0004335499999999</v>
          </cell>
          <cell r="Y376">
            <v>1.00126494</v>
          </cell>
          <cell r="Z376">
            <v>1.00180509</v>
          </cell>
          <cell r="AA376">
            <v>1.0023903999999999</v>
          </cell>
          <cell r="AB376">
            <v>1.0045310000000001</v>
          </cell>
          <cell r="AC376">
            <v>1.00583303</v>
          </cell>
          <cell r="AD376">
            <v>1.00657942</v>
          </cell>
          <cell r="AE376">
            <v>1.0073821199999999</v>
          </cell>
          <cell r="AF376">
            <v>1.00883177</v>
          </cell>
          <cell r="AG376">
            <v>1.0110340099999999</v>
          </cell>
          <cell r="AH376">
            <v>1.01311522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105.7035105330217</v>
          </cell>
          <cell r="E377">
            <v>0.90170267000000004</v>
          </cell>
          <cell r="F377">
            <v>0.90253987000000002</v>
          </cell>
          <cell r="G377">
            <v>0.90335695999999999</v>
          </cell>
          <cell r="H377">
            <v>0.90540264999999998</v>
          </cell>
          <cell r="I377">
            <v>0.90659332999999998</v>
          </cell>
          <cell r="J377">
            <v>0.90765498</v>
          </cell>
          <cell r="K377">
            <v>0.90807656000000003</v>
          </cell>
          <cell r="L377">
            <v>0.90872562000000001</v>
          </cell>
          <cell r="M377">
            <v>0.91010555999999998</v>
          </cell>
          <cell r="N377">
            <v>0.91094808000000005</v>
          </cell>
          <cell r="O377">
            <v>0.91309600999999996</v>
          </cell>
          <cell r="P377">
            <v>0.91313942000000003</v>
          </cell>
          <cell r="Q377">
            <v>0.91403155999999997</v>
          </cell>
          <cell r="R377">
            <v>0.91582006000000005</v>
          </cell>
          <cell r="S377">
            <v>0.91659681999999998</v>
          </cell>
          <cell r="T377">
            <v>0.92008617999999998</v>
          </cell>
          <cell r="U377">
            <v>0.77768543999999995</v>
          </cell>
          <cell r="V377">
            <v>0.77785446999999996</v>
          </cell>
          <cell r="W377">
            <v>0.77899320999999999</v>
          </cell>
          <cell r="X377">
            <v>0.77845955</v>
          </cell>
          <cell r="Y377">
            <v>0.77917245999999996</v>
          </cell>
          <cell r="Z377">
            <v>0.77962129999999996</v>
          </cell>
          <cell r="AA377">
            <v>0.78005524000000004</v>
          </cell>
          <cell r="AB377">
            <v>0.78165653000000002</v>
          </cell>
          <cell r="AC377">
            <v>0.78280276000000004</v>
          </cell>
          <cell r="AD377">
            <v>0.78339913999999999</v>
          </cell>
          <cell r="AE377">
            <v>0.78387571</v>
          </cell>
          <cell r="AF377">
            <v>0.78483665000000002</v>
          </cell>
          <cell r="AG377">
            <v>0.78656800000000004</v>
          </cell>
          <cell r="AH377">
            <v>0.78849597999999999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141.87713702218949</v>
          </cell>
          <cell r="E378">
            <v>0.98803262000000003</v>
          </cell>
          <cell r="F378">
            <v>0.98839745999999995</v>
          </cell>
          <cell r="G378">
            <v>0.98921384000000001</v>
          </cell>
          <cell r="H378">
            <v>0.99098277000000001</v>
          </cell>
          <cell r="I378">
            <v>0.99214822999999996</v>
          </cell>
          <cell r="J378">
            <v>0.99344516999999999</v>
          </cell>
          <cell r="K378">
            <v>0.99377150000000003</v>
          </cell>
          <cell r="L378">
            <v>0.99432465000000003</v>
          </cell>
          <cell r="M378">
            <v>0.99562671000000003</v>
          </cell>
          <cell r="N378">
            <v>0.89438286</v>
          </cell>
          <cell r="O378">
            <v>0.89697064000000004</v>
          </cell>
          <cell r="P378">
            <v>0.89763523999999995</v>
          </cell>
          <cell r="Q378">
            <v>0.89866550999999995</v>
          </cell>
          <cell r="R378">
            <v>0.90057748000000004</v>
          </cell>
          <cell r="S378">
            <v>0.9014162</v>
          </cell>
          <cell r="T378">
            <v>0.90690820000000005</v>
          </cell>
          <cell r="U378">
            <v>0.90694313000000004</v>
          </cell>
          <cell r="V378">
            <v>0.90746247000000002</v>
          </cell>
          <cell r="W378">
            <v>0.90849402000000001</v>
          </cell>
          <cell r="X378">
            <v>0.90744550999999996</v>
          </cell>
          <cell r="Y378">
            <v>0.90837908000000001</v>
          </cell>
          <cell r="Z378">
            <v>0.90899121999999999</v>
          </cell>
          <cell r="AA378">
            <v>0.90941046000000003</v>
          </cell>
          <cell r="AB378">
            <v>0.91112992999999998</v>
          </cell>
          <cell r="AC378">
            <v>0.91261738000000003</v>
          </cell>
          <cell r="AD378">
            <v>0.91329234999999998</v>
          </cell>
          <cell r="AE378">
            <v>0.91359104000000002</v>
          </cell>
          <cell r="AF378">
            <v>0.91429727000000005</v>
          </cell>
          <cell r="AG378">
            <v>0.91645476999999997</v>
          </cell>
          <cell r="AH378">
            <v>0.91917406000000001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105.93673112643886</v>
          </cell>
          <cell r="E379">
            <v>0.99830101000000004</v>
          </cell>
          <cell r="F379">
            <v>0.99940138000000001</v>
          </cell>
          <cell r="G379">
            <v>1.0004228900000001</v>
          </cell>
          <cell r="H379">
            <v>1.00283422</v>
          </cell>
          <cell r="I379">
            <v>1.0043136699999999</v>
          </cell>
          <cell r="J379">
            <v>1.0055530100000001</v>
          </cell>
          <cell r="K379">
            <v>1.0059987800000001</v>
          </cell>
          <cell r="L379">
            <v>1.0066915999999999</v>
          </cell>
          <cell r="M379">
            <v>1.0081452099999999</v>
          </cell>
          <cell r="N379">
            <v>0.98795633999999999</v>
          </cell>
          <cell r="O379">
            <v>0.99063535999999996</v>
          </cell>
          <cell r="P379">
            <v>0.99033541999999997</v>
          </cell>
          <cell r="Q379">
            <v>0.99134995999999997</v>
          </cell>
          <cell r="R379">
            <v>0.99319080999999998</v>
          </cell>
          <cell r="S379">
            <v>0.99406711999999997</v>
          </cell>
          <cell r="T379">
            <v>0.99811366999999995</v>
          </cell>
          <cell r="U379">
            <v>0.99729767999999996</v>
          </cell>
          <cell r="V379">
            <v>0.99735896000000002</v>
          </cell>
          <cell r="W379">
            <v>0.99884457999999998</v>
          </cell>
          <cell r="X379">
            <v>0.99816066999999997</v>
          </cell>
          <cell r="Y379">
            <v>0.99904577999999999</v>
          </cell>
          <cell r="Z379">
            <v>0.99957693999999997</v>
          </cell>
          <cell r="AA379">
            <v>1.00011965</v>
          </cell>
          <cell r="AB379">
            <v>1.00218681</v>
          </cell>
          <cell r="AC379">
            <v>1.0036425600000001</v>
          </cell>
          <cell r="AD379">
            <v>1.0043909900000001</v>
          </cell>
          <cell r="AE379">
            <v>1.00511157</v>
          </cell>
          <cell r="AF379">
            <v>1.0065506399999999</v>
          </cell>
          <cell r="AG379">
            <v>1.0086247100000001</v>
          </cell>
          <cell r="AH379">
            <v>1.0111099400000001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115.3017312782915</v>
          </cell>
          <cell r="E380">
            <v>1.0237459200000001</v>
          </cell>
          <cell r="F380">
            <v>1.0245514499999999</v>
          </cell>
          <cell r="G380">
            <v>1.0254454500000001</v>
          </cell>
          <cell r="H380">
            <v>1.0276447099999999</v>
          </cell>
          <cell r="I380">
            <v>1.0289778999999999</v>
          </cell>
          <cell r="J380">
            <v>1.03023194</v>
          </cell>
          <cell r="K380">
            <v>1.03066857</v>
          </cell>
          <cell r="L380">
            <v>1.03144803</v>
          </cell>
          <cell r="M380">
            <v>1.03294157</v>
          </cell>
          <cell r="N380">
            <v>1.0339917199999999</v>
          </cell>
          <cell r="O380">
            <v>1.03654961</v>
          </cell>
          <cell r="P380">
            <v>1.0367325999999999</v>
          </cell>
          <cell r="Q380">
            <v>1.0377787000000001</v>
          </cell>
          <cell r="R380">
            <v>1.0398472599999999</v>
          </cell>
          <cell r="S380">
            <v>1.04074402</v>
          </cell>
          <cell r="T380">
            <v>1.0452603300000001</v>
          </cell>
          <cell r="U380">
            <v>0.9048988</v>
          </cell>
          <cell r="V380">
            <v>0.90515515000000002</v>
          </cell>
          <cell r="W380">
            <v>0.90640854000000004</v>
          </cell>
          <cell r="X380">
            <v>0.90567960000000003</v>
          </cell>
          <cell r="Y380">
            <v>0.90653576000000002</v>
          </cell>
          <cell r="Z380">
            <v>0.90707177999999999</v>
          </cell>
          <cell r="AA380">
            <v>0.90756258999999995</v>
          </cell>
          <cell r="AB380">
            <v>0.90939433999999997</v>
          </cell>
          <cell r="AC380">
            <v>0.91077553</v>
          </cell>
          <cell r="AD380">
            <v>0.91146813000000004</v>
          </cell>
          <cell r="AE380">
            <v>0.91196341000000003</v>
          </cell>
          <cell r="AF380">
            <v>0.91300537000000004</v>
          </cell>
          <cell r="AG380">
            <v>0.91503151999999999</v>
          </cell>
          <cell r="AH380">
            <v>0.91740557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132.99571609203684</v>
          </cell>
          <cell r="E381">
            <v>1.0042355199999999</v>
          </cell>
          <cell r="F381">
            <v>1.00476177</v>
          </cell>
          <cell r="G381">
            <v>1.0055949399999999</v>
          </cell>
          <cell r="H381">
            <v>1.00752928</v>
          </cell>
          <cell r="I381">
            <v>1.00884095</v>
          </cell>
          <cell r="J381">
            <v>1.01019251</v>
          </cell>
          <cell r="K381">
            <v>1.0105327</v>
          </cell>
          <cell r="L381">
            <v>1.01137755</v>
          </cell>
          <cell r="M381">
            <v>1.0126799399999999</v>
          </cell>
          <cell r="N381">
            <v>1.0138989599999999</v>
          </cell>
          <cell r="O381">
            <v>1.0167371000000001</v>
          </cell>
          <cell r="P381">
            <v>1.0171224400000001</v>
          </cell>
          <cell r="Q381">
            <v>1.0182295400000001</v>
          </cell>
          <cell r="R381">
            <v>1.0203166299999999</v>
          </cell>
          <cell r="S381">
            <v>1.0212381500000001</v>
          </cell>
          <cell r="T381">
            <v>1.0268823199999999</v>
          </cell>
          <cell r="U381">
            <v>1.02663437</v>
          </cell>
          <cell r="V381">
            <v>1.0270615700000001</v>
          </cell>
          <cell r="W381">
            <v>1.0283316</v>
          </cell>
          <cell r="X381">
            <v>1.0272775599999999</v>
          </cell>
          <cell r="Y381">
            <v>1.0283049500000001</v>
          </cell>
          <cell r="Z381">
            <v>1.0289452699999999</v>
          </cell>
          <cell r="AA381">
            <v>1.0294700299999999</v>
          </cell>
          <cell r="AB381">
            <v>1.03147974</v>
          </cell>
          <cell r="AC381">
            <v>1.0331432899999999</v>
          </cell>
          <cell r="AD381">
            <v>1.03392453</v>
          </cell>
          <cell r="AE381">
            <v>1.0343582</v>
          </cell>
          <cell r="AF381">
            <v>1.0353686200000001</v>
          </cell>
          <cell r="AG381">
            <v>1.0377008999999999</v>
          </cell>
          <cell r="AH381">
            <v>1.04066547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154.62288415780506</v>
          </cell>
          <cell r="E382">
            <v>0.83289583</v>
          </cell>
          <cell r="F382">
            <v>0.83297030999999999</v>
          </cell>
          <cell r="G382">
            <v>0.83355230999999996</v>
          </cell>
          <cell r="H382">
            <v>0.83485664000000004</v>
          </cell>
          <cell r="I382">
            <v>0.83575648000000002</v>
          </cell>
          <cell r="J382">
            <v>0.83688262000000002</v>
          </cell>
          <cell r="K382">
            <v>0.83711977000000004</v>
          </cell>
          <cell r="L382">
            <v>0.83792274</v>
          </cell>
          <cell r="M382">
            <v>0.83896820999999999</v>
          </cell>
          <cell r="N382">
            <v>0.74833812</v>
          </cell>
          <cell r="O382">
            <v>0.75045715999999996</v>
          </cell>
          <cell r="P382">
            <v>0.75119462000000004</v>
          </cell>
          <cell r="Q382">
            <v>0.75204652999999999</v>
          </cell>
          <cell r="R382">
            <v>0.75371690999999996</v>
          </cell>
          <cell r="S382">
            <v>0.75440753000000005</v>
          </cell>
          <cell r="T382">
            <v>0.75944602000000005</v>
          </cell>
          <cell r="U382">
            <v>0.75968047000000005</v>
          </cell>
          <cell r="V382">
            <v>0.76024612999999996</v>
          </cell>
          <cell r="W382">
            <v>0.76103929999999997</v>
          </cell>
          <cell r="X382">
            <v>0.76007031000000003</v>
          </cell>
          <cell r="Y382">
            <v>0.76090016000000005</v>
          </cell>
          <cell r="Z382">
            <v>0.76143713999999996</v>
          </cell>
          <cell r="AA382">
            <v>0.76180862000000005</v>
          </cell>
          <cell r="AB382">
            <v>0.76322681999999997</v>
          </cell>
          <cell r="AC382">
            <v>0.76453428999999995</v>
          </cell>
          <cell r="AD382">
            <v>0.76511428000000004</v>
          </cell>
          <cell r="AE382">
            <v>0.76527265</v>
          </cell>
          <cell r="AF382">
            <v>0.76570956999999995</v>
          </cell>
          <cell r="AG382">
            <v>0.76758775000000001</v>
          </cell>
          <cell r="AH382">
            <v>0.76983424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128.53414987511761</v>
          </cell>
          <cell r="E383">
            <v>0.99540223000000005</v>
          </cell>
          <cell r="F383">
            <v>0.99628357999999995</v>
          </cell>
          <cell r="G383">
            <v>0.99721077000000002</v>
          </cell>
          <cell r="H383">
            <v>0.99943079999999995</v>
          </cell>
          <cell r="I383">
            <v>1.0008899099999999</v>
          </cell>
          <cell r="J383">
            <v>1.0022072500000001</v>
          </cell>
          <cell r="K383">
            <v>1.00258388</v>
          </cell>
          <cell r="L383">
            <v>1.00333929</v>
          </cell>
          <cell r="M383">
            <v>1.00466864</v>
          </cell>
          <cell r="N383">
            <v>0.98464077999999999</v>
          </cell>
          <cell r="O383">
            <v>0.98751770999999999</v>
          </cell>
          <cell r="P383">
            <v>0.98740585999999997</v>
          </cell>
          <cell r="Q383">
            <v>0.98847211999999995</v>
          </cell>
          <cell r="R383">
            <v>0.99036058999999999</v>
          </cell>
          <cell r="S383">
            <v>0.99125911</v>
          </cell>
          <cell r="T383">
            <v>0.99618072999999996</v>
          </cell>
          <cell r="U383">
            <v>0.99543680000000001</v>
          </cell>
          <cell r="V383">
            <v>0.99556705000000001</v>
          </cell>
          <cell r="W383">
            <v>0.99687855999999997</v>
          </cell>
          <cell r="X383">
            <v>0.99591932000000005</v>
          </cell>
          <cell r="Y383">
            <v>0.99686012000000002</v>
          </cell>
          <cell r="Z383">
            <v>0.99740218000000003</v>
          </cell>
          <cell r="AA383">
            <v>0.99790730000000005</v>
          </cell>
          <cell r="AB383">
            <v>0.99990049999999997</v>
          </cell>
          <cell r="AC383">
            <v>1.00148378</v>
          </cell>
          <cell r="AD383">
            <v>1.00223065</v>
          </cell>
          <cell r="AE383">
            <v>1.00284248</v>
          </cell>
          <cell r="AF383">
            <v>1.0041870799999999</v>
          </cell>
          <cell r="AG383">
            <v>1.0062106399999999</v>
          </cell>
          <cell r="AH383">
            <v>1.00904014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133.67222367680463</v>
          </cell>
          <cell r="E384">
            <v>0.99448919000000002</v>
          </cell>
          <cell r="F384">
            <v>0.99529100999999998</v>
          </cell>
          <cell r="G384">
            <v>0.99624458999999999</v>
          </cell>
          <cell r="H384">
            <v>0.99839440000000002</v>
          </cell>
          <cell r="I384">
            <v>0.99983191000000005</v>
          </cell>
          <cell r="J384">
            <v>1.00116659</v>
          </cell>
          <cell r="K384">
            <v>1.0015248400000001</v>
          </cell>
          <cell r="L384">
            <v>1.0023024700000001</v>
          </cell>
          <cell r="M384">
            <v>1.0036028400000001</v>
          </cell>
          <cell r="N384">
            <v>0.98360287000000002</v>
          </cell>
          <cell r="O384">
            <v>0.98650789999999999</v>
          </cell>
          <cell r="P384">
            <v>0.98648751000000001</v>
          </cell>
          <cell r="Q384">
            <v>0.98756569000000005</v>
          </cell>
          <cell r="R384">
            <v>0.98947786000000004</v>
          </cell>
          <cell r="S384">
            <v>0.99038071000000005</v>
          </cell>
          <cell r="T384">
            <v>0.99554043000000003</v>
          </cell>
          <cell r="U384">
            <v>0.99486516000000003</v>
          </cell>
          <cell r="V384">
            <v>0.99503971999999996</v>
          </cell>
          <cell r="W384">
            <v>0.99630651999999997</v>
          </cell>
          <cell r="X384">
            <v>0.99528377000000001</v>
          </cell>
          <cell r="Y384">
            <v>0.99624108</v>
          </cell>
          <cell r="Z384">
            <v>0.99679377000000002</v>
          </cell>
          <cell r="AA384">
            <v>0.99729020999999995</v>
          </cell>
          <cell r="AB384">
            <v>0.99926229</v>
          </cell>
          <cell r="AC384">
            <v>1.0008716600000001</v>
          </cell>
          <cell r="AD384">
            <v>1.0016167899999999</v>
          </cell>
          <cell r="AE384">
            <v>1.0021877800000001</v>
          </cell>
          <cell r="AF384">
            <v>1.00347392</v>
          </cell>
          <cell r="AG384">
            <v>1.0055125300000001</v>
          </cell>
          <cell r="AH384">
            <v>1.00841636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150.84240177561605</v>
          </cell>
          <cell r="Y385">
            <v>1.0000690400000001</v>
          </cell>
          <cell r="Z385">
            <v>1.00069534</v>
          </cell>
          <cell r="AA385">
            <v>1.00117301</v>
          </cell>
          <cell r="AB385">
            <v>1.0030731799999999</v>
          </cell>
          <cell r="AC385">
            <v>1.0047922600000001</v>
          </cell>
          <cell r="AD385">
            <v>1.00554754</v>
          </cell>
          <cell r="AE385">
            <v>1.0058950200000001</v>
          </cell>
          <cell r="AF385">
            <v>1.0068354100000001</v>
          </cell>
          <cell r="AG385">
            <v>1.0090466</v>
          </cell>
          <cell r="AH385">
            <v>1.0122099499999999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219.97568048454079</v>
          </cell>
          <cell r="O386">
            <v>0.95671989000000002</v>
          </cell>
          <cell r="P386">
            <v>0.95613694000000005</v>
          </cell>
          <cell r="Q386">
            <v>0.95824856000000003</v>
          </cell>
          <cell r="R386">
            <v>0.95975750000000004</v>
          </cell>
          <cell r="S386">
            <v>0.96069117999999998</v>
          </cell>
          <cell r="T386">
            <v>0.96982526999999996</v>
          </cell>
          <cell r="U386">
            <v>0.97048909999999999</v>
          </cell>
          <cell r="V386">
            <v>0.97149138999999995</v>
          </cell>
          <cell r="W386">
            <v>0.97198552000000005</v>
          </cell>
          <cell r="X386">
            <v>0.96993019999999996</v>
          </cell>
          <cell r="Y386">
            <v>0.97116201000000002</v>
          </cell>
          <cell r="Z386">
            <v>0.97190465000000004</v>
          </cell>
          <cell r="AA386">
            <v>0.97226961000000001</v>
          </cell>
          <cell r="AB386">
            <v>0.97386326999999995</v>
          </cell>
          <cell r="AC386">
            <v>0.97587734000000004</v>
          </cell>
          <cell r="AD386">
            <v>0.97659342000000005</v>
          </cell>
          <cell r="AE386">
            <v>0.97643957000000003</v>
          </cell>
          <cell r="AF386">
            <v>0.97662875000000005</v>
          </cell>
          <cell r="AG386">
            <v>0.97896689000000003</v>
          </cell>
          <cell r="AH386">
            <v>0.98302480000000003</v>
          </cell>
        </row>
        <row r="387">
          <cell r="A387"/>
          <cell r="B387"/>
          <cell r="C387"/>
          <cell r="D387"/>
        </row>
        <row r="388">
          <cell r="A388" t="str">
            <v>Acciones en pesos</v>
          </cell>
          <cell r="B388"/>
          <cell r="C388"/>
          <cell r="D388"/>
        </row>
        <row r="389">
          <cell r="A389"/>
          <cell r="B389"/>
          <cell r="C389"/>
          <cell r="D389"/>
        </row>
        <row r="390">
          <cell r="A390" t="str">
            <v>GGAL</v>
          </cell>
          <cell r="B390" t="str">
            <v>GGALARS</v>
          </cell>
          <cell r="C390">
            <v>0</v>
          </cell>
          <cell r="D390">
            <v>0</v>
          </cell>
          <cell r="E390">
            <v>7060</v>
          </cell>
          <cell r="F390">
            <v>7170</v>
          </cell>
          <cell r="G390">
            <v>7075</v>
          </cell>
          <cell r="H390">
            <v>7005</v>
          </cell>
          <cell r="I390">
            <v>6935</v>
          </cell>
          <cell r="J390">
            <v>7015</v>
          </cell>
          <cell r="K390">
            <v>7085</v>
          </cell>
          <cell r="L390">
            <v>7145</v>
          </cell>
          <cell r="M390">
            <v>7000</v>
          </cell>
          <cell r="N390">
            <v>6840</v>
          </cell>
          <cell r="O390">
            <v>6725</v>
          </cell>
          <cell r="P390">
            <v>6760</v>
          </cell>
          <cell r="Q390">
            <v>6800</v>
          </cell>
          <cell r="R390">
            <v>6685</v>
          </cell>
          <cell r="S390">
            <v>6665</v>
          </cell>
          <cell r="T390">
            <v>6640</v>
          </cell>
          <cell r="U390">
            <v>6445</v>
          </cell>
          <cell r="V390">
            <v>6395</v>
          </cell>
          <cell r="W390">
            <v>6290</v>
          </cell>
          <cell r="X390">
            <v>6005</v>
          </cell>
          <cell r="Y390">
            <v>6000</v>
          </cell>
          <cell r="Z390">
            <v>6050</v>
          </cell>
          <cell r="AA390">
            <v>5865</v>
          </cell>
          <cell r="AB390">
            <v>5835</v>
          </cell>
          <cell r="AC390">
            <v>6135</v>
          </cell>
          <cell r="AD390">
            <v>6165</v>
          </cell>
          <cell r="AE390">
            <v>5970</v>
          </cell>
          <cell r="AF390">
            <v>5950</v>
          </cell>
          <cell r="AG390">
            <v>5940</v>
          </cell>
          <cell r="AH390">
            <v>5940</v>
          </cell>
        </row>
        <row r="391">
          <cell r="A391" t="str">
            <v>TXAR</v>
          </cell>
          <cell r="B391" t="str">
            <v>TXARARS</v>
          </cell>
          <cell r="C391">
            <v>0</v>
          </cell>
          <cell r="D391">
            <v>0</v>
          </cell>
          <cell r="E391">
            <v>668</v>
          </cell>
          <cell r="F391">
            <v>671</v>
          </cell>
          <cell r="G391">
            <v>674</v>
          </cell>
          <cell r="H391">
            <v>690.5</v>
          </cell>
          <cell r="I391">
            <v>699.5</v>
          </cell>
          <cell r="J391">
            <v>700.5</v>
          </cell>
          <cell r="K391">
            <v>700</v>
          </cell>
          <cell r="L391">
            <v>676</v>
          </cell>
          <cell r="M391">
            <v>668</v>
          </cell>
          <cell r="N391">
            <v>664.5</v>
          </cell>
          <cell r="O391">
            <v>670</v>
          </cell>
          <cell r="P391">
            <v>667.5</v>
          </cell>
          <cell r="Q391">
            <v>669.5</v>
          </cell>
          <cell r="R391">
            <v>662</v>
          </cell>
          <cell r="S391">
            <v>663.5</v>
          </cell>
          <cell r="T391">
            <v>661</v>
          </cell>
          <cell r="U391">
            <v>660</v>
          </cell>
          <cell r="V391">
            <v>655.5</v>
          </cell>
          <cell r="W391">
            <v>657</v>
          </cell>
          <cell r="X391">
            <v>640.5</v>
          </cell>
          <cell r="Y391">
            <v>648</v>
          </cell>
          <cell r="Z391">
            <v>669.5</v>
          </cell>
          <cell r="AA391">
            <v>662.5</v>
          </cell>
          <cell r="AB391">
            <v>674.5</v>
          </cell>
          <cell r="AC391">
            <v>673</v>
          </cell>
          <cell r="AD391">
            <v>665.5</v>
          </cell>
          <cell r="AE391">
            <v>659</v>
          </cell>
          <cell r="AF391">
            <v>669</v>
          </cell>
          <cell r="AG391">
            <v>671</v>
          </cell>
          <cell r="AH391">
            <v>702.5</v>
          </cell>
        </row>
        <row r="392">
          <cell r="A392" t="str">
            <v>YPFD</v>
          </cell>
          <cell r="B392" t="str">
            <v>YPFDARS</v>
          </cell>
          <cell r="C392">
            <v>0</v>
          </cell>
          <cell r="D392">
            <v>0</v>
          </cell>
          <cell r="E392">
            <v>8355</v>
          </cell>
          <cell r="F392">
            <v>8590</v>
          </cell>
          <cell r="G392">
            <v>8325</v>
          </cell>
          <cell r="H392">
            <v>8355</v>
          </cell>
          <cell r="I392">
            <v>8375</v>
          </cell>
          <cell r="J392">
            <v>8465</v>
          </cell>
          <cell r="K392">
            <v>8770</v>
          </cell>
          <cell r="L392">
            <v>9000</v>
          </cell>
          <cell r="M392">
            <v>8835</v>
          </cell>
          <cell r="N392">
            <v>8965</v>
          </cell>
          <cell r="O392">
            <v>9180</v>
          </cell>
          <cell r="P392">
            <v>8730</v>
          </cell>
          <cell r="Q392">
            <v>8690</v>
          </cell>
          <cell r="R392">
            <v>8760</v>
          </cell>
          <cell r="S392">
            <v>8495</v>
          </cell>
          <cell r="T392">
            <v>8530</v>
          </cell>
          <cell r="U392">
            <v>8670</v>
          </cell>
          <cell r="V392">
            <v>8635</v>
          </cell>
          <cell r="W392">
            <v>8440</v>
          </cell>
          <cell r="X392">
            <v>8305</v>
          </cell>
          <cell r="Y392">
            <v>8110</v>
          </cell>
          <cell r="Z392">
            <v>8095</v>
          </cell>
          <cell r="AA392">
            <v>8005</v>
          </cell>
          <cell r="AB392">
            <v>8050</v>
          </cell>
          <cell r="AC392">
            <v>8225</v>
          </cell>
          <cell r="AD392">
            <v>8245</v>
          </cell>
          <cell r="AE392">
            <v>7980</v>
          </cell>
          <cell r="AF392">
            <v>8045</v>
          </cell>
          <cell r="AG392">
            <v>8065</v>
          </cell>
          <cell r="AH392">
            <v>8330</v>
          </cell>
        </row>
        <row r="393">
          <cell r="A393" t="str">
            <v>PAMP</v>
          </cell>
          <cell r="B393" t="str">
            <v>PAMPARS</v>
          </cell>
          <cell r="C393">
            <v>0</v>
          </cell>
          <cell r="D393">
            <v>0</v>
          </cell>
          <cell r="E393">
            <v>5360</v>
          </cell>
          <cell r="F393">
            <v>5485</v>
          </cell>
          <cell r="G393">
            <v>5385</v>
          </cell>
          <cell r="H393">
            <v>5365</v>
          </cell>
          <cell r="I393">
            <v>5380</v>
          </cell>
          <cell r="J393">
            <v>5485</v>
          </cell>
          <cell r="K393">
            <v>5485</v>
          </cell>
          <cell r="L393">
            <v>5655</v>
          </cell>
          <cell r="M393">
            <v>5525</v>
          </cell>
          <cell r="N393">
            <v>5535</v>
          </cell>
          <cell r="O393">
            <v>5540</v>
          </cell>
          <cell r="P393">
            <v>5375</v>
          </cell>
          <cell r="Q393">
            <v>5335</v>
          </cell>
          <cell r="R393">
            <v>5215</v>
          </cell>
          <cell r="S393">
            <v>5185</v>
          </cell>
          <cell r="T393">
            <v>5180</v>
          </cell>
          <cell r="U393">
            <v>5165</v>
          </cell>
          <cell r="V393">
            <v>5085</v>
          </cell>
          <cell r="W393">
            <v>5060</v>
          </cell>
          <cell r="X393">
            <v>4967.5</v>
          </cell>
          <cell r="Y393">
            <v>4950</v>
          </cell>
          <cell r="Z393">
            <v>5030</v>
          </cell>
          <cell r="AA393">
            <v>4942.5</v>
          </cell>
          <cell r="AB393">
            <v>4972.5</v>
          </cell>
          <cell r="AC393">
            <v>5130</v>
          </cell>
          <cell r="AD393">
            <v>5265</v>
          </cell>
          <cell r="AE393">
            <v>5150</v>
          </cell>
          <cell r="AF393">
            <v>5190</v>
          </cell>
          <cell r="AG393">
            <v>5190</v>
          </cell>
          <cell r="AH393">
            <v>5235</v>
          </cell>
        </row>
        <row r="394">
          <cell r="A394" t="str">
            <v>BBAR</v>
          </cell>
          <cell r="B394" t="str">
            <v>BBARARS</v>
          </cell>
          <cell r="C394">
            <v>0</v>
          </cell>
          <cell r="D394">
            <v>0</v>
          </cell>
          <cell r="E394">
            <v>8045</v>
          </cell>
          <cell r="F394">
            <v>8065</v>
          </cell>
          <cell r="G394">
            <v>7955</v>
          </cell>
          <cell r="H394">
            <v>7835</v>
          </cell>
          <cell r="I394">
            <v>7740</v>
          </cell>
          <cell r="J394">
            <v>7925</v>
          </cell>
          <cell r="K394">
            <v>8065</v>
          </cell>
          <cell r="L394">
            <v>8195</v>
          </cell>
          <cell r="M394">
            <v>7935</v>
          </cell>
          <cell r="N394">
            <v>7875</v>
          </cell>
          <cell r="O394">
            <v>7755</v>
          </cell>
          <cell r="P394">
            <v>7710</v>
          </cell>
          <cell r="Q394">
            <v>7815</v>
          </cell>
          <cell r="R394">
            <v>7610</v>
          </cell>
          <cell r="S394">
            <v>7595</v>
          </cell>
          <cell r="T394">
            <v>7585</v>
          </cell>
          <cell r="U394">
            <v>7390</v>
          </cell>
          <cell r="V394">
            <v>7280</v>
          </cell>
          <cell r="W394">
            <v>7125</v>
          </cell>
          <cell r="X394">
            <v>6760</v>
          </cell>
          <cell r="Y394">
            <v>6755</v>
          </cell>
          <cell r="Z394">
            <v>6940</v>
          </cell>
          <cell r="AA394">
            <v>6750</v>
          </cell>
          <cell r="AB394">
            <v>6750</v>
          </cell>
          <cell r="AC394">
            <v>7130</v>
          </cell>
          <cell r="AD394">
            <v>7325</v>
          </cell>
          <cell r="AE394">
            <v>6975</v>
          </cell>
          <cell r="AF394">
            <v>6820</v>
          </cell>
          <cell r="AG394">
            <v>6800</v>
          </cell>
          <cell r="AH394">
            <v>6965</v>
          </cell>
        </row>
        <row r="395">
          <cell r="A395" t="str">
            <v>ALUA</v>
          </cell>
          <cell r="B395" t="str">
            <v>ALUAARS</v>
          </cell>
          <cell r="C395">
            <v>0</v>
          </cell>
          <cell r="D395">
            <v>0</v>
          </cell>
          <cell r="E395">
            <v>848.5</v>
          </cell>
          <cell r="F395">
            <v>849.5</v>
          </cell>
          <cell r="G395">
            <v>847.5</v>
          </cell>
          <cell r="H395">
            <v>845</v>
          </cell>
          <cell r="I395">
            <v>845</v>
          </cell>
          <cell r="J395">
            <v>856</v>
          </cell>
          <cell r="K395">
            <v>888.5</v>
          </cell>
          <cell r="L395">
            <v>880</v>
          </cell>
          <cell r="M395">
            <v>871.5</v>
          </cell>
          <cell r="N395">
            <v>883</v>
          </cell>
          <cell r="O395">
            <v>872</v>
          </cell>
          <cell r="P395">
            <v>850</v>
          </cell>
          <cell r="Q395">
            <v>861</v>
          </cell>
          <cell r="R395">
            <v>856.5</v>
          </cell>
          <cell r="S395">
            <v>856</v>
          </cell>
          <cell r="T395">
            <v>850</v>
          </cell>
          <cell r="U395">
            <v>842</v>
          </cell>
          <cell r="V395">
            <v>841.5</v>
          </cell>
          <cell r="W395">
            <v>844</v>
          </cell>
          <cell r="X395">
            <v>812.5</v>
          </cell>
          <cell r="Y395">
            <v>802.5</v>
          </cell>
          <cell r="Z395">
            <v>825</v>
          </cell>
          <cell r="AA395">
            <v>812</v>
          </cell>
          <cell r="AB395">
            <v>817</v>
          </cell>
          <cell r="AC395">
            <v>830</v>
          </cell>
          <cell r="AD395">
            <v>813.5</v>
          </cell>
          <cell r="AE395">
            <v>808</v>
          </cell>
          <cell r="AF395">
            <v>812</v>
          </cell>
          <cell r="AG395">
            <v>839.5</v>
          </cell>
          <cell r="AH395">
            <v>849.5</v>
          </cell>
        </row>
        <row r="396">
          <cell r="A396" t="str">
            <v>LOMA</v>
          </cell>
          <cell r="B396" t="str">
            <v>LOMAARS</v>
          </cell>
          <cell r="C396">
            <v>0</v>
          </cell>
          <cell r="D396">
            <v>0</v>
          </cell>
          <cell r="E396">
            <v>3235</v>
          </cell>
          <cell r="F396">
            <v>3305</v>
          </cell>
          <cell r="G396">
            <v>3230</v>
          </cell>
          <cell r="H396">
            <v>3255</v>
          </cell>
          <cell r="I396">
            <v>3295</v>
          </cell>
          <cell r="J396">
            <v>3217.5</v>
          </cell>
          <cell r="K396">
            <v>3235</v>
          </cell>
          <cell r="L396">
            <v>3212.5</v>
          </cell>
          <cell r="M396">
            <v>3120</v>
          </cell>
          <cell r="N396">
            <v>3050</v>
          </cell>
          <cell r="O396">
            <v>3080</v>
          </cell>
          <cell r="P396">
            <v>3050</v>
          </cell>
          <cell r="Q396">
            <v>3062.5</v>
          </cell>
          <cell r="R396">
            <v>3045</v>
          </cell>
          <cell r="S396">
            <v>3080</v>
          </cell>
          <cell r="T396">
            <v>3065</v>
          </cell>
          <cell r="U396">
            <v>3057.5</v>
          </cell>
          <cell r="V396">
            <v>2995</v>
          </cell>
          <cell r="W396">
            <v>3012.5</v>
          </cell>
          <cell r="X396">
            <v>3002.5</v>
          </cell>
          <cell r="Y396">
            <v>2947.5</v>
          </cell>
          <cell r="Z396">
            <v>2960</v>
          </cell>
          <cell r="AA396">
            <v>2925</v>
          </cell>
          <cell r="AB396">
            <v>2980</v>
          </cell>
          <cell r="AC396">
            <v>3127.5</v>
          </cell>
          <cell r="AD396">
            <v>3135</v>
          </cell>
          <cell r="AE396">
            <v>3067.5</v>
          </cell>
          <cell r="AF396">
            <v>3220</v>
          </cell>
          <cell r="AG396">
            <v>3257.5</v>
          </cell>
          <cell r="AH396">
            <v>3222.5</v>
          </cell>
        </row>
        <row r="397">
          <cell r="A397" t="str">
            <v>CEPU</v>
          </cell>
          <cell r="B397" t="str">
            <v>CEPUARS</v>
          </cell>
          <cell r="C397">
            <v>0</v>
          </cell>
          <cell r="D397">
            <v>0</v>
          </cell>
          <cell r="E397">
            <v>2215</v>
          </cell>
          <cell r="F397">
            <v>2270</v>
          </cell>
          <cell r="G397">
            <v>2229</v>
          </cell>
          <cell r="H397">
            <v>2220</v>
          </cell>
          <cell r="I397">
            <v>2209</v>
          </cell>
          <cell r="J397">
            <v>2236</v>
          </cell>
          <cell r="K397">
            <v>2244</v>
          </cell>
          <cell r="L397">
            <v>2306</v>
          </cell>
          <cell r="M397">
            <v>2253</v>
          </cell>
          <cell r="N397">
            <v>2222</v>
          </cell>
          <cell r="O397">
            <v>2211</v>
          </cell>
          <cell r="P397">
            <v>2181</v>
          </cell>
          <cell r="Q397">
            <v>2294</v>
          </cell>
          <cell r="R397">
            <v>2078</v>
          </cell>
          <cell r="S397">
            <v>2028</v>
          </cell>
          <cell r="T397">
            <v>2038</v>
          </cell>
          <cell r="U397">
            <v>2025</v>
          </cell>
          <cell r="V397">
            <v>2038</v>
          </cell>
          <cell r="W397">
            <v>2021</v>
          </cell>
          <cell r="X397">
            <v>1970</v>
          </cell>
          <cell r="Y397">
            <v>1922</v>
          </cell>
          <cell r="Z397">
            <v>1958</v>
          </cell>
          <cell r="AA397">
            <v>1913</v>
          </cell>
          <cell r="AB397">
            <v>1893</v>
          </cell>
          <cell r="AC397">
            <v>1987</v>
          </cell>
          <cell r="AD397">
            <v>2049</v>
          </cell>
          <cell r="AE397">
            <v>2016</v>
          </cell>
          <cell r="AF397">
            <v>2033</v>
          </cell>
          <cell r="AG397">
            <v>2034</v>
          </cell>
          <cell r="AH397">
            <v>2119</v>
          </cell>
        </row>
        <row r="398">
          <cell r="A398" t="str">
            <v>BYMA</v>
          </cell>
          <cell r="B398" t="str">
            <v>BYMAARS</v>
          </cell>
          <cell r="C398">
            <v>0</v>
          </cell>
          <cell r="D398">
            <v>0</v>
          </cell>
          <cell r="E398">
            <v>263.5</v>
          </cell>
          <cell r="F398">
            <v>265.5</v>
          </cell>
          <cell r="G398">
            <v>264.5</v>
          </cell>
          <cell r="H398">
            <v>263.75</v>
          </cell>
          <cell r="I398">
            <v>261</v>
          </cell>
          <cell r="J398">
            <v>262</v>
          </cell>
          <cell r="K398">
            <v>264</v>
          </cell>
          <cell r="L398">
            <v>267</v>
          </cell>
          <cell r="M398">
            <v>270</v>
          </cell>
          <cell r="N398">
            <v>269.75</v>
          </cell>
          <cell r="O398">
            <v>268.75</v>
          </cell>
          <cell r="P398">
            <v>261.25</v>
          </cell>
          <cell r="Q398">
            <v>267.5</v>
          </cell>
          <cell r="R398">
            <v>262</v>
          </cell>
          <cell r="S398">
            <v>260</v>
          </cell>
          <cell r="T398">
            <v>261</v>
          </cell>
          <cell r="U398">
            <v>260.5</v>
          </cell>
          <cell r="V398">
            <v>257.25</v>
          </cell>
          <cell r="W398">
            <v>249.75</v>
          </cell>
          <cell r="X398">
            <v>237.75</v>
          </cell>
          <cell r="Y398">
            <v>246.25</v>
          </cell>
          <cell r="Z398">
            <v>248</v>
          </cell>
          <cell r="AA398">
            <v>242.5</v>
          </cell>
          <cell r="AB398">
            <v>251.5</v>
          </cell>
          <cell r="AC398">
            <v>257</v>
          </cell>
          <cell r="AD398">
            <v>261.25</v>
          </cell>
          <cell r="AE398">
            <v>258</v>
          </cell>
          <cell r="AF398">
            <v>254</v>
          </cell>
          <cell r="AG398">
            <v>255.25</v>
          </cell>
          <cell r="AH398">
            <v>257.75</v>
          </cell>
        </row>
        <row r="399">
          <cell r="A399" t="str">
            <v>SUPV</v>
          </cell>
          <cell r="B399" t="str">
            <v>SUPVARS</v>
          </cell>
          <cell r="C399">
            <v>0</v>
          </cell>
          <cell r="D399">
            <v>0</v>
          </cell>
          <cell r="E399">
            <v>2802.5</v>
          </cell>
          <cell r="F399">
            <v>2842.5</v>
          </cell>
          <cell r="G399">
            <v>2790</v>
          </cell>
          <cell r="H399">
            <v>2762.5</v>
          </cell>
          <cell r="I399">
            <v>2725</v>
          </cell>
          <cell r="J399">
            <v>2777.5</v>
          </cell>
          <cell r="K399">
            <v>2785</v>
          </cell>
          <cell r="L399">
            <v>2797.5</v>
          </cell>
          <cell r="M399">
            <v>2712.5</v>
          </cell>
          <cell r="N399">
            <v>2677.5</v>
          </cell>
          <cell r="O399">
            <v>2640</v>
          </cell>
          <cell r="P399">
            <v>2655</v>
          </cell>
          <cell r="Q399">
            <v>2667.5</v>
          </cell>
          <cell r="R399">
            <v>2585</v>
          </cell>
          <cell r="S399">
            <v>2567.5</v>
          </cell>
          <cell r="T399">
            <v>2552.5</v>
          </cell>
          <cell r="U399">
            <v>2475</v>
          </cell>
          <cell r="V399">
            <v>2425</v>
          </cell>
          <cell r="W399">
            <v>2370</v>
          </cell>
          <cell r="X399">
            <v>2270</v>
          </cell>
          <cell r="Y399">
            <v>2268</v>
          </cell>
          <cell r="Z399">
            <v>2322</v>
          </cell>
          <cell r="AA399">
            <v>2235</v>
          </cell>
          <cell r="AB399">
            <v>2249</v>
          </cell>
          <cell r="AC399">
            <v>2369</v>
          </cell>
          <cell r="AD399">
            <v>2412</v>
          </cell>
          <cell r="AE399">
            <v>2316</v>
          </cell>
          <cell r="AF399">
            <v>2305</v>
          </cell>
          <cell r="AG399">
            <v>2314</v>
          </cell>
          <cell r="AH399">
            <v>2331</v>
          </cell>
        </row>
        <row r="400">
          <cell r="A400" t="str">
            <v>TGNO4</v>
          </cell>
          <cell r="B400" t="str">
            <v>TGNO4ARS</v>
          </cell>
          <cell r="C400">
            <v>0</v>
          </cell>
          <cell r="D400">
            <v>0</v>
          </cell>
          <cell r="E400">
            <v>3130</v>
          </cell>
          <cell r="F400">
            <v>3255</v>
          </cell>
          <cell r="G400">
            <v>3185</v>
          </cell>
          <cell r="H400">
            <v>3202.5</v>
          </cell>
          <cell r="I400">
            <v>3217.5</v>
          </cell>
          <cell r="J400">
            <v>3260</v>
          </cell>
          <cell r="K400">
            <v>3235</v>
          </cell>
          <cell r="L400">
            <v>3250</v>
          </cell>
          <cell r="M400">
            <v>3262.5</v>
          </cell>
          <cell r="N400">
            <v>3230</v>
          </cell>
          <cell r="O400">
            <v>3295</v>
          </cell>
          <cell r="P400">
            <v>3337.5</v>
          </cell>
          <cell r="Q400">
            <v>3525</v>
          </cell>
          <cell r="R400">
            <v>3532.5</v>
          </cell>
          <cell r="S400">
            <v>3637.5</v>
          </cell>
          <cell r="T400">
            <v>3740</v>
          </cell>
          <cell r="U400">
            <v>3680</v>
          </cell>
          <cell r="V400">
            <v>3622.5</v>
          </cell>
          <cell r="W400">
            <v>3565</v>
          </cell>
          <cell r="X400">
            <v>3312.5</v>
          </cell>
          <cell r="Y400">
            <v>3180</v>
          </cell>
          <cell r="Z400">
            <v>3222.5</v>
          </cell>
          <cell r="AA400">
            <v>3252.5</v>
          </cell>
          <cell r="AB400">
            <v>3285</v>
          </cell>
          <cell r="AC400">
            <v>3372.5</v>
          </cell>
          <cell r="AD400">
            <v>3340</v>
          </cell>
          <cell r="AE400">
            <v>3315</v>
          </cell>
          <cell r="AF400">
            <v>3312.5</v>
          </cell>
          <cell r="AG400">
            <v>3297.5</v>
          </cell>
          <cell r="AH400">
            <v>3252.5</v>
          </cell>
        </row>
        <row r="401">
          <cell r="A401" t="str">
            <v>CRES</v>
          </cell>
          <cell r="B401" t="str">
            <v>CRESARS</v>
          </cell>
          <cell r="C401">
            <v>0</v>
          </cell>
          <cell r="D401">
            <v>0</v>
          </cell>
          <cell r="E401">
            <v>1854</v>
          </cell>
          <cell r="F401">
            <v>1933</v>
          </cell>
          <cell r="G401">
            <v>1876</v>
          </cell>
          <cell r="H401">
            <v>1905</v>
          </cell>
          <cell r="I401">
            <v>1881</v>
          </cell>
          <cell r="J401">
            <v>1918</v>
          </cell>
          <cell r="K401">
            <v>1892</v>
          </cell>
          <cell r="L401">
            <v>2011</v>
          </cell>
          <cell r="M401">
            <v>1946</v>
          </cell>
          <cell r="N401">
            <v>1929</v>
          </cell>
          <cell r="O401">
            <v>1890</v>
          </cell>
          <cell r="P401">
            <v>1914</v>
          </cell>
          <cell r="Q401">
            <v>2034</v>
          </cell>
          <cell r="R401">
            <v>2033</v>
          </cell>
          <cell r="S401">
            <v>2020</v>
          </cell>
          <cell r="T401">
            <v>1999</v>
          </cell>
          <cell r="U401">
            <v>2040</v>
          </cell>
          <cell r="V401">
            <v>2050</v>
          </cell>
          <cell r="W401">
            <v>2055</v>
          </cell>
          <cell r="X401">
            <v>1919</v>
          </cell>
          <cell r="Y401">
            <v>1880</v>
          </cell>
          <cell r="Z401">
            <v>1860</v>
          </cell>
          <cell r="AA401">
            <v>1841</v>
          </cell>
          <cell r="AB401">
            <v>1829</v>
          </cell>
          <cell r="AC401">
            <v>1907</v>
          </cell>
          <cell r="AD401">
            <v>1952</v>
          </cell>
          <cell r="AE401">
            <v>1873</v>
          </cell>
          <cell r="AF401">
            <v>1873</v>
          </cell>
          <cell r="AG401">
            <v>1837</v>
          </cell>
          <cell r="AH401">
            <v>1851</v>
          </cell>
        </row>
        <row r="402">
          <cell r="A402" t="str">
            <v>TECO2</v>
          </cell>
          <cell r="B402" t="str">
            <v>TECO2ARS</v>
          </cell>
          <cell r="C402">
            <v>0</v>
          </cell>
          <cell r="D402">
            <v>0</v>
          </cell>
          <cell r="E402">
            <v>4170</v>
          </cell>
          <cell r="F402">
            <v>4227.5</v>
          </cell>
          <cell r="G402">
            <v>4130</v>
          </cell>
          <cell r="H402">
            <v>4112.5</v>
          </cell>
          <cell r="I402">
            <v>4177.5</v>
          </cell>
          <cell r="J402">
            <v>4170</v>
          </cell>
          <cell r="K402">
            <v>4145</v>
          </cell>
          <cell r="L402">
            <v>4325</v>
          </cell>
          <cell r="M402">
            <v>4237.5</v>
          </cell>
          <cell r="N402">
            <v>4402.5</v>
          </cell>
          <cell r="O402">
            <v>4465</v>
          </cell>
          <cell r="P402">
            <v>4390</v>
          </cell>
          <cell r="Q402">
            <v>4497.5</v>
          </cell>
          <cell r="R402">
            <v>4392.5</v>
          </cell>
          <cell r="S402">
            <v>4510</v>
          </cell>
          <cell r="T402">
            <v>4555</v>
          </cell>
          <cell r="U402">
            <v>4510</v>
          </cell>
          <cell r="V402">
            <v>4352.5</v>
          </cell>
          <cell r="W402">
            <v>4237.5</v>
          </cell>
          <cell r="X402">
            <v>3942.5</v>
          </cell>
          <cell r="Y402">
            <v>3930</v>
          </cell>
          <cell r="Z402">
            <v>3972.5</v>
          </cell>
          <cell r="AA402">
            <v>3802.5</v>
          </cell>
          <cell r="AB402">
            <v>3832.5</v>
          </cell>
          <cell r="AC402">
            <v>4032.5</v>
          </cell>
          <cell r="AD402">
            <v>4075</v>
          </cell>
          <cell r="AE402">
            <v>4077.5</v>
          </cell>
          <cell r="AF402">
            <v>4142.5</v>
          </cell>
          <cell r="AG402">
            <v>3990</v>
          </cell>
          <cell r="AH402">
            <v>3977.5</v>
          </cell>
        </row>
        <row r="403">
          <cell r="A403" t="str">
            <v>VALO</v>
          </cell>
          <cell r="B403" t="str">
            <v>VALOARS</v>
          </cell>
          <cell r="C403">
            <v>0</v>
          </cell>
          <cell r="D403">
            <v>0</v>
          </cell>
          <cell r="E403">
            <v>547</v>
          </cell>
          <cell r="F403">
            <v>555.5</v>
          </cell>
          <cell r="G403">
            <v>557.5</v>
          </cell>
          <cell r="H403">
            <v>544</v>
          </cell>
          <cell r="I403">
            <v>542</v>
          </cell>
          <cell r="J403">
            <v>540.5</v>
          </cell>
          <cell r="K403">
            <v>547.5</v>
          </cell>
          <cell r="L403">
            <v>540.5</v>
          </cell>
          <cell r="M403">
            <v>535.5</v>
          </cell>
          <cell r="N403">
            <v>523</v>
          </cell>
          <cell r="O403">
            <v>529</v>
          </cell>
          <cell r="P403">
            <v>528.5</v>
          </cell>
          <cell r="Q403">
            <v>547.5</v>
          </cell>
          <cell r="R403">
            <v>547</v>
          </cell>
          <cell r="S403">
            <v>548.5</v>
          </cell>
          <cell r="T403">
            <v>544.5</v>
          </cell>
          <cell r="U403">
            <v>546.5</v>
          </cell>
          <cell r="V403">
            <v>545</v>
          </cell>
          <cell r="W403">
            <v>545.5</v>
          </cell>
          <cell r="X403">
            <v>534</v>
          </cell>
          <cell r="Y403">
            <v>534</v>
          </cell>
          <cell r="Z403">
            <v>533.5</v>
          </cell>
          <cell r="AA403">
            <v>534.5</v>
          </cell>
          <cell r="AB403">
            <v>535.5</v>
          </cell>
          <cell r="AC403">
            <v>541</v>
          </cell>
          <cell r="AD403">
            <v>545</v>
          </cell>
          <cell r="AE403">
            <v>543.5</v>
          </cell>
          <cell r="AF403">
            <v>540</v>
          </cell>
          <cell r="AG403">
            <v>540.5</v>
          </cell>
          <cell r="AH403">
            <v>540.5</v>
          </cell>
        </row>
        <row r="404">
          <cell r="A404" t="str">
            <v>TGSU2</v>
          </cell>
          <cell r="B404" t="str">
            <v>TGSU2ARS</v>
          </cell>
          <cell r="C404">
            <v>0</v>
          </cell>
          <cell r="D404">
            <v>0</v>
          </cell>
          <cell r="E404">
            <v>9260</v>
          </cell>
          <cell r="F404">
            <v>9450</v>
          </cell>
          <cell r="G404">
            <v>9165</v>
          </cell>
          <cell r="H404">
            <v>9160</v>
          </cell>
          <cell r="I404">
            <v>9070</v>
          </cell>
          <cell r="J404">
            <v>9410</v>
          </cell>
          <cell r="K404">
            <v>9500</v>
          </cell>
          <cell r="L404">
            <v>9845</v>
          </cell>
          <cell r="M404">
            <v>9515</v>
          </cell>
          <cell r="N404">
            <v>9450</v>
          </cell>
          <cell r="O404">
            <v>9440</v>
          </cell>
          <cell r="P404">
            <v>9300</v>
          </cell>
          <cell r="Q404">
            <v>9305</v>
          </cell>
          <cell r="R404">
            <v>9055</v>
          </cell>
          <cell r="S404">
            <v>8890</v>
          </cell>
          <cell r="T404">
            <v>8900</v>
          </cell>
          <cell r="U404">
            <v>8835</v>
          </cell>
          <cell r="V404">
            <v>8790</v>
          </cell>
          <cell r="W404">
            <v>8640</v>
          </cell>
          <cell r="X404">
            <v>8390</v>
          </cell>
          <cell r="Y404">
            <v>8295</v>
          </cell>
          <cell r="Z404">
            <v>8375</v>
          </cell>
          <cell r="AA404">
            <v>8120</v>
          </cell>
          <cell r="AB404">
            <v>8105</v>
          </cell>
          <cell r="AC404">
            <v>8580</v>
          </cell>
          <cell r="AD404">
            <v>8715</v>
          </cell>
          <cell r="AE404">
            <v>8475</v>
          </cell>
          <cell r="AF404">
            <v>8490</v>
          </cell>
          <cell r="AG404">
            <v>8340</v>
          </cell>
          <cell r="AH404">
            <v>8415</v>
          </cell>
        </row>
        <row r="405">
          <cell r="A405" t="str">
            <v>AUSO</v>
          </cell>
          <cell r="B405" t="str">
            <v>AUSOARS</v>
          </cell>
          <cell r="C405">
            <v>0</v>
          </cell>
          <cell r="D405">
            <v>0</v>
          </cell>
          <cell r="E405">
            <v>3130</v>
          </cell>
          <cell r="F405">
            <v>3160</v>
          </cell>
          <cell r="G405">
            <v>3155</v>
          </cell>
          <cell r="H405">
            <v>3120</v>
          </cell>
          <cell r="I405">
            <v>3230</v>
          </cell>
          <cell r="J405">
            <v>3265</v>
          </cell>
          <cell r="K405">
            <v>3300</v>
          </cell>
          <cell r="L405">
            <v>3305</v>
          </cell>
          <cell r="M405">
            <v>3345</v>
          </cell>
          <cell r="N405">
            <v>3320</v>
          </cell>
          <cell r="O405">
            <v>3285</v>
          </cell>
          <cell r="P405">
            <v>3250</v>
          </cell>
          <cell r="Q405">
            <v>3235</v>
          </cell>
          <cell r="R405">
            <v>3170</v>
          </cell>
          <cell r="S405">
            <v>3115</v>
          </cell>
          <cell r="T405">
            <v>3085</v>
          </cell>
          <cell r="U405">
            <v>3035</v>
          </cell>
          <cell r="V405">
            <v>3040</v>
          </cell>
          <cell r="W405">
            <v>2930</v>
          </cell>
          <cell r="X405">
            <v>2790</v>
          </cell>
          <cell r="Y405">
            <v>2780</v>
          </cell>
          <cell r="Z405">
            <v>2845</v>
          </cell>
          <cell r="AA405">
            <v>2810</v>
          </cell>
          <cell r="AB405">
            <v>2875</v>
          </cell>
          <cell r="AC405">
            <v>2930</v>
          </cell>
          <cell r="AD405">
            <v>2950</v>
          </cell>
          <cell r="AE405">
            <v>2890</v>
          </cell>
          <cell r="AF405">
            <v>2915</v>
          </cell>
          <cell r="AG405">
            <v>2980</v>
          </cell>
          <cell r="AH405">
            <v>2900</v>
          </cell>
        </row>
        <row r="406">
          <cell r="A406" t="str">
            <v>METR</v>
          </cell>
          <cell r="B406" t="str">
            <v>METRARS</v>
          </cell>
          <cell r="C406">
            <v>0</v>
          </cell>
          <cell r="D406">
            <v>0</v>
          </cell>
          <cell r="E406">
            <v>2335</v>
          </cell>
          <cell r="F406">
            <v>2374</v>
          </cell>
          <cell r="G406">
            <v>2369</v>
          </cell>
          <cell r="H406">
            <v>2387</v>
          </cell>
          <cell r="I406">
            <v>2359</v>
          </cell>
          <cell r="J406">
            <v>2355</v>
          </cell>
          <cell r="K406">
            <v>2344</v>
          </cell>
          <cell r="L406">
            <v>2365</v>
          </cell>
          <cell r="M406">
            <v>2374</v>
          </cell>
          <cell r="N406">
            <v>2371</v>
          </cell>
          <cell r="O406">
            <v>2359</v>
          </cell>
          <cell r="P406">
            <v>2398</v>
          </cell>
          <cell r="Q406">
            <v>2412</v>
          </cell>
          <cell r="R406">
            <v>2394</v>
          </cell>
          <cell r="S406">
            <v>2435</v>
          </cell>
          <cell r="T406">
            <v>2404</v>
          </cell>
          <cell r="U406">
            <v>2398</v>
          </cell>
          <cell r="V406">
            <v>2421</v>
          </cell>
          <cell r="W406">
            <v>2370</v>
          </cell>
          <cell r="X406">
            <v>2255</v>
          </cell>
          <cell r="Y406">
            <v>2271</v>
          </cell>
          <cell r="Z406">
            <v>2382</v>
          </cell>
          <cell r="AA406">
            <v>2280</v>
          </cell>
          <cell r="AB406">
            <v>2287</v>
          </cell>
          <cell r="AC406">
            <v>2327</v>
          </cell>
          <cell r="AD406">
            <v>2296</v>
          </cell>
          <cell r="AE406">
            <v>2372</v>
          </cell>
          <cell r="AF406">
            <v>2409</v>
          </cell>
          <cell r="AG406">
            <v>2379</v>
          </cell>
          <cell r="AH406">
            <v>2358</v>
          </cell>
        </row>
        <row r="407">
          <cell r="A407" t="str">
            <v>ECOG</v>
          </cell>
          <cell r="B407" t="str">
            <v>ECOGARS</v>
          </cell>
          <cell r="C407">
            <v>0</v>
          </cell>
          <cell r="D407">
            <v>0</v>
          </cell>
          <cell r="E407">
            <v>2847.5</v>
          </cell>
          <cell r="F407">
            <v>2892.5</v>
          </cell>
          <cell r="G407">
            <v>2877.5</v>
          </cell>
          <cell r="H407">
            <v>2842.5</v>
          </cell>
          <cell r="I407">
            <v>2830</v>
          </cell>
          <cell r="J407">
            <v>2840</v>
          </cell>
          <cell r="K407">
            <v>2867.5</v>
          </cell>
          <cell r="L407">
            <v>2857.5</v>
          </cell>
          <cell r="M407">
            <v>2870</v>
          </cell>
          <cell r="N407">
            <v>3005</v>
          </cell>
          <cell r="O407">
            <v>3005</v>
          </cell>
          <cell r="P407">
            <v>2980</v>
          </cell>
          <cell r="Q407">
            <v>3012.5</v>
          </cell>
          <cell r="R407">
            <v>2695</v>
          </cell>
          <cell r="S407">
            <v>2727.5</v>
          </cell>
          <cell r="T407">
            <v>2715</v>
          </cell>
          <cell r="U407">
            <v>2662.5</v>
          </cell>
          <cell r="V407">
            <v>2690</v>
          </cell>
          <cell r="W407">
            <v>2620</v>
          </cell>
          <cell r="X407">
            <v>2462</v>
          </cell>
          <cell r="Y407">
            <v>2418</v>
          </cell>
          <cell r="Z407">
            <v>2468</v>
          </cell>
          <cell r="AA407">
            <v>2420</v>
          </cell>
          <cell r="AB407">
            <v>2429</v>
          </cell>
          <cell r="AC407">
            <v>2510</v>
          </cell>
          <cell r="AD407">
            <v>2522.5</v>
          </cell>
          <cell r="AE407">
            <v>2485</v>
          </cell>
          <cell r="AF407">
            <v>2448</v>
          </cell>
          <cell r="AG407">
            <v>2482</v>
          </cell>
          <cell r="AH407">
            <v>2433</v>
          </cell>
        </row>
        <row r="408">
          <cell r="A408" t="str">
            <v>COME</v>
          </cell>
          <cell r="B408" t="str">
            <v>COMEARS</v>
          </cell>
          <cell r="C408">
            <v>0</v>
          </cell>
          <cell r="D408">
            <v>0</v>
          </cell>
          <cell r="E408">
            <v>40.9</v>
          </cell>
          <cell r="F408">
            <v>41.74</v>
          </cell>
          <cell r="G408">
            <v>40.98</v>
          </cell>
          <cell r="H408">
            <v>41.16</v>
          </cell>
          <cell r="I408">
            <v>40.64</v>
          </cell>
          <cell r="J408">
            <v>41.52</v>
          </cell>
          <cell r="K408">
            <v>41.14</v>
          </cell>
          <cell r="L408">
            <v>40.79</v>
          </cell>
          <cell r="M408">
            <v>40.880000000000003</v>
          </cell>
          <cell r="N408">
            <v>41.53</v>
          </cell>
          <cell r="O408">
            <v>41.34</v>
          </cell>
          <cell r="P408">
            <v>40.51</v>
          </cell>
          <cell r="Q408">
            <v>40.76</v>
          </cell>
          <cell r="R408">
            <v>40.47</v>
          </cell>
          <cell r="S408">
            <v>40.090000000000003</v>
          </cell>
          <cell r="T408">
            <v>40.08</v>
          </cell>
          <cell r="U408">
            <v>39.9</v>
          </cell>
          <cell r="V408">
            <v>39.770000000000003</v>
          </cell>
          <cell r="W408">
            <v>39.5</v>
          </cell>
          <cell r="X408">
            <v>38.630000000000003</v>
          </cell>
          <cell r="Y408">
            <v>38.42</v>
          </cell>
          <cell r="Z408">
            <v>39.47</v>
          </cell>
          <cell r="AA408">
            <v>38.93</v>
          </cell>
          <cell r="AB408">
            <v>38.96</v>
          </cell>
          <cell r="AC408">
            <v>39.99</v>
          </cell>
          <cell r="AD408">
            <v>39.79</v>
          </cell>
          <cell r="AE408">
            <v>38.92</v>
          </cell>
          <cell r="AF408">
            <v>39.03</v>
          </cell>
          <cell r="AG408">
            <v>39.01</v>
          </cell>
          <cell r="AH408">
            <v>39.07</v>
          </cell>
        </row>
        <row r="409">
          <cell r="A409" t="str">
            <v>MIRG</v>
          </cell>
          <cell r="B409" t="str">
            <v>MIRGARS</v>
          </cell>
          <cell r="C409">
            <v>0</v>
          </cell>
          <cell r="D409">
            <v>0</v>
          </cell>
          <cell r="E409">
            <v>1770</v>
          </cell>
          <cell r="F409">
            <v>1810</v>
          </cell>
          <cell r="G409">
            <v>1845</v>
          </cell>
          <cell r="H409">
            <v>1920</v>
          </cell>
          <cell r="I409">
            <v>1895</v>
          </cell>
          <cell r="J409">
            <v>1875</v>
          </cell>
          <cell r="K409">
            <v>1920</v>
          </cell>
          <cell r="L409">
            <v>1940</v>
          </cell>
          <cell r="M409">
            <v>1955</v>
          </cell>
          <cell r="N409">
            <v>1895</v>
          </cell>
          <cell r="O409">
            <v>1850</v>
          </cell>
          <cell r="P409">
            <v>1845</v>
          </cell>
          <cell r="Q409">
            <v>1830</v>
          </cell>
          <cell r="R409">
            <v>1775</v>
          </cell>
          <cell r="S409">
            <v>1775</v>
          </cell>
          <cell r="T409">
            <v>1795</v>
          </cell>
          <cell r="U409">
            <v>1785</v>
          </cell>
          <cell r="V409">
            <v>1740</v>
          </cell>
          <cell r="W409">
            <v>1715</v>
          </cell>
          <cell r="X409">
            <v>1655</v>
          </cell>
          <cell r="Y409">
            <v>1660</v>
          </cell>
          <cell r="Z409">
            <v>1680</v>
          </cell>
          <cell r="AA409">
            <v>1675</v>
          </cell>
          <cell r="AB409">
            <v>1720</v>
          </cell>
          <cell r="AC409">
            <v>1725</v>
          </cell>
          <cell r="AD409">
            <v>1765</v>
          </cell>
          <cell r="AE409">
            <v>1835</v>
          </cell>
          <cell r="AF409">
            <v>1805</v>
          </cell>
          <cell r="AG409">
            <v>1770</v>
          </cell>
          <cell r="AH409">
            <v>1740</v>
          </cell>
        </row>
        <row r="410">
          <cell r="A410" t="str">
            <v>CVH</v>
          </cell>
          <cell r="B410" t="str">
            <v>CVHARS</v>
          </cell>
          <cell r="C410">
            <v>0</v>
          </cell>
          <cell r="D410">
            <v>0</v>
          </cell>
          <cell r="E410">
            <v>9390</v>
          </cell>
          <cell r="F410">
            <v>9450</v>
          </cell>
          <cell r="G410">
            <v>9360</v>
          </cell>
          <cell r="H410">
            <v>9450</v>
          </cell>
          <cell r="I410">
            <v>9440</v>
          </cell>
          <cell r="J410">
            <v>9390</v>
          </cell>
          <cell r="K410">
            <v>9330</v>
          </cell>
          <cell r="L410">
            <v>9400</v>
          </cell>
          <cell r="M410">
            <v>9360</v>
          </cell>
          <cell r="N410">
            <v>9440</v>
          </cell>
          <cell r="O410">
            <v>9460</v>
          </cell>
          <cell r="P410">
            <v>9450</v>
          </cell>
          <cell r="Q410">
            <v>9550</v>
          </cell>
          <cell r="R410">
            <v>9570</v>
          </cell>
          <cell r="S410">
            <v>9530</v>
          </cell>
          <cell r="T410">
            <v>9540</v>
          </cell>
          <cell r="U410">
            <v>9450</v>
          </cell>
          <cell r="V410">
            <v>9400</v>
          </cell>
          <cell r="W410">
            <v>9410</v>
          </cell>
          <cell r="X410">
            <v>9300</v>
          </cell>
          <cell r="Y410">
            <v>9290</v>
          </cell>
          <cell r="Z410">
            <v>9370</v>
          </cell>
          <cell r="AA410">
            <v>9260</v>
          </cell>
          <cell r="AB410">
            <v>9260</v>
          </cell>
          <cell r="AC410">
            <v>9310</v>
          </cell>
          <cell r="AD410">
            <v>9250</v>
          </cell>
          <cell r="AE410">
            <v>9210</v>
          </cell>
          <cell r="AF410">
            <v>9300</v>
          </cell>
          <cell r="AG410">
            <v>9290</v>
          </cell>
          <cell r="AH410">
            <v>9260</v>
          </cell>
        </row>
        <row r="411">
          <cell r="A411" t="str">
            <v>TRAN</v>
          </cell>
          <cell r="B411" t="str">
            <v>TRANARS</v>
          </cell>
          <cell r="C411">
            <v>0</v>
          </cell>
          <cell r="D411">
            <v>0</v>
          </cell>
          <cell r="E411">
            <v>3547.5</v>
          </cell>
          <cell r="F411">
            <v>3687.5</v>
          </cell>
          <cell r="G411">
            <v>3102.5</v>
          </cell>
          <cell r="H411">
            <v>3067.5</v>
          </cell>
          <cell r="I411">
            <v>3112.5</v>
          </cell>
          <cell r="J411">
            <v>3115</v>
          </cell>
          <cell r="K411">
            <v>3115</v>
          </cell>
          <cell r="L411">
            <v>3140</v>
          </cell>
          <cell r="M411">
            <v>3215</v>
          </cell>
          <cell r="N411">
            <v>3180</v>
          </cell>
          <cell r="O411">
            <v>3162.5</v>
          </cell>
          <cell r="P411">
            <v>3065</v>
          </cell>
          <cell r="Q411">
            <v>3112.5</v>
          </cell>
          <cell r="R411">
            <v>3162.5</v>
          </cell>
          <cell r="S411">
            <v>3140</v>
          </cell>
          <cell r="T411">
            <v>3115</v>
          </cell>
          <cell r="U411">
            <v>3090</v>
          </cell>
          <cell r="V411">
            <v>3052.5</v>
          </cell>
          <cell r="W411">
            <v>3032.5</v>
          </cell>
          <cell r="X411">
            <v>2910</v>
          </cell>
          <cell r="Y411">
            <v>2982.5</v>
          </cell>
          <cell r="Z411">
            <v>3100</v>
          </cell>
          <cell r="AA411">
            <v>3007.5</v>
          </cell>
          <cell r="AB411">
            <v>2967.5</v>
          </cell>
          <cell r="AC411">
            <v>2927.5</v>
          </cell>
          <cell r="AD411">
            <v>2842.5</v>
          </cell>
          <cell r="AE411">
            <v>2742.5</v>
          </cell>
          <cell r="AF411">
            <v>2770</v>
          </cell>
          <cell r="AG411">
            <v>2777.5</v>
          </cell>
          <cell r="AH411">
            <v>2705</v>
          </cell>
        </row>
        <row r="412">
          <cell r="A412" t="str">
            <v>HARG</v>
          </cell>
          <cell r="B412" t="str">
            <v>HARGARS</v>
          </cell>
          <cell r="C412">
            <v>0</v>
          </cell>
          <cell r="D412">
            <v>0</v>
          </cell>
          <cell r="E412">
            <v>1460</v>
          </cell>
          <cell r="F412">
            <v>1475</v>
          </cell>
          <cell r="G412">
            <v>1460</v>
          </cell>
          <cell r="H412">
            <v>1450</v>
          </cell>
          <cell r="I412">
            <v>1475</v>
          </cell>
          <cell r="J412">
            <v>1490</v>
          </cell>
          <cell r="K412">
            <v>1485</v>
          </cell>
          <cell r="L412">
            <v>1460</v>
          </cell>
          <cell r="M412">
            <v>1470</v>
          </cell>
          <cell r="N412">
            <v>1485</v>
          </cell>
          <cell r="O412">
            <v>1460</v>
          </cell>
          <cell r="P412">
            <v>1445</v>
          </cell>
          <cell r="Q412">
            <v>1440</v>
          </cell>
          <cell r="R412">
            <v>1430</v>
          </cell>
          <cell r="S412">
            <v>1405</v>
          </cell>
          <cell r="T412">
            <v>1385</v>
          </cell>
          <cell r="U412">
            <v>1360</v>
          </cell>
          <cell r="V412">
            <v>1330</v>
          </cell>
          <cell r="W412">
            <v>1350</v>
          </cell>
          <cell r="X412">
            <v>1260</v>
          </cell>
          <cell r="Y412">
            <v>1235</v>
          </cell>
          <cell r="Z412">
            <v>1270</v>
          </cell>
          <cell r="AA412">
            <v>1250</v>
          </cell>
          <cell r="AB412">
            <v>1270</v>
          </cell>
          <cell r="AC412">
            <v>1305</v>
          </cell>
          <cell r="AD412">
            <v>1350</v>
          </cell>
          <cell r="AE412">
            <v>1315</v>
          </cell>
          <cell r="AF412">
            <v>1335</v>
          </cell>
          <cell r="AG412">
            <v>1335</v>
          </cell>
          <cell r="AH412">
            <v>1330</v>
          </cell>
        </row>
        <row r="413">
          <cell r="A413" t="str">
            <v>EDN</v>
          </cell>
          <cell r="B413" t="str">
            <v>EDNARS</v>
          </cell>
          <cell r="C413">
            <v>0</v>
          </cell>
          <cell r="D413">
            <v>0</v>
          </cell>
          <cell r="E413">
            <v>1887</v>
          </cell>
          <cell r="F413">
            <v>1968</v>
          </cell>
          <cell r="G413">
            <v>1946</v>
          </cell>
          <cell r="H413">
            <v>1938</v>
          </cell>
          <cell r="I413">
            <v>1930</v>
          </cell>
          <cell r="J413">
            <v>1958</v>
          </cell>
          <cell r="K413">
            <v>1972</v>
          </cell>
          <cell r="L413">
            <v>1996</v>
          </cell>
          <cell r="M413">
            <v>1954</v>
          </cell>
          <cell r="N413">
            <v>1935</v>
          </cell>
          <cell r="O413">
            <v>1908</v>
          </cell>
          <cell r="P413">
            <v>1890</v>
          </cell>
          <cell r="Q413">
            <v>1916</v>
          </cell>
          <cell r="R413">
            <v>1881</v>
          </cell>
          <cell r="S413">
            <v>1880</v>
          </cell>
          <cell r="T413">
            <v>1875</v>
          </cell>
          <cell r="U413">
            <v>1836</v>
          </cell>
          <cell r="V413">
            <v>1793</v>
          </cell>
          <cell r="W413">
            <v>1736</v>
          </cell>
          <cell r="X413">
            <v>1641</v>
          </cell>
          <cell r="Y413">
            <v>1677</v>
          </cell>
          <cell r="Z413">
            <v>1690</v>
          </cell>
          <cell r="AA413">
            <v>1629</v>
          </cell>
          <cell r="AB413">
            <v>1616</v>
          </cell>
          <cell r="AC413">
            <v>1683</v>
          </cell>
          <cell r="AD413">
            <v>1667</v>
          </cell>
          <cell r="AE413">
            <v>1635</v>
          </cell>
          <cell r="AF413">
            <v>1622</v>
          </cell>
          <cell r="AG413">
            <v>1627</v>
          </cell>
          <cell r="AH413">
            <v>1653</v>
          </cell>
        </row>
        <row r="414">
          <cell r="A414" t="str">
            <v>MASU</v>
          </cell>
          <cell r="B414" t="str">
            <v>MASUARS</v>
          </cell>
          <cell r="C414">
            <v>0</v>
          </cell>
          <cell r="D414">
            <v>0</v>
          </cell>
          <cell r="E414">
            <v>0.01</v>
          </cell>
          <cell r="F414">
            <v>0.01</v>
          </cell>
          <cell r="G414">
            <v>0.01</v>
          </cell>
          <cell r="H414">
            <v>0.01</v>
          </cell>
          <cell r="I414">
            <v>0.01</v>
          </cell>
          <cell r="J414">
            <v>0.01</v>
          </cell>
          <cell r="K414">
            <v>0.01</v>
          </cell>
          <cell r="L414">
            <v>0.01</v>
          </cell>
          <cell r="M414">
            <v>0.01</v>
          </cell>
          <cell r="N414">
            <v>0.01</v>
          </cell>
          <cell r="O414">
            <v>0.01</v>
          </cell>
          <cell r="P414">
            <v>0.01</v>
          </cell>
          <cell r="Q414">
            <v>0.01</v>
          </cell>
          <cell r="R414">
            <v>0.01</v>
          </cell>
          <cell r="S414">
            <v>0.01</v>
          </cell>
          <cell r="T414">
            <v>0.01</v>
          </cell>
          <cell r="U414">
            <v>0.01</v>
          </cell>
          <cell r="V414">
            <v>0.01</v>
          </cell>
          <cell r="W414">
            <v>0.01</v>
          </cell>
          <cell r="X414">
            <v>0.01</v>
          </cell>
          <cell r="Y414">
            <v>0.01</v>
          </cell>
          <cell r="Z414">
            <v>0.01</v>
          </cell>
          <cell r="AA414">
            <v>0.01</v>
          </cell>
          <cell r="AB414">
            <v>0.01</v>
          </cell>
          <cell r="AC414">
            <v>0.01</v>
          </cell>
          <cell r="AD414">
            <v>0.01</v>
          </cell>
          <cell r="AE414">
            <v>0.01</v>
          </cell>
          <cell r="AF414">
            <v>0.01</v>
          </cell>
          <cell r="AG414">
            <v>0.01</v>
          </cell>
          <cell r="AH414">
            <v>0.01</v>
          </cell>
        </row>
        <row r="415">
          <cell r="A415" t="str">
            <v>INVJ</v>
          </cell>
          <cell r="B415" t="str">
            <v>INVJARS</v>
          </cell>
          <cell r="C415">
            <v>0</v>
          </cell>
          <cell r="D415">
            <v>0</v>
          </cell>
          <cell r="E415">
            <v>418</v>
          </cell>
          <cell r="F415">
            <v>420</v>
          </cell>
          <cell r="G415">
            <v>424</v>
          </cell>
          <cell r="H415">
            <v>419</v>
          </cell>
          <cell r="I415">
            <v>419</v>
          </cell>
          <cell r="J415">
            <v>420</v>
          </cell>
          <cell r="K415">
            <v>421</v>
          </cell>
          <cell r="L415">
            <v>420</v>
          </cell>
          <cell r="M415">
            <v>423</v>
          </cell>
          <cell r="N415">
            <v>420</v>
          </cell>
          <cell r="O415">
            <v>420</v>
          </cell>
          <cell r="P415">
            <v>419</v>
          </cell>
          <cell r="Q415">
            <v>422</v>
          </cell>
          <cell r="R415">
            <v>426</v>
          </cell>
          <cell r="S415">
            <v>416</v>
          </cell>
          <cell r="T415">
            <v>417</v>
          </cell>
          <cell r="U415">
            <v>412</v>
          </cell>
          <cell r="V415">
            <v>409</v>
          </cell>
          <cell r="W415">
            <v>405</v>
          </cell>
          <cell r="X415">
            <v>385</v>
          </cell>
          <cell r="Y415">
            <v>381.5</v>
          </cell>
          <cell r="Z415">
            <v>384.5</v>
          </cell>
          <cell r="AA415">
            <v>383</v>
          </cell>
          <cell r="AB415">
            <v>383.5</v>
          </cell>
          <cell r="AC415">
            <v>390.5</v>
          </cell>
          <cell r="AD415">
            <v>400</v>
          </cell>
          <cell r="AE415">
            <v>396</v>
          </cell>
          <cell r="AF415">
            <v>402</v>
          </cell>
          <cell r="AG415">
            <v>394.5</v>
          </cell>
          <cell r="AH415">
            <v>389.5</v>
          </cell>
        </row>
        <row r="416">
          <cell r="A416" t="str">
            <v>IRSA</v>
          </cell>
          <cell r="B416" t="str">
            <v>IRSAARS</v>
          </cell>
          <cell r="C416">
            <v>0</v>
          </cell>
          <cell r="D416">
            <v>0</v>
          </cell>
          <cell r="E416">
            <v>2395</v>
          </cell>
          <cell r="F416">
            <v>2425</v>
          </cell>
          <cell r="G416">
            <v>2395</v>
          </cell>
          <cell r="H416">
            <v>2410</v>
          </cell>
          <cell r="I416">
            <v>2340</v>
          </cell>
          <cell r="J416">
            <v>2400</v>
          </cell>
          <cell r="K416">
            <v>2455</v>
          </cell>
          <cell r="L416">
            <v>2480</v>
          </cell>
          <cell r="M416">
            <v>2475</v>
          </cell>
          <cell r="N416">
            <v>2435</v>
          </cell>
          <cell r="O416">
            <v>2440</v>
          </cell>
          <cell r="P416">
            <v>2425</v>
          </cell>
          <cell r="Q416">
            <v>2560</v>
          </cell>
          <cell r="R416">
            <v>2480</v>
          </cell>
          <cell r="S416">
            <v>2490</v>
          </cell>
          <cell r="T416">
            <v>2455</v>
          </cell>
          <cell r="U416">
            <v>2415</v>
          </cell>
          <cell r="V416">
            <v>2395</v>
          </cell>
          <cell r="W416">
            <v>2385</v>
          </cell>
          <cell r="X416">
            <v>2300</v>
          </cell>
          <cell r="Y416">
            <v>2260</v>
          </cell>
          <cell r="Z416">
            <v>2260</v>
          </cell>
          <cell r="AA416">
            <v>2140</v>
          </cell>
          <cell r="AB416">
            <v>2175</v>
          </cell>
          <cell r="AC416">
            <v>2255</v>
          </cell>
          <cell r="AD416">
            <v>2305</v>
          </cell>
          <cell r="AE416">
            <v>2270</v>
          </cell>
          <cell r="AF416">
            <v>2230</v>
          </cell>
          <cell r="AG416">
            <v>2205</v>
          </cell>
          <cell r="AH416">
            <v>2290</v>
          </cell>
        </row>
        <row r="417">
          <cell r="A417" t="str">
            <v>DGCE</v>
          </cell>
          <cell r="B417" t="str">
            <v>DGCEARS</v>
          </cell>
          <cell r="C417">
            <v>0</v>
          </cell>
          <cell r="D417">
            <v>0</v>
          </cell>
          <cell r="E417">
            <v>1850</v>
          </cell>
          <cell r="F417">
            <v>1850</v>
          </cell>
          <cell r="G417">
            <v>1850</v>
          </cell>
          <cell r="H417">
            <v>1850</v>
          </cell>
          <cell r="I417">
            <v>1850</v>
          </cell>
          <cell r="J417">
            <v>1850</v>
          </cell>
          <cell r="K417">
            <v>1850</v>
          </cell>
          <cell r="L417">
            <v>1850</v>
          </cell>
          <cell r="M417">
            <v>1850</v>
          </cell>
          <cell r="N417">
            <v>1850</v>
          </cell>
          <cell r="O417">
            <v>1850</v>
          </cell>
          <cell r="P417">
            <v>1850</v>
          </cell>
          <cell r="Q417">
            <v>1850</v>
          </cell>
          <cell r="R417">
            <v>1850</v>
          </cell>
          <cell r="S417">
            <v>1850</v>
          </cell>
          <cell r="T417">
            <v>1850</v>
          </cell>
          <cell r="U417">
            <v>1850</v>
          </cell>
          <cell r="V417">
            <v>1850</v>
          </cell>
          <cell r="W417">
            <v>1850</v>
          </cell>
          <cell r="X417">
            <v>1850</v>
          </cell>
          <cell r="Y417">
            <v>1850</v>
          </cell>
          <cell r="Z417">
            <v>1850</v>
          </cell>
          <cell r="AA417">
            <v>1850</v>
          </cell>
          <cell r="AB417">
            <v>1850</v>
          </cell>
          <cell r="AC417">
            <v>1850</v>
          </cell>
          <cell r="AD417">
            <v>1850</v>
          </cell>
          <cell r="AE417">
            <v>1850</v>
          </cell>
          <cell r="AF417">
            <v>1850</v>
          </cell>
          <cell r="AG417">
            <v>1850</v>
          </cell>
          <cell r="AH417">
            <v>1850</v>
          </cell>
        </row>
        <row r="418">
          <cell r="A418" t="str">
            <v>BHIP</v>
          </cell>
          <cell r="B418" t="str">
            <v>BHIPARS</v>
          </cell>
          <cell r="C418">
            <v>0</v>
          </cell>
          <cell r="D418">
            <v>0</v>
          </cell>
          <cell r="E418">
            <v>328.5</v>
          </cell>
          <cell r="F418">
            <v>325</v>
          </cell>
          <cell r="G418">
            <v>317</v>
          </cell>
          <cell r="H418">
            <v>313</v>
          </cell>
          <cell r="I418">
            <v>309.5</v>
          </cell>
          <cell r="J418">
            <v>314.5</v>
          </cell>
          <cell r="K418">
            <v>308.5</v>
          </cell>
          <cell r="L418">
            <v>307.5</v>
          </cell>
          <cell r="M418">
            <v>302</v>
          </cell>
          <cell r="N418">
            <v>297</v>
          </cell>
          <cell r="O418">
            <v>299</v>
          </cell>
          <cell r="P418">
            <v>295.5</v>
          </cell>
          <cell r="Q418">
            <v>297</v>
          </cell>
          <cell r="R418">
            <v>293</v>
          </cell>
          <cell r="S418">
            <v>293.5</v>
          </cell>
          <cell r="T418">
            <v>292</v>
          </cell>
          <cell r="U418">
            <v>288.5</v>
          </cell>
          <cell r="V418">
            <v>284.5</v>
          </cell>
          <cell r="W418">
            <v>279.5</v>
          </cell>
          <cell r="X418">
            <v>268</v>
          </cell>
          <cell r="Y418">
            <v>270.5</v>
          </cell>
          <cell r="Z418">
            <v>269</v>
          </cell>
          <cell r="AA418">
            <v>257.5</v>
          </cell>
          <cell r="AB418">
            <v>260.5</v>
          </cell>
          <cell r="AC418">
            <v>267.5</v>
          </cell>
          <cell r="AD418">
            <v>265</v>
          </cell>
          <cell r="AE418">
            <v>258</v>
          </cell>
          <cell r="AF418">
            <v>254</v>
          </cell>
          <cell r="AG418">
            <v>255</v>
          </cell>
          <cell r="AH418">
            <v>259</v>
          </cell>
        </row>
        <row r="419">
          <cell r="A419"/>
          <cell r="B419"/>
          <cell r="C419"/>
          <cell r="D419"/>
        </row>
        <row r="420">
          <cell r="A420" t="str">
            <v>Cedears en pesos</v>
          </cell>
          <cell r="B420"/>
          <cell r="C420"/>
          <cell r="D420"/>
        </row>
        <row r="421">
          <cell r="A421"/>
          <cell r="B421"/>
          <cell r="C421"/>
          <cell r="D421"/>
        </row>
        <row r="422">
          <cell r="A422" t="str">
            <v>MELI</v>
          </cell>
          <cell r="B422" t="str">
            <v>MELIARS</v>
          </cell>
          <cell r="C422">
            <v>0</v>
          </cell>
          <cell r="D422">
            <v>0</v>
          </cell>
          <cell r="E422">
            <v>25960</v>
          </cell>
          <cell r="F422">
            <v>26580</v>
          </cell>
          <cell r="G422">
            <v>26300</v>
          </cell>
          <cell r="H422">
            <v>26100</v>
          </cell>
          <cell r="I422">
            <v>26020</v>
          </cell>
          <cell r="J422">
            <v>25540</v>
          </cell>
          <cell r="K422">
            <v>25000</v>
          </cell>
          <cell r="L422">
            <v>25360</v>
          </cell>
          <cell r="M422">
            <v>25280</v>
          </cell>
          <cell r="N422">
            <v>25260</v>
          </cell>
          <cell r="O422">
            <v>24380</v>
          </cell>
          <cell r="P422">
            <v>24530</v>
          </cell>
          <cell r="Q422">
            <v>24230</v>
          </cell>
          <cell r="R422">
            <v>23870</v>
          </cell>
          <cell r="S422">
            <v>24260</v>
          </cell>
          <cell r="T422">
            <v>24380</v>
          </cell>
          <cell r="U422">
            <v>24110</v>
          </cell>
          <cell r="V422">
            <v>23590</v>
          </cell>
          <cell r="W422">
            <v>23680</v>
          </cell>
          <cell r="X422">
            <v>23100</v>
          </cell>
          <cell r="Y422">
            <v>23250</v>
          </cell>
          <cell r="Z422">
            <v>23320</v>
          </cell>
          <cell r="AA422">
            <v>22840</v>
          </cell>
          <cell r="AB422">
            <v>22990</v>
          </cell>
          <cell r="AC422">
            <v>24920</v>
          </cell>
          <cell r="AD422">
            <v>24880</v>
          </cell>
          <cell r="AE422">
            <v>25120</v>
          </cell>
          <cell r="AF422">
            <v>24910</v>
          </cell>
          <cell r="AG422">
            <v>25360</v>
          </cell>
          <cell r="AH422">
            <v>25220</v>
          </cell>
        </row>
        <row r="423">
          <cell r="A423" t="str">
            <v>NU</v>
          </cell>
          <cell r="B423" t="str">
            <v>NUARS</v>
          </cell>
          <cell r="C423">
            <v>0</v>
          </cell>
          <cell r="D423">
            <v>0</v>
          </cell>
          <cell r="E423">
            <v>11540</v>
          </cell>
          <cell r="F423">
            <v>12200</v>
          </cell>
          <cell r="G423">
            <v>12410</v>
          </cell>
          <cell r="H423">
            <v>12160</v>
          </cell>
          <cell r="I423">
            <v>12260</v>
          </cell>
          <cell r="J423">
            <v>12190</v>
          </cell>
          <cell r="K423">
            <v>12000</v>
          </cell>
          <cell r="L423">
            <v>12030</v>
          </cell>
          <cell r="M423">
            <v>11690</v>
          </cell>
          <cell r="N423">
            <v>11540</v>
          </cell>
          <cell r="O423">
            <v>11330</v>
          </cell>
          <cell r="P423">
            <v>11040</v>
          </cell>
          <cell r="Q423">
            <v>11050</v>
          </cell>
          <cell r="R423">
            <v>10960</v>
          </cell>
          <cell r="S423">
            <v>11230</v>
          </cell>
          <cell r="T423">
            <v>11330</v>
          </cell>
          <cell r="U423">
            <v>10960</v>
          </cell>
          <cell r="V423">
            <v>10960</v>
          </cell>
          <cell r="W423">
            <v>11010</v>
          </cell>
          <cell r="X423">
            <v>9950</v>
          </cell>
          <cell r="Y423">
            <v>10020</v>
          </cell>
          <cell r="Z423">
            <v>10290</v>
          </cell>
          <cell r="AA423">
            <v>10770</v>
          </cell>
          <cell r="AB423">
            <v>10900</v>
          </cell>
          <cell r="AC423">
            <v>12210</v>
          </cell>
          <cell r="AD423">
            <v>12580</v>
          </cell>
          <cell r="AE423">
            <v>12530</v>
          </cell>
          <cell r="AF423">
            <v>12380</v>
          </cell>
          <cell r="AG423">
            <v>12960</v>
          </cell>
          <cell r="AH423">
            <v>12550</v>
          </cell>
        </row>
        <row r="424">
          <cell r="A424" t="str">
            <v>VALE</v>
          </cell>
          <cell r="B424" t="str">
            <v>VALEARS</v>
          </cell>
          <cell r="C424">
            <v>0</v>
          </cell>
          <cell r="D424">
            <v>0</v>
          </cell>
          <cell r="E424">
            <v>12010</v>
          </cell>
          <cell r="F424">
            <v>12530</v>
          </cell>
          <cell r="G424">
            <v>12160</v>
          </cell>
          <cell r="H424">
            <v>12090</v>
          </cell>
          <cell r="I424">
            <v>12190</v>
          </cell>
          <cell r="J424">
            <v>12360</v>
          </cell>
          <cell r="K424">
            <v>12280</v>
          </cell>
          <cell r="L424">
            <v>12180</v>
          </cell>
          <cell r="M424">
            <v>12120</v>
          </cell>
          <cell r="N424">
            <v>11680</v>
          </cell>
          <cell r="O424">
            <v>11580</v>
          </cell>
          <cell r="P424">
            <v>11300</v>
          </cell>
          <cell r="Q424">
            <v>11530</v>
          </cell>
          <cell r="R424">
            <v>11380</v>
          </cell>
          <cell r="S424">
            <v>11300</v>
          </cell>
          <cell r="T424">
            <v>11380</v>
          </cell>
          <cell r="U424">
            <v>11110</v>
          </cell>
          <cell r="V424">
            <v>10990</v>
          </cell>
          <cell r="W424">
            <v>11040</v>
          </cell>
          <cell r="X424">
            <v>11030</v>
          </cell>
          <cell r="Y424">
            <v>10750</v>
          </cell>
          <cell r="Z424">
            <v>10860</v>
          </cell>
          <cell r="AA424">
            <v>10960</v>
          </cell>
          <cell r="AB424">
            <v>11160</v>
          </cell>
          <cell r="AC424">
            <v>11410</v>
          </cell>
          <cell r="AD424">
            <v>11390</v>
          </cell>
          <cell r="AE424">
            <v>11000</v>
          </cell>
          <cell r="AF424">
            <v>10850</v>
          </cell>
          <cell r="AG424">
            <v>11010</v>
          </cell>
          <cell r="AH424">
            <v>10800</v>
          </cell>
        </row>
        <row r="425">
          <cell r="A425" t="str">
            <v>BBDC3</v>
          </cell>
          <cell r="B425" t="str">
            <v>BBDC3ARS</v>
          </cell>
          <cell r="C425">
            <v>0</v>
          </cell>
          <cell r="D425">
            <v>0</v>
          </cell>
          <cell r="E425">
            <v>4770</v>
          </cell>
          <cell r="F425">
            <v>4802.5</v>
          </cell>
          <cell r="G425">
            <v>4900</v>
          </cell>
          <cell r="H425">
            <v>4805</v>
          </cell>
          <cell r="I425">
            <v>4887.5</v>
          </cell>
          <cell r="J425">
            <v>4987.5</v>
          </cell>
          <cell r="K425">
            <v>4962.5</v>
          </cell>
          <cell r="L425">
            <v>5080</v>
          </cell>
          <cell r="M425">
            <v>5050</v>
          </cell>
          <cell r="N425">
            <v>5000</v>
          </cell>
          <cell r="O425">
            <v>5015</v>
          </cell>
          <cell r="P425">
            <v>5025</v>
          </cell>
          <cell r="Q425">
            <v>5015</v>
          </cell>
          <cell r="R425">
            <v>4920</v>
          </cell>
          <cell r="S425">
            <v>5055</v>
          </cell>
          <cell r="T425">
            <v>5080</v>
          </cell>
          <cell r="U425">
            <v>4970</v>
          </cell>
          <cell r="V425">
            <v>4835</v>
          </cell>
          <cell r="W425">
            <v>4945</v>
          </cell>
          <cell r="X425">
            <v>4855</v>
          </cell>
          <cell r="Y425">
            <v>4797.5</v>
          </cell>
          <cell r="Z425">
            <v>5090</v>
          </cell>
          <cell r="AA425">
            <v>5130</v>
          </cell>
          <cell r="AB425">
            <v>5210</v>
          </cell>
          <cell r="AC425">
            <v>6190</v>
          </cell>
          <cell r="AD425">
            <v>6110</v>
          </cell>
          <cell r="AE425">
            <v>6085</v>
          </cell>
          <cell r="AF425">
            <v>6050</v>
          </cell>
          <cell r="AG425">
            <v>6305</v>
          </cell>
          <cell r="AH425">
            <v>6100</v>
          </cell>
        </row>
        <row r="426">
          <cell r="A426" t="str">
            <v>VALE3</v>
          </cell>
          <cell r="B426" t="str">
            <v>VALE3ARS</v>
          </cell>
          <cell r="C426">
            <v>0</v>
          </cell>
          <cell r="D426">
            <v>0</v>
          </cell>
          <cell r="E426">
            <v>24090</v>
          </cell>
          <cell r="F426">
            <v>24970</v>
          </cell>
          <cell r="G426">
            <v>24390</v>
          </cell>
          <cell r="H426">
            <v>24210</v>
          </cell>
          <cell r="I426">
            <v>24930</v>
          </cell>
          <cell r="J426">
            <v>24770</v>
          </cell>
          <cell r="K426">
            <v>23990</v>
          </cell>
          <cell r="L426">
            <v>24430</v>
          </cell>
          <cell r="M426">
            <v>24320</v>
          </cell>
          <cell r="N426">
            <v>23520</v>
          </cell>
          <cell r="O426">
            <v>23220</v>
          </cell>
          <cell r="P426">
            <v>22680</v>
          </cell>
          <cell r="Q426">
            <v>23240</v>
          </cell>
          <cell r="R426">
            <v>22770</v>
          </cell>
          <cell r="S426">
            <v>22700</v>
          </cell>
          <cell r="T426">
            <v>22800</v>
          </cell>
          <cell r="U426">
            <v>22320</v>
          </cell>
          <cell r="V426">
            <v>22030</v>
          </cell>
          <cell r="W426">
            <v>22160</v>
          </cell>
          <cell r="X426">
            <v>22210</v>
          </cell>
          <cell r="Y426">
            <v>21700</v>
          </cell>
          <cell r="Z426">
            <v>21870</v>
          </cell>
          <cell r="AA426">
            <v>21740</v>
          </cell>
          <cell r="AB426">
            <v>22430</v>
          </cell>
          <cell r="AC426">
            <v>23200</v>
          </cell>
          <cell r="AD426">
            <v>23070</v>
          </cell>
          <cell r="AE426">
            <v>22150</v>
          </cell>
          <cell r="AF426">
            <v>21720</v>
          </cell>
          <cell r="AG426">
            <v>21850</v>
          </cell>
          <cell r="AH426">
            <v>21610</v>
          </cell>
        </row>
        <row r="427">
          <cell r="A427" t="str">
            <v>ITUB3</v>
          </cell>
          <cell r="B427" t="str">
            <v>ITUB3ARS</v>
          </cell>
          <cell r="C427">
            <v>0</v>
          </cell>
          <cell r="D427">
            <v>0</v>
          </cell>
          <cell r="E427">
            <v>12940</v>
          </cell>
          <cell r="F427">
            <v>14030</v>
          </cell>
          <cell r="G427">
            <v>14200</v>
          </cell>
          <cell r="H427">
            <v>14120</v>
          </cell>
          <cell r="I427">
            <v>15050</v>
          </cell>
          <cell r="J427">
            <v>14560</v>
          </cell>
          <cell r="K427">
            <v>14290</v>
          </cell>
          <cell r="L427">
            <v>14520</v>
          </cell>
          <cell r="M427">
            <v>14540</v>
          </cell>
          <cell r="N427">
            <v>14350</v>
          </cell>
          <cell r="O427">
            <v>14580</v>
          </cell>
          <cell r="P427">
            <v>14480</v>
          </cell>
          <cell r="Q427">
            <v>14630</v>
          </cell>
          <cell r="R427">
            <v>14000</v>
          </cell>
          <cell r="S427">
            <v>14840</v>
          </cell>
          <cell r="T427">
            <v>14910</v>
          </cell>
          <cell r="U427">
            <v>14590</v>
          </cell>
          <cell r="V427">
            <v>14180</v>
          </cell>
          <cell r="W427">
            <v>14340</v>
          </cell>
          <cell r="X427">
            <v>14350</v>
          </cell>
          <cell r="Y427">
            <v>14340</v>
          </cell>
          <cell r="Z427">
            <v>16200</v>
          </cell>
          <cell r="AA427">
            <v>15390</v>
          </cell>
          <cell r="AB427">
            <v>16370</v>
          </cell>
          <cell r="AC427">
            <v>17420</v>
          </cell>
          <cell r="AD427">
            <v>17860</v>
          </cell>
          <cell r="AE427">
            <v>16480</v>
          </cell>
          <cell r="AF427">
            <v>17090</v>
          </cell>
          <cell r="AG427">
            <v>17420</v>
          </cell>
          <cell r="AH427">
            <v>17400</v>
          </cell>
        </row>
        <row r="428">
          <cell r="A428" t="str">
            <v>PETR3</v>
          </cell>
          <cell r="B428" t="str">
            <v>PETR3ARS</v>
          </cell>
          <cell r="C428">
            <v>0</v>
          </cell>
          <cell r="D428">
            <v>0</v>
          </cell>
          <cell r="E428">
            <v>16210</v>
          </cell>
          <cell r="F428">
            <v>16580</v>
          </cell>
          <cell r="G428">
            <v>16360</v>
          </cell>
          <cell r="H428">
            <v>15950</v>
          </cell>
          <cell r="I428">
            <v>15700</v>
          </cell>
          <cell r="J428">
            <v>16530</v>
          </cell>
          <cell r="K428">
            <v>16700</v>
          </cell>
          <cell r="L428">
            <v>17070</v>
          </cell>
          <cell r="M428">
            <v>16900</v>
          </cell>
          <cell r="N428">
            <v>16880</v>
          </cell>
          <cell r="O428">
            <v>17310</v>
          </cell>
          <cell r="P428">
            <v>16950</v>
          </cell>
          <cell r="Q428">
            <v>17350</v>
          </cell>
          <cell r="R428">
            <v>16710</v>
          </cell>
          <cell r="S428">
            <v>16590</v>
          </cell>
          <cell r="T428">
            <v>16520</v>
          </cell>
          <cell r="U428">
            <v>17000</v>
          </cell>
          <cell r="V428">
            <v>17030</v>
          </cell>
          <cell r="W428">
            <v>16540</v>
          </cell>
          <cell r="X428">
            <v>16790</v>
          </cell>
          <cell r="Y428">
            <v>16680</v>
          </cell>
          <cell r="Z428">
            <v>16950</v>
          </cell>
          <cell r="AA428">
            <v>17150</v>
          </cell>
          <cell r="AB428">
            <v>17520</v>
          </cell>
          <cell r="AC428">
            <v>19450</v>
          </cell>
          <cell r="AD428">
            <v>19330</v>
          </cell>
          <cell r="AE428">
            <v>19390</v>
          </cell>
          <cell r="AF428">
            <v>19990</v>
          </cell>
          <cell r="AG428">
            <v>20700</v>
          </cell>
          <cell r="AH428">
            <v>20480</v>
          </cell>
        </row>
        <row r="429">
          <cell r="A429" t="str">
            <v>SUZB3</v>
          </cell>
          <cell r="B429" t="str">
            <v>SUZB3ARS</v>
          </cell>
          <cell r="C429">
            <v>0</v>
          </cell>
          <cell r="D429">
            <v>0</v>
          </cell>
          <cell r="E429">
            <v>14240</v>
          </cell>
          <cell r="F429">
            <v>14440</v>
          </cell>
          <cell r="G429">
            <v>14500</v>
          </cell>
          <cell r="H429">
            <v>14500</v>
          </cell>
          <cell r="I429">
            <v>14500</v>
          </cell>
          <cell r="J429">
            <v>14550</v>
          </cell>
          <cell r="K429">
            <v>14550</v>
          </cell>
          <cell r="L429">
            <v>14880</v>
          </cell>
          <cell r="M429">
            <v>14880</v>
          </cell>
          <cell r="N429">
            <v>14880</v>
          </cell>
          <cell r="O429">
            <v>14880</v>
          </cell>
          <cell r="P429">
            <v>14600</v>
          </cell>
          <cell r="Q429">
            <v>14800</v>
          </cell>
          <cell r="R429">
            <v>14920</v>
          </cell>
          <cell r="S429">
            <v>14780</v>
          </cell>
          <cell r="T429">
            <v>15170</v>
          </cell>
          <cell r="U429">
            <v>14750</v>
          </cell>
          <cell r="V429">
            <v>14750</v>
          </cell>
          <cell r="W429">
            <v>14750</v>
          </cell>
          <cell r="X429">
            <v>13890</v>
          </cell>
          <cell r="Y429">
            <v>13810</v>
          </cell>
          <cell r="Z429">
            <v>13930</v>
          </cell>
          <cell r="AA429">
            <v>13930</v>
          </cell>
          <cell r="AB429">
            <v>13820</v>
          </cell>
          <cell r="AC429">
            <v>13450</v>
          </cell>
          <cell r="AD429">
            <v>13500</v>
          </cell>
          <cell r="AE429">
            <v>13500</v>
          </cell>
          <cell r="AF429">
            <v>13500</v>
          </cell>
          <cell r="AG429">
            <v>13660</v>
          </cell>
          <cell r="AH429">
            <v>13950</v>
          </cell>
        </row>
        <row r="430">
          <cell r="A430" t="str">
            <v>SBSP3</v>
          </cell>
          <cell r="B430" t="str">
            <v>SBSP3ARS</v>
          </cell>
          <cell r="C430">
            <v>0</v>
          </cell>
          <cell r="D430">
            <v>0</v>
          </cell>
          <cell r="M430">
            <v>8475</v>
          </cell>
          <cell r="N430">
            <v>8390</v>
          </cell>
          <cell r="O430">
            <v>8500</v>
          </cell>
          <cell r="P430">
            <v>8480</v>
          </cell>
          <cell r="Q430">
            <v>8470</v>
          </cell>
          <cell r="R430">
            <v>8550</v>
          </cell>
          <cell r="S430">
            <v>8650</v>
          </cell>
          <cell r="T430">
            <v>8690</v>
          </cell>
          <cell r="U430">
            <v>8485</v>
          </cell>
          <cell r="V430">
            <v>8355</v>
          </cell>
          <cell r="W430">
            <v>8440</v>
          </cell>
          <cell r="X430">
            <v>8440</v>
          </cell>
          <cell r="Y430">
            <v>8320</v>
          </cell>
          <cell r="Z430">
            <v>8630</v>
          </cell>
          <cell r="AA430">
            <v>8445</v>
          </cell>
          <cell r="AB430">
            <v>8790</v>
          </cell>
          <cell r="AC430">
            <v>10100</v>
          </cell>
          <cell r="AD430">
            <v>10240</v>
          </cell>
          <cell r="AE430">
            <v>10390</v>
          </cell>
          <cell r="AF430">
            <v>10390</v>
          </cell>
          <cell r="AG430">
            <v>10970</v>
          </cell>
          <cell r="AH430">
            <v>10520</v>
          </cell>
        </row>
        <row r="431">
          <cell r="A431" t="str">
            <v>ABEV3</v>
          </cell>
          <cell r="B431" t="str">
            <v>ABEV3ARS</v>
          </cell>
          <cell r="C431">
            <v>0</v>
          </cell>
          <cell r="D431">
            <v>0</v>
          </cell>
          <cell r="M431">
            <v>4927.5</v>
          </cell>
          <cell r="N431">
            <v>4877.5</v>
          </cell>
          <cell r="O431">
            <v>4847.5</v>
          </cell>
          <cell r="P431">
            <v>4892.5</v>
          </cell>
          <cell r="Q431">
            <v>4882.5</v>
          </cell>
          <cell r="R431">
            <v>4832.5</v>
          </cell>
          <cell r="S431">
            <v>4840</v>
          </cell>
          <cell r="T431">
            <v>4892.5</v>
          </cell>
          <cell r="U431">
            <v>4827.5</v>
          </cell>
          <cell r="V431">
            <v>4727.5</v>
          </cell>
          <cell r="W431">
            <v>4780</v>
          </cell>
          <cell r="X431">
            <v>4767.5</v>
          </cell>
          <cell r="Y431">
            <v>4740</v>
          </cell>
          <cell r="Z431">
            <v>4755</v>
          </cell>
          <cell r="AA431">
            <v>4702.5</v>
          </cell>
          <cell r="AB431">
            <v>4810</v>
          </cell>
          <cell r="AC431">
            <v>5270</v>
          </cell>
          <cell r="AD431">
            <v>5300</v>
          </cell>
          <cell r="AE431">
            <v>5130</v>
          </cell>
          <cell r="AF431">
            <v>5115</v>
          </cell>
          <cell r="AG431">
            <v>5105</v>
          </cell>
          <cell r="AH431">
            <v>5175</v>
          </cell>
        </row>
        <row r="432">
          <cell r="A432" t="str">
            <v>MSFT</v>
          </cell>
          <cell r="B432" t="str">
            <v>MSFTARS</v>
          </cell>
          <cell r="C432">
            <v>0</v>
          </cell>
          <cell r="D432">
            <v>0</v>
          </cell>
          <cell r="E432">
            <v>26540</v>
          </cell>
          <cell r="F432">
            <v>26360</v>
          </cell>
          <cell r="G432">
            <v>26980</v>
          </cell>
          <cell r="H432">
            <v>26400</v>
          </cell>
          <cell r="I432">
            <v>26220</v>
          </cell>
          <cell r="J432">
            <v>26160</v>
          </cell>
          <cell r="K432">
            <v>26080</v>
          </cell>
          <cell r="L432">
            <v>26200</v>
          </cell>
          <cell r="M432">
            <v>26440</v>
          </cell>
          <cell r="N432">
            <v>26940</v>
          </cell>
          <cell r="O432">
            <v>26400</v>
          </cell>
          <cell r="P432">
            <v>26080</v>
          </cell>
          <cell r="Q432">
            <v>26420</v>
          </cell>
          <cell r="R432">
            <v>26320</v>
          </cell>
          <cell r="S432">
            <v>26640</v>
          </cell>
          <cell r="T432">
            <v>26560</v>
          </cell>
          <cell r="U432">
            <v>26760</v>
          </cell>
          <cell r="V432">
            <v>26800</v>
          </cell>
          <cell r="W432">
            <v>27840</v>
          </cell>
          <cell r="X432">
            <v>27500</v>
          </cell>
          <cell r="Y432">
            <v>27420</v>
          </cell>
          <cell r="Z432">
            <v>27680</v>
          </cell>
          <cell r="AA432">
            <v>27820</v>
          </cell>
          <cell r="AB432">
            <v>27960</v>
          </cell>
          <cell r="AC432">
            <v>28120</v>
          </cell>
          <cell r="AD432">
            <v>28460</v>
          </cell>
          <cell r="AE432">
            <v>28440</v>
          </cell>
          <cell r="AF432">
            <v>28100</v>
          </cell>
          <cell r="AG432">
            <v>28780</v>
          </cell>
          <cell r="AH432">
            <v>29200</v>
          </cell>
        </row>
        <row r="433">
          <cell r="A433" t="str">
            <v>GOOGL</v>
          </cell>
          <cell r="B433" t="str">
            <v>GOOGLARS</v>
          </cell>
          <cell r="C433">
            <v>0</v>
          </cell>
          <cell r="D433">
            <v>0</v>
          </cell>
          <cell r="R433">
            <v>9655</v>
          </cell>
          <cell r="S433">
            <v>9805</v>
          </cell>
          <cell r="T433">
            <v>9705</v>
          </cell>
          <cell r="U433">
            <v>9370</v>
          </cell>
          <cell r="V433">
            <v>9555</v>
          </cell>
          <cell r="W433">
            <v>9615</v>
          </cell>
          <cell r="X433">
            <v>9550</v>
          </cell>
          <cell r="Y433">
            <v>9525</v>
          </cell>
          <cell r="Z433">
            <v>9655</v>
          </cell>
          <cell r="AA433">
            <v>9495</v>
          </cell>
          <cell r="AB433">
            <v>9635</v>
          </cell>
          <cell r="AC433">
            <v>9610</v>
          </cell>
          <cell r="AD433">
            <v>9675</v>
          </cell>
          <cell r="AE433">
            <v>9760</v>
          </cell>
          <cell r="AF433">
            <v>9700</v>
          </cell>
          <cell r="AG433">
            <v>9810</v>
          </cell>
          <cell r="AH433">
            <v>9870</v>
          </cell>
        </row>
        <row r="434">
          <cell r="A434" t="str">
            <v>META</v>
          </cell>
          <cell r="B434" t="str">
            <v>METAARS</v>
          </cell>
          <cell r="C434">
            <v>0</v>
          </cell>
          <cell r="D434">
            <v>0</v>
          </cell>
          <cell r="E434">
            <v>38460</v>
          </cell>
          <cell r="F434">
            <v>39380</v>
          </cell>
          <cell r="G434">
            <v>40420</v>
          </cell>
          <cell r="H434">
            <v>40720</v>
          </cell>
          <cell r="I434">
            <v>40900</v>
          </cell>
          <cell r="J434">
            <v>40820</v>
          </cell>
          <cell r="K434">
            <v>43460</v>
          </cell>
          <cell r="L434">
            <v>42860</v>
          </cell>
          <cell r="M434">
            <v>43120</v>
          </cell>
          <cell r="N434">
            <v>44320</v>
          </cell>
          <cell r="O434">
            <v>44540</v>
          </cell>
          <cell r="P434">
            <v>44940</v>
          </cell>
          <cell r="Q434">
            <v>45240</v>
          </cell>
          <cell r="R434">
            <v>44480</v>
          </cell>
          <cell r="S434">
            <v>49600</v>
          </cell>
          <cell r="T434">
            <v>49180</v>
          </cell>
          <cell r="U434">
            <v>49820</v>
          </cell>
          <cell r="V434">
            <v>52375</v>
          </cell>
          <cell r="W434">
            <v>50700</v>
          </cell>
          <cell r="X434">
            <v>48320</v>
          </cell>
          <cell r="Y434">
            <v>49620</v>
          </cell>
          <cell r="Z434">
            <v>49120</v>
          </cell>
          <cell r="AA434">
            <v>49100</v>
          </cell>
          <cell r="AB434">
            <v>49220</v>
          </cell>
          <cell r="AC434">
            <v>49660</v>
          </cell>
          <cell r="AD434">
            <v>49700</v>
          </cell>
          <cell r="AE434">
            <v>48440</v>
          </cell>
          <cell r="AF434">
            <v>48400</v>
          </cell>
          <cell r="AG434">
            <v>48400</v>
          </cell>
          <cell r="AH434">
            <v>51250</v>
          </cell>
        </row>
        <row r="435">
          <cell r="A435" t="str">
            <v>ITUB</v>
          </cell>
          <cell r="B435" t="str">
            <v>ITUBARS</v>
          </cell>
          <cell r="C435">
            <v>0</v>
          </cell>
          <cell r="D435">
            <v>0</v>
          </cell>
          <cell r="E435">
            <v>12240</v>
          </cell>
          <cell r="F435">
            <v>12860</v>
          </cell>
          <cell r="G435">
            <v>12990</v>
          </cell>
          <cell r="H435">
            <v>12930</v>
          </cell>
          <cell r="I435">
            <v>13080</v>
          </cell>
          <cell r="J435">
            <v>13230</v>
          </cell>
          <cell r="K435">
            <v>12880</v>
          </cell>
          <cell r="L435">
            <v>13260</v>
          </cell>
          <cell r="M435">
            <v>13270</v>
          </cell>
          <cell r="N435">
            <v>13170</v>
          </cell>
          <cell r="O435">
            <v>13200</v>
          </cell>
          <cell r="P435">
            <v>13160</v>
          </cell>
          <cell r="Q435">
            <v>13270</v>
          </cell>
          <cell r="R435">
            <v>13100</v>
          </cell>
          <cell r="S435">
            <v>13440</v>
          </cell>
          <cell r="T435">
            <v>13470</v>
          </cell>
          <cell r="U435">
            <v>13150</v>
          </cell>
          <cell r="V435">
            <v>13040</v>
          </cell>
          <cell r="W435">
            <v>13120</v>
          </cell>
          <cell r="X435">
            <v>12950</v>
          </cell>
          <cell r="Y435">
            <v>13080</v>
          </cell>
          <cell r="Z435">
            <v>13850</v>
          </cell>
          <cell r="AA435">
            <v>13660</v>
          </cell>
          <cell r="AB435">
            <v>13930</v>
          </cell>
          <cell r="AC435">
            <v>15940</v>
          </cell>
          <cell r="AD435">
            <v>16390</v>
          </cell>
          <cell r="AE435">
            <v>15630</v>
          </cell>
          <cell r="AF435">
            <v>15900</v>
          </cell>
          <cell r="AG435">
            <v>16460</v>
          </cell>
          <cell r="AH435">
            <v>15980</v>
          </cell>
        </row>
        <row r="436">
          <cell r="A436" t="str">
            <v>SMH</v>
          </cell>
          <cell r="B436" t="str">
            <v>SMHARS</v>
          </cell>
          <cell r="C436">
            <v>0</v>
          </cell>
          <cell r="D436">
            <v>0</v>
          </cell>
          <cell r="AB436">
            <v>20490</v>
          </cell>
          <cell r="AC436">
            <v>20390</v>
          </cell>
          <cell r="AD436">
            <v>20380</v>
          </cell>
          <cell r="AE436">
            <v>20160</v>
          </cell>
          <cell r="AF436">
            <v>19560</v>
          </cell>
          <cell r="AG436">
            <v>19480</v>
          </cell>
          <cell r="AH436">
            <v>18930</v>
          </cell>
        </row>
        <row r="437">
          <cell r="A437" t="str">
            <v>PBR</v>
          </cell>
          <cell r="B437" t="str">
            <v>PBRARS</v>
          </cell>
          <cell r="C437">
            <v>0</v>
          </cell>
          <cell r="D437">
            <v>0</v>
          </cell>
          <cell r="E437">
            <v>32320</v>
          </cell>
          <cell r="F437">
            <v>33200</v>
          </cell>
          <cell r="G437">
            <v>32680</v>
          </cell>
          <cell r="H437">
            <v>31940</v>
          </cell>
          <cell r="I437">
            <v>32420</v>
          </cell>
          <cell r="J437">
            <v>33180</v>
          </cell>
          <cell r="K437">
            <v>33380</v>
          </cell>
          <cell r="L437">
            <v>34180</v>
          </cell>
          <cell r="M437">
            <v>33880</v>
          </cell>
          <cell r="N437">
            <v>33760</v>
          </cell>
          <cell r="O437">
            <v>34680</v>
          </cell>
          <cell r="P437">
            <v>33440</v>
          </cell>
          <cell r="Q437">
            <v>33360</v>
          </cell>
          <cell r="R437">
            <v>33200</v>
          </cell>
          <cell r="S437">
            <v>32920</v>
          </cell>
          <cell r="T437">
            <v>33180</v>
          </cell>
          <cell r="U437">
            <v>33960</v>
          </cell>
          <cell r="V437">
            <v>33680</v>
          </cell>
          <cell r="W437">
            <v>33000</v>
          </cell>
          <cell r="X437">
            <v>33580</v>
          </cell>
          <cell r="Y437">
            <v>33280</v>
          </cell>
          <cell r="Z437">
            <v>33740</v>
          </cell>
          <cell r="AA437">
            <v>34160</v>
          </cell>
          <cell r="AB437">
            <v>35140</v>
          </cell>
          <cell r="AC437">
            <v>38780</v>
          </cell>
          <cell r="AD437">
            <v>38300</v>
          </cell>
          <cell r="AE437">
            <v>38680</v>
          </cell>
          <cell r="AF437">
            <v>39860</v>
          </cell>
          <cell r="AG437">
            <v>40800</v>
          </cell>
          <cell r="AH437">
            <v>40980</v>
          </cell>
        </row>
        <row r="438">
          <cell r="A438" t="str">
            <v>VIST</v>
          </cell>
          <cell r="B438" t="str">
            <v>VISTARS</v>
          </cell>
          <cell r="C438">
            <v>0</v>
          </cell>
          <cell r="D438">
            <v>0</v>
          </cell>
          <cell r="E438">
            <v>39680</v>
          </cell>
          <cell r="F438">
            <v>41040</v>
          </cell>
          <cell r="G438">
            <v>39560</v>
          </cell>
          <cell r="H438">
            <v>38880</v>
          </cell>
          <cell r="I438">
            <v>39020</v>
          </cell>
          <cell r="J438">
            <v>40300</v>
          </cell>
          <cell r="K438">
            <v>39840</v>
          </cell>
          <cell r="L438">
            <v>42160</v>
          </cell>
          <cell r="M438">
            <v>40580</v>
          </cell>
          <cell r="N438">
            <v>40620</v>
          </cell>
          <cell r="O438">
            <v>41540</v>
          </cell>
          <cell r="P438">
            <v>39580</v>
          </cell>
          <cell r="Q438">
            <v>38980</v>
          </cell>
          <cell r="R438">
            <v>38540</v>
          </cell>
          <cell r="S438">
            <v>37420</v>
          </cell>
          <cell r="T438">
            <v>37160</v>
          </cell>
          <cell r="U438">
            <v>37600</v>
          </cell>
          <cell r="V438">
            <v>36840</v>
          </cell>
          <cell r="W438">
            <v>36420</v>
          </cell>
          <cell r="X438">
            <v>36120</v>
          </cell>
          <cell r="Y438">
            <v>35980</v>
          </cell>
          <cell r="Z438">
            <v>35220</v>
          </cell>
          <cell r="AA438">
            <v>35120</v>
          </cell>
          <cell r="AB438">
            <v>34820</v>
          </cell>
          <cell r="AC438">
            <v>35640</v>
          </cell>
          <cell r="AD438">
            <v>35520</v>
          </cell>
          <cell r="AE438">
            <v>35280</v>
          </cell>
          <cell r="AF438">
            <v>36220</v>
          </cell>
          <cell r="AG438">
            <v>35660</v>
          </cell>
          <cell r="AH438">
            <v>37120</v>
          </cell>
        </row>
        <row r="439">
          <cell r="A439"/>
          <cell r="B439"/>
          <cell r="C439"/>
          <cell r="D439"/>
        </row>
        <row r="440">
          <cell r="A440" t="str">
            <v>Acciones y cedears en USD</v>
          </cell>
          <cell r="B440"/>
          <cell r="C440"/>
          <cell r="D440"/>
        </row>
        <row r="441">
          <cell r="A441"/>
          <cell r="B441"/>
          <cell r="C441"/>
          <cell r="D441"/>
        </row>
        <row r="442">
          <cell r="A442" t="str">
            <v>YPFDD</v>
          </cell>
          <cell r="B442" t="str">
            <v>YPFDDARS</v>
          </cell>
          <cell r="C442">
            <v>0</v>
          </cell>
          <cell r="D442">
            <v>0</v>
          </cell>
          <cell r="E442">
            <v>5.46</v>
          </cell>
          <cell r="F442">
            <v>5.6</v>
          </cell>
          <cell r="G442">
            <v>5.46</v>
          </cell>
          <cell r="H442">
            <v>5.49</v>
          </cell>
          <cell r="I442">
            <v>5.5</v>
          </cell>
          <cell r="J442">
            <v>5.55</v>
          </cell>
          <cell r="K442">
            <v>5.7</v>
          </cell>
          <cell r="L442">
            <v>5.88</v>
          </cell>
          <cell r="M442">
            <v>5.76</v>
          </cell>
          <cell r="N442">
            <v>5.87</v>
          </cell>
          <cell r="O442">
            <v>5.97</v>
          </cell>
          <cell r="P442">
            <v>5.7</v>
          </cell>
          <cell r="Q442">
            <v>5.69</v>
          </cell>
          <cell r="R442">
            <v>5.72</v>
          </cell>
          <cell r="S442">
            <v>5.57</v>
          </cell>
          <cell r="T442">
            <v>5.56</v>
          </cell>
          <cell r="U442">
            <v>5.64</v>
          </cell>
          <cell r="V442">
            <v>5.67</v>
          </cell>
          <cell r="W442">
            <v>5.46</v>
          </cell>
          <cell r="X442">
            <v>5.35</v>
          </cell>
          <cell r="Y442">
            <v>5.25</v>
          </cell>
          <cell r="Z442">
            <v>5.25</v>
          </cell>
          <cell r="AA442">
            <v>5.15</v>
          </cell>
          <cell r="AB442">
            <v>5.21</v>
          </cell>
          <cell r="AC442">
            <v>5.34</v>
          </cell>
          <cell r="AD442">
            <v>5.34</v>
          </cell>
          <cell r="AE442">
            <v>5.21</v>
          </cell>
          <cell r="AF442">
            <v>5.25</v>
          </cell>
          <cell r="AG442">
            <v>5.23</v>
          </cell>
          <cell r="AH442">
            <v>5.43</v>
          </cell>
        </row>
        <row r="443">
          <cell r="A443" t="str">
            <v>VALOD</v>
          </cell>
          <cell r="B443" t="str">
            <v>VALODARS</v>
          </cell>
          <cell r="C443">
            <v>0</v>
          </cell>
          <cell r="D443">
            <v>0</v>
          </cell>
          <cell r="E443">
            <v>0.35799999999999998</v>
          </cell>
          <cell r="F443">
            <v>0.36299999999999999</v>
          </cell>
          <cell r="G443">
            <v>0.36299999999999999</v>
          </cell>
          <cell r="H443">
            <v>0.35899999999999999</v>
          </cell>
          <cell r="I443">
            <v>0.35899999999999999</v>
          </cell>
          <cell r="J443">
            <v>0.35399999999999998</v>
          </cell>
          <cell r="K443">
            <v>0.35699999999999998</v>
          </cell>
          <cell r="L443">
            <v>0.35199999999999998</v>
          </cell>
          <cell r="M443">
            <v>0.34399999999999997</v>
          </cell>
          <cell r="N443">
            <v>0.34200000000000003</v>
          </cell>
          <cell r="O443">
            <v>0.34599999999999997</v>
          </cell>
          <cell r="P443">
            <v>0.34399999999999997</v>
          </cell>
          <cell r="Q443">
            <v>0.35899999999999999</v>
          </cell>
          <cell r="R443">
            <v>0.35499999999999998</v>
          </cell>
          <cell r="S443">
            <v>0.35799999999999998</v>
          </cell>
          <cell r="T443">
            <v>0.35699999999999998</v>
          </cell>
          <cell r="U443">
            <v>0.35399999999999998</v>
          </cell>
          <cell r="V443">
            <v>0.35099999999999998</v>
          </cell>
          <cell r="W443">
            <v>0.35499999999999998</v>
          </cell>
          <cell r="X443">
            <v>0.34200000000000003</v>
          </cell>
          <cell r="Y443">
            <v>0.34200000000000003</v>
          </cell>
          <cell r="Z443">
            <v>0.34499999999999997</v>
          </cell>
          <cell r="AA443">
            <v>0.34599999999999997</v>
          </cell>
          <cell r="AB443">
            <v>0.34599999999999997</v>
          </cell>
          <cell r="AC443">
            <v>0.35399999999999998</v>
          </cell>
          <cell r="AD443">
            <v>0.36699999999999999</v>
          </cell>
          <cell r="AE443">
            <v>0.35399999999999998</v>
          </cell>
          <cell r="AF443">
            <v>0.34899999999999998</v>
          </cell>
          <cell r="AG443">
            <v>0.35199999999999998</v>
          </cell>
          <cell r="AH443">
            <v>0.34899999999999998</v>
          </cell>
        </row>
        <row r="444">
          <cell r="A444" t="str">
            <v>LOMAD</v>
          </cell>
          <cell r="B444" t="str">
            <v>LOMADARS</v>
          </cell>
          <cell r="C444">
            <v>0</v>
          </cell>
          <cell r="D444">
            <v>0</v>
          </cell>
          <cell r="E444">
            <v>2.105</v>
          </cell>
          <cell r="F444">
            <v>2.16</v>
          </cell>
          <cell r="G444">
            <v>2.105</v>
          </cell>
          <cell r="H444">
            <v>2.145</v>
          </cell>
          <cell r="I444">
            <v>2.17</v>
          </cell>
          <cell r="J444">
            <v>2.1150000000000002</v>
          </cell>
          <cell r="K444">
            <v>2.11</v>
          </cell>
          <cell r="L444">
            <v>2.09</v>
          </cell>
          <cell r="M444">
            <v>2.0299999999999998</v>
          </cell>
          <cell r="N444">
            <v>1.9950000000000001</v>
          </cell>
          <cell r="O444">
            <v>2</v>
          </cell>
          <cell r="P444">
            <v>1.9850000000000001</v>
          </cell>
          <cell r="Q444">
            <v>1.9950000000000001</v>
          </cell>
          <cell r="R444">
            <v>1.98</v>
          </cell>
          <cell r="S444">
            <v>1.9950000000000001</v>
          </cell>
          <cell r="T444">
            <v>1.9950000000000001</v>
          </cell>
          <cell r="U444">
            <v>1.9750000000000001</v>
          </cell>
          <cell r="V444">
            <v>1.9350000000000001</v>
          </cell>
          <cell r="W444">
            <v>1.95</v>
          </cell>
          <cell r="X444">
            <v>1.93</v>
          </cell>
          <cell r="Y444">
            <v>1.885</v>
          </cell>
          <cell r="Z444">
            <v>1.915</v>
          </cell>
          <cell r="AA444">
            <v>1.895</v>
          </cell>
          <cell r="AB444">
            <v>1.915</v>
          </cell>
          <cell r="AC444">
            <v>2.0299999999999998</v>
          </cell>
          <cell r="AD444">
            <v>2.0099999999999998</v>
          </cell>
          <cell r="AE444">
            <v>1.99</v>
          </cell>
          <cell r="AF444">
            <v>2.08</v>
          </cell>
          <cell r="AG444">
            <v>2.1150000000000002</v>
          </cell>
          <cell r="AH444">
            <v>2.085</v>
          </cell>
        </row>
        <row r="445">
          <cell r="A445" t="str">
            <v>PAMPD</v>
          </cell>
          <cell r="B445" t="str">
            <v>PAMPARS</v>
          </cell>
          <cell r="C445">
            <v>0</v>
          </cell>
          <cell r="D445">
            <v>0</v>
          </cell>
          <cell r="E445">
            <v>3.51</v>
          </cell>
          <cell r="F445">
            <v>3.58</v>
          </cell>
          <cell r="G445">
            <v>3.5350000000000001</v>
          </cell>
          <cell r="H445">
            <v>3.5350000000000001</v>
          </cell>
          <cell r="I445">
            <v>3.5</v>
          </cell>
          <cell r="J445">
            <v>3.585</v>
          </cell>
          <cell r="K445">
            <v>3.5750000000000002</v>
          </cell>
          <cell r="L445">
            <v>3.6749999999999998</v>
          </cell>
          <cell r="M445">
            <v>3.59</v>
          </cell>
          <cell r="N445">
            <v>3.61</v>
          </cell>
          <cell r="O445">
            <v>3.62</v>
          </cell>
          <cell r="P445">
            <v>3.5</v>
          </cell>
          <cell r="Q445">
            <v>3.49</v>
          </cell>
          <cell r="R445">
            <v>3.4</v>
          </cell>
          <cell r="S445">
            <v>3.3849999999999998</v>
          </cell>
          <cell r="T445">
            <v>3.3650000000000002</v>
          </cell>
          <cell r="U445">
            <v>3.36</v>
          </cell>
          <cell r="V445">
            <v>3.3050000000000002</v>
          </cell>
          <cell r="W445">
            <v>3.27</v>
          </cell>
          <cell r="X445">
            <v>3.2</v>
          </cell>
          <cell r="Y445">
            <v>3.2149999999999999</v>
          </cell>
          <cell r="Z445">
            <v>3.29</v>
          </cell>
          <cell r="AA445">
            <v>3.1949999999999998</v>
          </cell>
          <cell r="AB445">
            <v>3.2149999999999999</v>
          </cell>
          <cell r="AC445">
            <v>3.335</v>
          </cell>
          <cell r="AD445">
            <v>3.42</v>
          </cell>
          <cell r="AE445">
            <v>3.3450000000000002</v>
          </cell>
          <cell r="AF445">
            <v>3.38</v>
          </cell>
          <cell r="AG445">
            <v>3.34</v>
          </cell>
          <cell r="AH445">
            <v>3.4</v>
          </cell>
        </row>
        <row r="446">
          <cell r="A446" t="str">
            <v>EDND</v>
          </cell>
          <cell r="B446" t="str">
            <v>EDNDARS</v>
          </cell>
          <cell r="C446">
            <v>0</v>
          </cell>
          <cell r="D446">
            <v>0</v>
          </cell>
          <cell r="E446">
            <v>1.2350000000000001</v>
          </cell>
          <cell r="F446">
            <v>1.27</v>
          </cell>
          <cell r="G446">
            <v>1.2749999999999999</v>
          </cell>
          <cell r="H446">
            <v>1.2749999999999999</v>
          </cell>
          <cell r="I446">
            <v>1.2649999999999999</v>
          </cell>
          <cell r="J446">
            <v>1.28</v>
          </cell>
          <cell r="K446">
            <v>1.29</v>
          </cell>
          <cell r="L446">
            <v>1.2949999999999999</v>
          </cell>
          <cell r="M446">
            <v>1.2749999999999999</v>
          </cell>
          <cell r="N446">
            <v>1.2549999999999999</v>
          </cell>
          <cell r="O446">
            <v>1.24</v>
          </cell>
          <cell r="P446">
            <v>1.2350000000000001</v>
          </cell>
          <cell r="Q446">
            <v>1.25</v>
          </cell>
          <cell r="R446">
            <v>1.23</v>
          </cell>
          <cell r="S446">
            <v>1.22</v>
          </cell>
          <cell r="T446">
            <v>1.2150000000000001</v>
          </cell>
          <cell r="U446">
            <v>1.1950000000000001</v>
          </cell>
          <cell r="V446">
            <v>1.18</v>
          </cell>
          <cell r="W446">
            <v>1.1100000000000001</v>
          </cell>
          <cell r="X446">
            <v>1.06</v>
          </cell>
          <cell r="Y446">
            <v>1.075</v>
          </cell>
          <cell r="Z446">
            <v>1.0900000000000001</v>
          </cell>
          <cell r="AA446">
            <v>1.06</v>
          </cell>
          <cell r="AB446">
            <v>1.05</v>
          </cell>
          <cell r="AC446">
            <v>1.08</v>
          </cell>
          <cell r="AD446">
            <v>1.08</v>
          </cell>
          <cell r="AE446">
            <v>1.07</v>
          </cell>
          <cell r="AF446">
            <v>1.0549999999999999</v>
          </cell>
          <cell r="AG446">
            <v>1.06</v>
          </cell>
          <cell r="AH446">
            <v>1.085</v>
          </cell>
        </row>
        <row r="447">
          <cell r="A447" t="str">
            <v>BBARD</v>
          </cell>
          <cell r="B447" t="str">
            <v>BBARDARS</v>
          </cell>
          <cell r="C447">
            <v>0</v>
          </cell>
          <cell r="D447">
            <v>0</v>
          </cell>
          <cell r="E447">
            <v>5.3</v>
          </cell>
          <cell r="F447">
            <v>5.28</v>
          </cell>
          <cell r="G447">
            <v>5.21</v>
          </cell>
          <cell r="H447">
            <v>5.16</v>
          </cell>
          <cell r="I447">
            <v>5.07</v>
          </cell>
          <cell r="J447">
            <v>5.24</v>
          </cell>
          <cell r="K447">
            <v>5.25</v>
          </cell>
          <cell r="L447">
            <v>5.32</v>
          </cell>
          <cell r="M447">
            <v>5.15</v>
          </cell>
          <cell r="N447">
            <v>5.12</v>
          </cell>
          <cell r="O447">
            <v>5.0599999999999996</v>
          </cell>
          <cell r="P447">
            <v>5.03</v>
          </cell>
          <cell r="Q447">
            <v>5.07</v>
          </cell>
          <cell r="R447">
            <v>4.96</v>
          </cell>
          <cell r="S447">
            <v>5</v>
          </cell>
          <cell r="T447">
            <v>4.9749999999999996</v>
          </cell>
          <cell r="U447">
            <v>4.8</v>
          </cell>
          <cell r="V447">
            <v>4.7699999999999996</v>
          </cell>
          <cell r="W447">
            <v>4.5999999999999996</v>
          </cell>
          <cell r="X447">
            <v>4.5250000000000004</v>
          </cell>
          <cell r="Y447">
            <v>4.38</v>
          </cell>
          <cell r="Z447">
            <v>4.53</v>
          </cell>
          <cell r="AA447">
            <v>4.3550000000000004</v>
          </cell>
          <cell r="AB447">
            <v>4.3600000000000003</v>
          </cell>
          <cell r="AC447">
            <v>4.68</v>
          </cell>
          <cell r="AD447">
            <v>4.82</v>
          </cell>
          <cell r="AE447">
            <v>4.54</v>
          </cell>
          <cell r="AF447">
            <v>4.4349999999999996</v>
          </cell>
          <cell r="AG447">
            <v>4.43</v>
          </cell>
          <cell r="AH447">
            <v>4.5350000000000001</v>
          </cell>
        </row>
        <row r="448">
          <cell r="A448" t="str">
            <v>GGALD</v>
          </cell>
          <cell r="B448" t="str">
            <v>GGALDARS</v>
          </cell>
          <cell r="C448">
            <v>0</v>
          </cell>
          <cell r="D448">
            <v>0</v>
          </cell>
          <cell r="E448">
            <v>4.59</v>
          </cell>
          <cell r="F448">
            <v>4.665</v>
          </cell>
          <cell r="G448">
            <v>4.6500000000000004</v>
          </cell>
          <cell r="H448">
            <v>4.6100000000000003</v>
          </cell>
          <cell r="I448">
            <v>4.55</v>
          </cell>
          <cell r="J448">
            <v>4.57</v>
          </cell>
          <cell r="K448">
            <v>4.63</v>
          </cell>
          <cell r="L448">
            <v>4.62</v>
          </cell>
          <cell r="M448">
            <v>4.5549999999999997</v>
          </cell>
          <cell r="N448">
            <v>4.4800000000000004</v>
          </cell>
          <cell r="O448">
            <v>4.4000000000000004</v>
          </cell>
          <cell r="P448">
            <v>4.41</v>
          </cell>
          <cell r="Q448">
            <v>4.47</v>
          </cell>
          <cell r="R448">
            <v>4.3600000000000003</v>
          </cell>
          <cell r="S448">
            <v>4.34</v>
          </cell>
          <cell r="T448">
            <v>4.3449999999999998</v>
          </cell>
          <cell r="U448">
            <v>4.2</v>
          </cell>
          <cell r="V448">
            <v>4.1399999999999997</v>
          </cell>
          <cell r="W448">
            <v>4.0599999999999996</v>
          </cell>
          <cell r="X448">
            <v>3.88</v>
          </cell>
          <cell r="Y448">
            <v>3.89</v>
          </cell>
          <cell r="Z448">
            <v>3.9249999999999998</v>
          </cell>
          <cell r="AA448">
            <v>3.83</v>
          </cell>
          <cell r="AB448">
            <v>3.7749999999999999</v>
          </cell>
          <cell r="AC448">
            <v>4</v>
          </cell>
          <cell r="AD448">
            <v>4</v>
          </cell>
          <cell r="AE448">
            <v>3.9</v>
          </cell>
          <cell r="AF448">
            <v>3.87</v>
          </cell>
          <cell r="AG448">
            <v>3.87</v>
          </cell>
          <cell r="AH448">
            <v>3.87</v>
          </cell>
        </row>
        <row r="449">
          <cell r="A449" t="str">
            <v>SUPVD</v>
          </cell>
          <cell r="B449"/>
          <cell r="C449"/>
          <cell r="D449"/>
          <cell r="E449">
            <v>1.83</v>
          </cell>
          <cell r="F449">
            <v>1.84</v>
          </cell>
          <cell r="G449">
            <v>1.82</v>
          </cell>
          <cell r="H449">
            <v>1.835</v>
          </cell>
          <cell r="I449">
            <v>1.7849999999999999</v>
          </cell>
          <cell r="J449">
            <v>1.83</v>
          </cell>
          <cell r="K449">
            <v>1.8149999999999999</v>
          </cell>
          <cell r="L449">
            <v>1.82</v>
          </cell>
          <cell r="M449">
            <v>1.7749999999999999</v>
          </cell>
          <cell r="N449">
            <v>1.74</v>
          </cell>
          <cell r="O449">
            <v>1.74</v>
          </cell>
          <cell r="P449">
            <v>1.7250000000000001</v>
          </cell>
          <cell r="Q449">
            <v>1.7549999999999999</v>
          </cell>
          <cell r="R449">
            <v>1.69</v>
          </cell>
          <cell r="S449">
            <v>1.68</v>
          </cell>
          <cell r="T449">
            <v>1.67</v>
          </cell>
          <cell r="U449">
            <v>1.61</v>
          </cell>
          <cell r="V449">
            <v>1.58</v>
          </cell>
          <cell r="W449">
            <v>1.5249999999999999</v>
          </cell>
          <cell r="X449">
            <v>1.47</v>
          </cell>
          <cell r="Y449">
            <v>1.4650000000000001</v>
          </cell>
          <cell r="Z449">
            <v>1.5349999999999999</v>
          </cell>
          <cell r="AA449">
            <v>1.4450000000000001</v>
          </cell>
          <cell r="AB449">
            <v>1.46</v>
          </cell>
          <cell r="AC449">
            <v>1.56</v>
          </cell>
          <cell r="AD449">
            <v>1.57</v>
          </cell>
          <cell r="AE449">
            <v>1.5249999999999999</v>
          </cell>
          <cell r="AF449">
            <v>1.4950000000000001</v>
          </cell>
          <cell r="AG449">
            <v>1.51</v>
          </cell>
          <cell r="AH449">
            <v>1.5349999999999999</v>
          </cell>
        </row>
        <row r="450">
          <cell r="A450" t="str">
            <v>VALED</v>
          </cell>
          <cell r="B450" t="str">
            <v>VALEDUSM</v>
          </cell>
          <cell r="C450">
            <v>0</v>
          </cell>
          <cell r="D450">
            <v>0</v>
          </cell>
          <cell r="E450">
            <v>7.86</v>
          </cell>
          <cell r="F450">
            <v>8.18</v>
          </cell>
          <cell r="G450">
            <v>7.96</v>
          </cell>
          <cell r="H450">
            <v>7.95</v>
          </cell>
          <cell r="I450">
            <v>8</v>
          </cell>
          <cell r="J450">
            <v>8.0399999999999991</v>
          </cell>
          <cell r="K450">
            <v>8.1</v>
          </cell>
          <cell r="L450">
            <v>7.95</v>
          </cell>
          <cell r="M450">
            <v>7.89</v>
          </cell>
          <cell r="N450">
            <v>7.66</v>
          </cell>
          <cell r="O450">
            <v>7.58</v>
          </cell>
          <cell r="P450">
            <v>7.45</v>
          </cell>
          <cell r="Q450">
            <v>7.53</v>
          </cell>
          <cell r="R450">
            <v>7.37</v>
          </cell>
          <cell r="S450">
            <v>7.37</v>
          </cell>
          <cell r="T450">
            <v>7.41</v>
          </cell>
          <cell r="U450">
            <v>7.22</v>
          </cell>
          <cell r="V450">
            <v>7.16</v>
          </cell>
          <cell r="W450">
            <v>7.14</v>
          </cell>
          <cell r="X450">
            <v>7.1</v>
          </cell>
          <cell r="Y450">
            <v>6.96</v>
          </cell>
          <cell r="Z450">
            <v>7.06</v>
          </cell>
          <cell r="AA450">
            <v>7.08</v>
          </cell>
          <cell r="AB450">
            <v>7.22</v>
          </cell>
          <cell r="AC450">
            <v>7.42</v>
          </cell>
          <cell r="AD450">
            <v>7.39</v>
          </cell>
          <cell r="AE450">
            <v>7.15</v>
          </cell>
          <cell r="AF450">
            <v>7.09</v>
          </cell>
          <cell r="AG450">
            <v>7.17</v>
          </cell>
          <cell r="AH450">
            <v>7.04</v>
          </cell>
        </row>
        <row r="451">
          <cell r="A451" t="str">
            <v>PBRD</v>
          </cell>
          <cell r="B451" t="str">
            <v>PBRDUSM</v>
          </cell>
          <cell r="C451">
            <v>0</v>
          </cell>
          <cell r="D451">
            <v>0</v>
          </cell>
          <cell r="E451">
            <v>21.1</v>
          </cell>
          <cell r="F451">
            <v>21.62</v>
          </cell>
          <cell r="G451">
            <v>21.37</v>
          </cell>
          <cell r="H451">
            <v>21</v>
          </cell>
          <cell r="I451">
            <v>21.1</v>
          </cell>
          <cell r="J451">
            <v>21.65</v>
          </cell>
          <cell r="K451">
            <v>21.8</v>
          </cell>
          <cell r="L451">
            <v>22.23</v>
          </cell>
          <cell r="M451">
            <v>22.06</v>
          </cell>
          <cell r="N451">
            <v>21.99</v>
          </cell>
          <cell r="O451">
            <v>22.59</v>
          </cell>
          <cell r="P451">
            <v>21.96</v>
          </cell>
          <cell r="Q451">
            <v>21.78</v>
          </cell>
          <cell r="R451">
            <v>21.65</v>
          </cell>
          <cell r="S451">
            <v>21.53</v>
          </cell>
          <cell r="T451">
            <v>21.62</v>
          </cell>
          <cell r="U451">
            <v>22.05</v>
          </cell>
          <cell r="V451">
            <v>21.65</v>
          </cell>
          <cell r="W451">
            <v>21.32</v>
          </cell>
          <cell r="X451">
            <v>21.72</v>
          </cell>
          <cell r="Y451">
            <v>21.53</v>
          </cell>
          <cell r="Z451">
            <v>21.91</v>
          </cell>
          <cell r="AA451">
            <v>22</v>
          </cell>
          <cell r="AB451">
            <v>22.7</v>
          </cell>
          <cell r="AC451">
            <v>25.05</v>
          </cell>
          <cell r="AD451">
            <v>24.83</v>
          </cell>
          <cell r="AE451">
            <v>25.16</v>
          </cell>
          <cell r="AF451">
            <v>25.92</v>
          </cell>
          <cell r="AG451">
            <v>26.3</v>
          </cell>
          <cell r="AH451">
            <v>26.69</v>
          </cell>
        </row>
        <row r="452">
          <cell r="A452" t="str">
            <v>PAGSD</v>
          </cell>
          <cell r="B452" t="str">
            <v>PAGSDARS</v>
          </cell>
          <cell r="C452">
            <v>0</v>
          </cell>
          <cell r="D452">
            <v>0</v>
          </cell>
          <cell r="E452">
            <v>3.17</v>
          </cell>
          <cell r="F452">
            <v>3.4</v>
          </cell>
          <cell r="G452">
            <v>3.43</v>
          </cell>
          <cell r="H452">
            <v>3.39</v>
          </cell>
          <cell r="I452">
            <v>3.2949999999999999</v>
          </cell>
          <cell r="J452">
            <v>3.38</v>
          </cell>
          <cell r="K452">
            <v>3.3450000000000002</v>
          </cell>
          <cell r="L452">
            <v>3.4950000000000001</v>
          </cell>
          <cell r="M452">
            <v>3.48</v>
          </cell>
          <cell r="N452">
            <v>3.45</v>
          </cell>
          <cell r="O452">
            <v>3.375</v>
          </cell>
          <cell r="P452">
            <v>3.2450000000000001</v>
          </cell>
          <cell r="Q452">
            <v>3.31</v>
          </cell>
          <cell r="R452">
            <v>3.24</v>
          </cell>
          <cell r="S452">
            <v>3.1949999999999998</v>
          </cell>
          <cell r="T452">
            <v>3.27</v>
          </cell>
          <cell r="U452">
            <v>3.13</v>
          </cell>
          <cell r="V452">
            <v>3.145</v>
          </cell>
          <cell r="W452">
            <v>3.1749999999999998</v>
          </cell>
          <cell r="X452">
            <v>3.1</v>
          </cell>
          <cell r="Y452">
            <v>3.07</v>
          </cell>
          <cell r="Z452">
            <v>3.12</v>
          </cell>
          <cell r="AA452">
            <v>3.13</v>
          </cell>
          <cell r="AB452">
            <v>3.1349999999999998</v>
          </cell>
          <cell r="AC452">
            <v>3.8</v>
          </cell>
          <cell r="AD452">
            <v>3.7749999999999999</v>
          </cell>
          <cell r="AE452">
            <v>3.6850000000000001</v>
          </cell>
          <cell r="AF452">
            <v>3.7</v>
          </cell>
          <cell r="AG452">
            <v>3.8650000000000002</v>
          </cell>
          <cell r="AH452">
            <v>3.855</v>
          </cell>
        </row>
        <row r="453">
          <cell r="A453" t="str">
            <v>VISTD</v>
          </cell>
          <cell r="B453" t="str">
            <v>VISTDARS</v>
          </cell>
          <cell r="C453">
            <v>0</v>
          </cell>
          <cell r="D453">
            <v>0</v>
          </cell>
          <cell r="E453">
            <v>25.98</v>
          </cell>
          <cell r="F453">
            <v>26.76</v>
          </cell>
          <cell r="G453">
            <v>25.94</v>
          </cell>
          <cell r="H453">
            <v>25.57</v>
          </cell>
          <cell r="I453">
            <v>25.61</v>
          </cell>
          <cell r="J453">
            <v>26.28</v>
          </cell>
          <cell r="K453">
            <v>26.03</v>
          </cell>
          <cell r="L453">
            <v>27.45</v>
          </cell>
          <cell r="M453">
            <v>26.47</v>
          </cell>
          <cell r="N453">
            <v>26.56</v>
          </cell>
          <cell r="O453">
            <v>27.09</v>
          </cell>
          <cell r="P453">
            <v>25.85</v>
          </cell>
          <cell r="Q453">
            <v>25.46</v>
          </cell>
          <cell r="R453">
            <v>25.1</v>
          </cell>
          <cell r="S453">
            <v>24.42</v>
          </cell>
          <cell r="T453">
            <v>24.29</v>
          </cell>
          <cell r="U453">
            <v>24.5</v>
          </cell>
          <cell r="V453">
            <v>24.01</v>
          </cell>
          <cell r="W453">
            <v>23.51</v>
          </cell>
          <cell r="X453">
            <v>23.34</v>
          </cell>
          <cell r="Y453">
            <v>23.34</v>
          </cell>
          <cell r="Z453">
            <v>22.86</v>
          </cell>
          <cell r="AA453">
            <v>22.64</v>
          </cell>
          <cell r="AB453">
            <v>22.51</v>
          </cell>
          <cell r="AC453">
            <v>23.24</v>
          </cell>
          <cell r="AD453">
            <v>23.15</v>
          </cell>
          <cell r="AE453">
            <v>23.03</v>
          </cell>
          <cell r="AF453">
            <v>23.61</v>
          </cell>
          <cell r="AG453">
            <v>23.27</v>
          </cell>
          <cell r="AH453">
            <v>24.21</v>
          </cell>
        </row>
        <row r="454">
          <cell r="A454" t="str">
            <v>BBDD</v>
          </cell>
          <cell r="B454" t="str">
            <v>BBDDARS</v>
          </cell>
          <cell r="C454">
            <v>0</v>
          </cell>
          <cell r="D454">
            <v>0</v>
          </cell>
          <cell r="E454">
            <v>3.34</v>
          </cell>
          <cell r="F454">
            <v>3.5750000000000002</v>
          </cell>
          <cell r="G454">
            <v>3.58</v>
          </cell>
          <cell r="H454">
            <v>3.585</v>
          </cell>
          <cell r="I454">
            <v>3.54</v>
          </cell>
          <cell r="J454">
            <v>3.7</v>
          </cell>
          <cell r="K454">
            <v>3.5950000000000002</v>
          </cell>
          <cell r="L454">
            <v>3.7</v>
          </cell>
          <cell r="M454">
            <v>3.73</v>
          </cell>
          <cell r="N454">
            <v>3.68</v>
          </cell>
          <cell r="O454">
            <v>3.63</v>
          </cell>
          <cell r="P454">
            <v>3.61</v>
          </cell>
          <cell r="Q454">
            <v>3.6</v>
          </cell>
          <cell r="R454">
            <v>3.585</v>
          </cell>
          <cell r="S454">
            <v>3.66</v>
          </cell>
          <cell r="T454">
            <v>3.7450000000000001</v>
          </cell>
          <cell r="U454">
            <v>3.64</v>
          </cell>
          <cell r="V454">
            <v>3.57</v>
          </cell>
          <cell r="W454">
            <v>3.58</v>
          </cell>
          <cell r="X454">
            <v>3.48</v>
          </cell>
          <cell r="Y454">
            <v>3.4950000000000001</v>
          </cell>
          <cell r="Z454">
            <v>3.72</v>
          </cell>
          <cell r="AA454">
            <v>3.6949999999999998</v>
          </cell>
          <cell r="AB454">
            <v>3.85</v>
          </cell>
          <cell r="AC454">
            <v>4.5</v>
          </cell>
          <cell r="AD454">
            <v>4.7149999999999999</v>
          </cell>
          <cell r="AE454">
            <v>4.54</v>
          </cell>
          <cell r="AF454">
            <v>4.4800000000000004</v>
          </cell>
          <cell r="AG454">
            <v>4.53</v>
          </cell>
          <cell r="AH454">
            <v>4.3899999999999997</v>
          </cell>
        </row>
        <row r="455">
          <cell r="A455" t="str">
            <v>SIDD</v>
          </cell>
          <cell r="B455" t="str">
            <v>SIDDARS</v>
          </cell>
          <cell r="C455">
            <v>0</v>
          </cell>
          <cell r="D455">
            <v>0</v>
          </cell>
          <cell r="E455">
            <v>9.1300000000000008</v>
          </cell>
          <cell r="F455">
            <v>9.7100000000000009</v>
          </cell>
          <cell r="G455">
            <v>10.3</v>
          </cell>
          <cell r="H455">
            <v>10.33</v>
          </cell>
          <cell r="I455">
            <v>10.45</v>
          </cell>
          <cell r="J455">
            <v>10.5</v>
          </cell>
          <cell r="K455">
            <v>10.88</v>
          </cell>
          <cell r="L455">
            <v>11.41</v>
          </cell>
          <cell r="M455">
            <v>10.33</v>
          </cell>
          <cell r="N455">
            <v>10.029999999999999</v>
          </cell>
          <cell r="O455">
            <v>10.029999999999999</v>
          </cell>
          <cell r="P455">
            <v>9.85</v>
          </cell>
          <cell r="Q455">
            <v>9.85</v>
          </cell>
          <cell r="R455">
            <v>9.3000000000000007</v>
          </cell>
          <cell r="S455">
            <v>9.51</v>
          </cell>
          <cell r="T455">
            <v>9.93</v>
          </cell>
          <cell r="U455">
            <v>9.44</v>
          </cell>
          <cell r="V455">
            <v>9.18</v>
          </cell>
          <cell r="W455">
            <v>9.18</v>
          </cell>
          <cell r="X455">
            <v>9.32</v>
          </cell>
          <cell r="Y455">
            <v>8.48</v>
          </cell>
          <cell r="Z455">
            <v>9.0399999999999991</v>
          </cell>
          <cell r="AA455">
            <v>9.36</v>
          </cell>
          <cell r="AB455">
            <v>9.57</v>
          </cell>
          <cell r="AC455">
            <v>10.35</v>
          </cell>
          <cell r="AD455">
            <v>10.31</v>
          </cell>
          <cell r="AE455">
            <v>10.3</v>
          </cell>
          <cell r="AF455">
            <v>10.62</v>
          </cell>
          <cell r="AG455">
            <v>10.68</v>
          </cell>
          <cell r="AH455">
            <v>10.6</v>
          </cell>
        </row>
        <row r="456">
          <cell r="A456"/>
          <cell r="B456"/>
          <cell r="C456"/>
          <cell r="D456"/>
        </row>
        <row r="457">
          <cell r="A457" t="str">
            <v>ADR</v>
          </cell>
          <cell r="B457"/>
          <cell r="C457"/>
          <cell r="D457"/>
        </row>
        <row r="458">
          <cell r="A458"/>
          <cell r="B458"/>
          <cell r="C458"/>
          <cell r="D458"/>
        </row>
        <row r="459">
          <cell r="A459" t="str">
            <v>BBD US</v>
          </cell>
          <cell r="B459" t="str">
            <v>BBD US</v>
          </cell>
          <cell r="C459">
            <v>0</v>
          </cell>
          <cell r="D459">
            <v>0</v>
          </cell>
          <cell r="E459">
            <v>3.32</v>
          </cell>
          <cell r="F459">
            <v>3.45</v>
          </cell>
          <cell r="G459">
            <v>3.46</v>
          </cell>
          <cell r="H459">
            <v>3.47</v>
          </cell>
          <cell r="I459">
            <v>3.47</v>
          </cell>
          <cell r="J459">
            <v>3.55</v>
          </cell>
          <cell r="K459">
            <v>3.43</v>
          </cell>
          <cell r="L459">
            <v>3.58</v>
          </cell>
          <cell r="M459">
            <v>3.6</v>
          </cell>
          <cell r="N459">
            <v>3.54</v>
          </cell>
          <cell r="O459">
            <v>3.5</v>
          </cell>
          <cell r="P459">
            <v>3.5</v>
          </cell>
          <cell r="Q459">
            <v>3.48</v>
          </cell>
          <cell r="R459">
            <v>3.43</v>
          </cell>
          <cell r="S459">
            <v>3.52</v>
          </cell>
          <cell r="T459">
            <v>3.57</v>
          </cell>
          <cell r="U459">
            <v>3.46</v>
          </cell>
          <cell r="V459">
            <v>3.38</v>
          </cell>
          <cell r="W459">
            <v>3.41</v>
          </cell>
          <cell r="X459">
            <v>3.35</v>
          </cell>
          <cell r="Y459">
            <v>3.36</v>
          </cell>
          <cell r="Z459">
            <v>3.52</v>
          </cell>
          <cell r="AA459">
            <v>3.51</v>
          </cell>
          <cell r="AB459">
            <v>3.65</v>
          </cell>
          <cell r="AC459">
            <v>4.33</v>
          </cell>
          <cell r="AD459">
            <v>4.51</v>
          </cell>
          <cell r="AE459">
            <v>4.34</v>
          </cell>
          <cell r="AF459">
            <v>4.24</v>
          </cell>
          <cell r="AG459">
            <v>4.3</v>
          </cell>
          <cell r="AH459">
            <v>4.1900000000000004</v>
          </cell>
        </row>
        <row r="460">
          <cell r="A460" t="str">
            <v>PAGS US</v>
          </cell>
          <cell r="B460" t="str">
            <v>PAGS US</v>
          </cell>
          <cell r="C460">
            <v>0</v>
          </cell>
          <cell r="D460">
            <v>0</v>
          </cell>
          <cell r="E460">
            <v>9.14</v>
          </cell>
          <cell r="F460">
            <v>9.84</v>
          </cell>
          <cell r="G460">
            <v>9.9600000000000009</v>
          </cell>
          <cell r="H460">
            <v>9.73</v>
          </cell>
          <cell r="I460">
            <v>9.73</v>
          </cell>
          <cell r="J460">
            <v>9.75</v>
          </cell>
          <cell r="K460">
            <v>9.61</v>
          </cell>
          <cell r="L460">
            <v>10.130000000000001</v>
          </cell>
          <cell r="M460">
            <v>10.119999999999999</v>
          </cell>
          <cell r="N460">
            <v>9.93</v>
          </cell>
          <cell r="O460">
            <v>9.6199999999999992</v>
          </cell>
          <cell r="P460">
            <v>9.4700000000000006</v>
          </cell>
          <cell r="Q460">
            <v>9.56</v>
          </cell>
          <cell r="R460">
            <v>9.26</v>
          </cell>
          <cell r="S460">
            <v>9.4700000000000006</v>
          </cell>
          <cell r="T460">
            <v>9.4</v>
          </cell>
          <cell r="U460">
            <v>9.09</v>
          </cell>
          <cell r="V460">
            <v>9.02</v>
          </cell>
          <cell r="W460">
            <v>9.0500000000000007</v>
          </cell>
          <cell r="X460">
            <v>8.9</v>
          </cell>
          <cell r="Y460">
            <v>8.8000000000000007</v>
          </cell>
          <cell r="Z460">
            <v>8.9</v>
          </cell>
          <cell r="AA460">
            <v>8.8699999999999992</v>
          </cell>
          <cell r="AB460">
            <v>9.02</v>
          </cell>
          <cell r="AC460">
            <v>10.95</v>
          </cell>
          <cell r="AD460">
            <v>10.72</v>
          </cell>
          <cell r="AE460">
            <v>10.51</v>
          </cell>
          <cell r="AF460">
            <v>10.68</v>
          </cell>
          <cell r="AG460">
            <v>11.16</v>
          </cell>
          <cell r="AH460">
            <v>10.99</v>
          </cell>
        </row>
        <row r="461">
          <cell r="A461" t="str">
            <v>NIO US</v>
          </cell>
          <cell r="B461" t="str">
            <v>NIO US</v>
          </cell>
          <cell r="C461">
            <v>0</v>
          </cell>
          <cell r="D461">
            <v>0</v>
          </cell>
          <cell r="E461">
            <v>4.0599999999999996</v>
          </cell>
          <cell r="F461">
            <v>3.86</v>
          </cell>
          <cell r="G461">
            <v>3.86</v>
          </cell>
          <cell r="H461">
            <v>3.8</v>
          </cell>
          <cell r="I461">
            <v>3.8</v>
          </cell>
          <cell r="J461">
            <v>3.79</v>
          </cell>
          <cell r="K461">
            <v>3.7</v>
          </cell>
          <cell r="L461">
            <v>3.58</v>
          </cell>
          <cell r="M461">
            <v>3.69</v>
          </cell>
          <cell r="N461">
            <v>3.67</v>
          </cell>
          <cell r="O461">
            <v>3.6</v>
          </cell>
          <cell r="P461">
            <v>3.58</v>
          </cell>
          <cell r="Q461">
            <v>3.62</v>
          </cell>
          <cell r="R461">
            <v>3.66</v>
          </cell>
          <cell r="S461">
            <v>3.67</v>
          </cell>
          <cell r="T461">
            <v>3.72</v>
          </cell>
          <cell r="U461">
            <v>3.67</v>
          </cell>
          <cell r="V461">
            <v>3.63</v>
          </cell>
          <cell r="W461">
            <v>3.58</v>
          </cell>
          <cell r="X461">
            <v>3.59</v>
          </cell>
          <cell r="Y461">
            <v>3.4</v>
          </cell>
          <cell r="Z461">
            <v>3.43</v>
          </cell>
          <cell r="AA461">
            <v>3.4</v>
          </cell>
          <cell r="AB461">
            <v>3.37</v>
          </cell>
          <cell r="AC461">
            <v>3.42</v>
          </cell>
          <cell r="AD461">
            <v>3.48</v>
          </cell>
          <cell r="AE461">
            <v>3.54</v>
          </cell>
          <cell r="AF461">
            <v>3.41</v>
          </cell>
          <cell r="AG461">
            <v>3.58</v>
          </cell>
          <cell r="AH461">
            <v>3.56</v>
          </cell>
        </row>
        <row r="462">
          <cell r="A462" t="str">
            <v>JD US</v>
          </cell>
          <cell r="B462" t="str">
            <v>JD US</v>
          </cell>
          <cell r="C462">
            <v>0</v>
          </cell>
          <cell r="D462">
            <v>0</v>
          </cell>
          <cell r="E462">
            <v>27.9</v>
          </cell>
          <cell r="F462">
            <v>27.83</v>
          </cell>
          <cell r="G462">
            <v>27.74</v>
          </cell>
          <cell r="H462">
            <v>28.26</v>
          </cell>
          <cell r="I462">
            <v>28.26</v>
          </cell>
          <cell r="J462">
            <v>27.68</v>
          </cell>
          <cell r="K462">
            <v>27</v>
          </cell>
          <cell r="L462">
            <v>27.02</v>
          </cell>
          <cell r="M462">
            <v>27.06</v>
          </cell>
          <cell r="N462">
            <v>27.26</v>
          </cell>
          <cell r="O462">
            <v>27.09</v>
          </cell>
          <cell r="P462">
            <v>26.9</v>
          </cell>
          <cell r="Q462">
            <v>26.64</v>
          </cell>
          <cell r="R462">
            <v>26.92</v>
          </cell>
          <cell r="S462">
            <v>27.28</v>
          </cell>
          <cell r="T462">
            <v>27.38</v>
          </cell>
          <cell r="U462">
            <v>27.16</v>
          </cell>
          <cell r="V462">
            <v>26.75</v>
          </cell>
          <cell r="W462">
            <v>26.51</v>
          </cell>
          <cell r="X462">
            <v>26.61</v>
          </cell>
          <cell r="Y462">
            <v>26.3</v>
          </cell>
          <cell r="Z462">
            <v>26.6</v>
          </cell>
          <cell r="AA462">
            <v>26.37</v>
          </cell>
          <cell r="AB462">
            <v>25.78</v>
          </cell>
          <cell r="AC462">
            <v>26.36</v>
          </cell>
          <cell r="AD462">
            <v>26.5</v>
          </cell>
          <cell r="AE462">
            <v>27.03</v>
          </cell>
          <cell r="AF462">
            <v>26.91</v>
          </cell>
          <cell r="AG462">
            <v>27.09</v>
          </cell>
          <cell r="AH462">
            <v>26.78</v>
          </cell>
        </row>
        <row r="463">
          <cell r="A463" t="str">
            <v>BDORY US</v>
          </cell>
          <cell r="B463" t="str">
            <v>BDORY US</v>
          </cell>
          <cell r="C463">
            <v>0</v>
          </cell>
          <cell r="D463">
            <v>0</v>
          </cell>
          <cell r="E463">
            <v>4.2009999999999996</v>
          </cell>
          <cell r="F463">
            <v>4.43</v>
          </cell>
          <cell r="G463">
            <v>4.4000000000000004</v>
          </cell>
          <cell r="H463">
            <v>4.42</v>
          </cell>
          <cell r="I463">
            <v>4.42</v>
          </cell>
          <cell r="J463">
            <v>4.5</v>
          </cell>
          <cell r="K463">
            <v>4.3899999999999997</v>
          </cell>
          <cell r="L463">
            <v>4.57</v>
          </cell>
          <cell r="M463">
            <v>4.42</v>
          </cell>
          <cell r="N463">
            <v>4.38</v>
          </cell>
          <cell r="O463">
            <v>4.2949999999999999</v>
          </cell>
          <cell r="P463">
            <v>4.43</v>
          </cell>
          <cell r="Q463">
            <v>4.41</v>
          </cell>
          <cell r="R463">
            <v>4.59</v>
          </cell>
          <cell r="S463">
            <v>4.5199999999999996</v>
          </cell>
          <cell r="T463">
            <v>4.53</v>
          </cell>
          <cell r="U463">
            <v>4.41</v>
          </cell>
          <cell r="V463">
            <v>4.2</v>
          </cell>
          <cell r="W463">
            <v>4.16</v>
          </cell>
          <cell r="X463">
            <v>4.17</v>
          </cell>
          <cell r="Y463">
            <v>4.25</v>
          </cell>
          <cell r="Z463">
            <v>4.4800000000000004</v>
          </cell>
          <cell r="AA463">
            <v>4.53</v>
          </cell>
          <cell r="AB463">
            <v>4.5999999999999996</v>
          </cell>
          <cell r="AC463">
            <v>5.29</v>
          </cell>
          <cell r="AD463">
            <v>5.03</v>
          </cell>
          <cell r="AE463">
            <v>4.9000000000000004</v>
          </cell>
          <cell r="AF463">
            <v>4.8099999999999996</v>
          </cell>
          <cell r="AG463">
            <v>5</v>
          </cell>
          <cell r="AH463">
            <v>4.92</v>
          </cell>
        </row>
        <row r="464">
          <cell r="A464" t="str">
            <v>GGAL US</v>
          </cell>
          <cell r="B464" t="str">
            <v>GGAL US</v>
          </cell>
          <cell r="C464">
            <v>0</v>
          </cell>
          <cell r="D464">
            <v>0</v>
          </cell>
          <cell r="E464">
            <v>44.29</v>
          </cell>
          <cell r="F464">
            <v>45.01</v>
          </cell>
          <cell r="G464">
            <v>44.63</v>
          </cell>
          <cell r="H464">
            <v>44.36</v>
          </cell>
          <cell r="I464">
            <v>44.36</v>
          </cell>
          <cell r="J464">
            <v>44.12</v>
          </cell>
          <cell r="K464">
            <v>44.49</v>
          </cell>
          <cell r="L464">
            <v>44.72</v>
          </cell>
          <cell r="M464">
            <v>43.86</v>
          </cell>
          <cell r="N464">
            <v>42.96</v>
          </cell>
          <cell r="O464">
            <v>42.14</v>
          </cell>
          <cell r="P464">
            <v>42.27</v>
          </cell>
          <cell r="Q464">
            <v>42.62</v>
          </cell>
          <cell r="R464">
            <v>41.76</v>
          </cell>
          <cell r="S464">
            <v>41.76</v>
          </cell>
          <cell r="T464">
            <v>41.25</v>
          </cell>
          <cell r="U464">
            <v>39.99</v>
          </cell>
          <cell r="V464">
            <v>39.590000000000003</v>
          </cell>
          <cell r="W464">
            <v>38.74</v>
          </cell>
          <cell r="X464">
            <v>36.979999999999997</v>
          </cell>
          <cell r="Y464">
            <v>37.020000000000003</v>
          </cell>
          <cell r="Z464">
            <v>37.24</v>
          </cell>
          <cell r="AA464">
            <v>36.07</v>
          </cell>
          <cell r="AB464">
            <v>35.89</v>
          </cell>
          <cell r="AC464">
            <v>38.25</v>
          </cell>
          <cell r="AD464">
            <v>38.18</v>
          </cell>
          <cell r="AE464">
            <v>37.049999999999997</v>
          </cell>
          <cell r="AF464">
            <v>36.76</v>
          </cell>
          <cell r="AG464">
            <v>36.81</v>
          </cell>
          <cell r="AH464">
            <v>36.79</v>
          </cell>
        </row>
        <row r="465">
          <cell r="A465" t="str">
            <v>VALE US</v>
          </cell>
          <cell r="B465" t="str">
            <v>VALE US</v>
          </cell>
          <cell r="C465">
            <v>0</v>
          </cell>
          <cell r="D465">
            <v>0</v>
          </cell>
          <cell r="E465">
            <v>15.12</v>
          </cell>
          <cell r="F465">
            <v>15.73</v>
          </cell>
          <cell r="G465">
            <v>15.31</v>
          </cell>
          <cell r="H465">
            <v>15.27</v>
          </cell>
          <cell r="I465">
            <v>15.27</v>
          </cell>
          <cell r="J465">
            <v>15.56</v>
          </cell>
          <cell r="K465">
            <v>15.44</v>
          </cell>
          <cell r="L465">
            <v>15.28</v>
          </cell>
          <cell r="M465">
            <v>15.23</v>
          </cell>
          <cell r="N465">
            <v>14.61</v>
          </cell>
          <cell r="O465">
            <v>14.47</v>
          </cell>
          <cell r="P465">
            <v>14.13</v>
          </cell>
          <cell r="Q465">
            <v>14.47</v>
          </cell>
          <cell r="R465">
            <v>14.21</v>
          </cell>
          <cell r="S465">
            <v>14.15</v>
          </cell>
          <cell r="T465">
            <v>14.19</v>
          </cell>
          <cell r="U465">
            <v>13.82</v>
          </cell>
          <cell r="V465">
            <v>13.56</v>
          </cell>
          <cell r="W465">
            <v>13.61</v>
          </cell>
          <cell r="X465">
            <v>13.59</v>
          </cell>
          <cell r="Y465">
            <v>13.3</v>
          </cell>
          <cell r="Z465">
            <v>13.41</v>
          </cell>
          <cell r="AA465">
            <v>13.45</v>
          </cell>
          <cell r="AB465">
            <v>13.76</v>
          </cell>
          <cell r="AC465">
            <v>14.15</v>
          </cell>
          <cell r="AD465">
            <v>14.08</v>
          </cell>
          <cell r="AE465">
            <v>13.61</v>
          </cell>
          <cell r="AF465">
            <v>13.42</v>
          </cell>
          <cell r="AG465">
            <v>13.62</v>
          </cell>
          <cell r="AH465">
            <v>13.37</v>
          </cell>
        </row>
        <row r="466">
          <cell r="A466" t="str">
            <v>NU US</v>
          </cell>
          <cell r="B466" t="str">
            <v>NU US</v>
          </cell>
          <cell r="C466">
            <v>0</v>
          </cell>
          <cell r="D466">
            <v>0</v>
          </cell>
          <cell r="AC466">
            <v>15.18</v>
          </cell>
          <cell r="AD466">
            <v>15.66</v>
          </cell>
          <cell r="AE466">
            <v>15.58</v>
          </cell>
          <cell r="AF466">
            <v>15.38</v>
          </cell>
          <cell r="AG466">
            <v>16.12</v>
          </cell>
          <cell r="AH466">
            <v>15.58</v>
          </cell>
        </row>
        <row r="467">
          <cell r="A467" t="str">
            <v>PBR US</v>
          </cell>
          <cell r="B467" t="str">
            <v>PBR US</v>
          </cell>
          <cell r="C467">
            <v>0</v>
          </cell>
          <cell r="D467">
            <v>0</v>
          </cell>
          <cell r="E467">
            <v>20.329999999999998</v>
          </cell>
          <cell r="F467">
            <v>20.86</v>
          </cell>
          <cell r="G467">
            <v>20.51</v>
          </cell>
          <cell r="H467">
            <v>20.12</v>
          </cell>
          <cell r="I467">
            <v>20.12</v>
          </cell>
          <cell r="J467">
            <v>20.83</v>
          </cell>
          <cell r="K467">
            <v>20.93</v>
          </cell>
          <cell r="L467">
            <v>21.38</v>
          </cell>
          <cell r="M467">
            <v>21.2</v>
          </cell>
          <cell r="N467">
            <v>21.15</v>
          </cell>
          <cell r="O467">
            <v>21.77</v>
          </cell>
          <cell r="P467">
            <v>20.91</v>
          </cell>
          <cell r="Q467">
            <v>20.94</v>
          </cell>
          <cell r="R467">
            <v>20.8</v>
          </cell>
          <cell r="S467">
            <v>20.63</v>
          </cell>
          <cell r="T467">
            <v>20.76</v>
          </cell>
          <cell r="U467">
            <v>21.14</v>
          </cell>
          <cell r="V467">
            <v>20.84</v>
          </cell>
          <cell r="W467">
            <v>20.37</v>
          </cell>
          <cell r="X467">
            <v>20.65</v>
          </cell>
          <cell r="Y467">
            <v>20.65</v>
          </cell>
          <cell r="Z467">
            <v>20.87</v>
          </cell>
          <cell r="AA467">
            <v>20.98</v>
          </cell>
          <cell r="AB467">
            <v>21.65</v>
          </cell>
          <cell r="AC467">
            <v>24.14</v>
          </cell>
          <cell r="AD467">
            <v>23.8</v>
          </cell>
          <cell r="AE467">
            <v>23.99</v>
          </cell>
          <cell r="AF467">
            <v>24.69</v>
          </cell>
          <cell r="AG467">
            <v>25.3</v>
          </cell>
          <cell r="AH467">
            <v>25.5</v>
          </cell>
        </row>
        <row r="468">
          <cell r="A468" t="str">
            <v>VIST US</v>
          </cell>
          <cell r="B468" t="str">
            <v>VIST US</v>
          </cell>
          <cell r="C468">
            <v>0</v>
          </cell>
          <cell r="D468">
            <v>0</v>
          </cell>
          <cell r="E468">
            <v>74.709999999999994</v>
          </cell>
          <cell r="F468">
            <v>77.03</v>
          </cell>
          <cell r="G468">
            <v>74.61</v>
          </cell>
          <cell r="H468">
            <v>73.73</v>
          </cell>
          <cell r="I468">
            <v>73.73</v>
          </cell>
          <cell r="J468">
            <v>75.86</v>
          </cell>
          <cell r="K468">
            <v>74.569999999999993</v>
          </cell>
          <cell r="L468">
            <v>78.95</v>
          </cell>
          <cell r="M468">
            <v>76.27</v>
          </cell>
          <cell r="N468">
            <v>76.41</v>
          </cell>
          <cell r="O468">
            <v>78.36</v>
          </cell>
          <cell r="P468">
            <v>74.260000000000005</v>
          </cell>
          <cell r="Q468">
            <v>73.31</v>
          </cell>
          <cell r="R468">
            <v>72.27</v>
          </cell>
          <cell r="S468">
            <v>70.33</v>
          </cell>
          <cell r="T468">
            <v>69.42</v>
          </cell>
          <cell r="U468">
            <v>70.25</v>
          </cell>
          <cell r="V468">
            <v>68.3</v>
          </cell>
          <cell r="W468">
            <v>67.430000000000007</v>
          </cell>
          <cell r="X468">
            <v>66.91</v>
          </cell>
          <cell r="Y468">
            <v>66.709999999999994</v>
          </cell>
          <cell r="Z468">
            <v>65.349999999999994</v>
          </cell>
          <cell r="AA468">
            <v>64.63</v>
          </cell>
          <cell r="AB468">
            <v>64.25</v>
          </cell>
          <cell r="AC468">
            <v>66.540000000000006</v>
          </cell>
          <cell r="AD468">
            <v>66.06</v>
          </cell>
          <cell r="AE468">
            <v>65.430000000000007</v>
          </cell>
          <cell r="AF468">
            <v>67.16</v>
          </cell>
          <cell r="AG468">
            <v>66.260000000000005</v>
          </cell>
          <cell r="AH468">
            <v>69.02</v>
          </cell>
        </row>
        <row r="469">
          <cell r="A469" t="str">
            <v>AMD US</v>
          </cell>
          <cell r="B469" t="str">
            <v>AMD US</v>
          </cell>
          <cell r="C469">
            <v>0</v>
          </cell>
          <cell r="D469">
            <v>0</v>
          </cell>
          <cell r="E469">
            <v>459.61</v>
          </cell>
          <cell r="F469">
            <v>457.06</v>
          </cell>
          <cell r="G469">
            <v>456.16</v>
          </cell>
          <cell r="H469">
            <v>477.57</v>
          </cell>
          <cell r="I469">
            <v>477.57</v>
          </cell>
          <cell r="J469">
            <v>505.74</v>
          </cell>
          <cell r="K469">
            <v>521.09500000000003</v>
          </cell>
          <cell r="L469">
            <v>503.6</v>
          </cell>
          <cell r="M469">
            <v>516.13</v>
          </cell>
          <cell r="N469">
            <v>493.41</v>
          </cell>
          <cell r="O469">
            <v>504.2</v>
          </cell>
          <cell r="P469">
            <v>512.5</v>
          </cell>
          <cell r="Q469">
            <v>545.09</v>
          </cell>
          <cell r="R469">
            <v>559.82000000000005</v>
          </cell>
          <cell r="S469">
            <v>615.52</v>
          </cell>
          <cell r="T469">
            <v>623.77</v>
          </cell>
          <cell r="U469">
            <v>614.61</v>
          </cell>
          <cell r="V469">
            <v>629.26</v>
          </cell>
          <cell r="W469">
            <v>630.63</v>
          </cell>
          <cell r="X469">
            <v>607.87</v>
          </cell>
          <cell r="Y469">
            <v>607.57000000000005</v>
          </cell>
          <cell r="Z469">
            <v>611.76</v>
          </cell>
          <cell r="AA469">
            <v>615.73</v>
          </cell>
          <cell r="AB469">
            <v>633.91</v>
          </cell>
          <cell r="AC469">
            <v>631.75</v>
          </cell>
          <cell r="AD469">
            <v>649.41999999999996</v>
          </cell>
          <cell r="AE469">
            <v>645.86</v>
          </cell>
          <cell r="AF469">
            <v>620.67999999999995</v>
          </cell>
          <cell r="AG469">
            <v>608.1</v>
          </cell>
          <cell r="AH469">
            <v>605.53</v>
          </cell>
        </row>
        <row r="470">
          <cell r="A470" t="str">
            <v>SID US</v>
          </cell>
          <cell r="B470" t="str">
            <v>SID US</v>
          </cell>
          <cell r="C470">
            <v>0</v>
          </cell>
          <cell r="D470">
            <v>0</v>
          </cell>
          <cell r="E470">
            <v>1.1299999999999999</v>
          </cell>
          <cell r="F470">
            <v>1.17</v>
          </cell>
          <cell r="G470">
            <v>1.26</v>
          </cell>
          <cell r="H470">
            <v>1.22</v>
          </cell>
          <cell r="I470">
            <v>1.22</v>
          </cell>
          <cell r="J470">
            <v>1.24</v>
          </cell>
          <cell r="K470">
            <v>1.33</v>
          </cell>
          <cell r="L470">
            <v>1.38</v>
          </cell>
          <cell r="M470">
            <v>1.27</v>
          </cell>
          <cell r="N470">
            <v>1.18</v>
          </cell>
          <cell r="O470">
            <v>1.2</v>
          </cell>
          <cell r="P470">
            <v>1.21</v>
          </cell>
          <cell r="Q470">
            <v>1.18</v>
          </cell>
          <cell r="R470">
            <v>1.1000000000000001</v>
          </cell>
          <cell r="S470">
            <v>1.17</v>
          </cell>
          <cell r="T470">
            <v>1.18</v>
          </cell>
          <cell r="U470">
            <v>1.1399999999999999</v>
          </cell>
          <cell r="V470">
            <v>1.1000000000000001</v>
          </cell>
          <cell r="W470">
            <v>1.1000000000000001</v>
          </cell>
          <cell r="X470">
            <v>1.1100000000000001</v>
          </cell>
          <cell r="Y470">
            <v>1.02</v>
          </cell>
          <cell r="Z470">
            <v>1.06</v>
          </cell>
          <cell r="AA470">
            <v>1.1200000000000001</v>
          </cell>
          <cell r="AB470">
            <v>1.1599999999999999</v>
          </cell>
          <cell r="AC470">
            <v>1.24</v>
          </cell>
          <cell r="AD470">
            <v>1.23</v>
          </cell>
          <cell r="AE470">
            <v>1.23</v>
          </cell>
          <cell r="AF470">
            <v>1.23</v>
          </cell>
          <cell r="AG470">
            <v>1.28</v>
          </cell>
          <cell r="AH470">
            <v>1.24</v>
          </cell>
        </row>
        <row r="471">
          <cell r="A471" t="str">
            <v>MSFT US</v>
          </cell>
          <cell r="B471" t="str">
            <v>MSFT US</v>
          </cell>
          <cell r="C471">
            <v>0</v>
          </cell>
          <cell r="D471">
            <v>0</v>
          </cell>
          <cell r="E471">
            <v>501.02</v>
          </cell>
          <cell r="F471">
            <v>496.82</v>
          </cell>
          <cell r="G471">
            <v>510.12</v>
          </cell>
          <cell r="H471">
            <v>499.7</v>
          </cell>
          <cell r="I471">
            <v>499.7</v>
          </cell>
          <cell r="J471">
            <v>493.95</v>
          </cell>
          <cell r="K471">
            <v>491.65</v>
          </cell>
          <cell r="L471">
            <v>492.44</v>
          </cell>
          <cell r="M471">
            <v>495.63</v>
          </cell>
          <cell r="N471">
            <v>505.41</v>
          </cell>
          <cell r="O471">
            <v>497.12</v>
          </cell>
          <cell r="P471">
            <v>490.3</v>
          </cell>
          <cell r="Q471">
            <v>497.75</v>
          </cell>
          <cell r="R471">
            <v>493.78</v>
          </cell>
          <cell r="S471">
            <v>501.61</v>
          </cell>
          <cell r="T471">
            <v>498</v>
          </cell>
          <cell r="U471">
            <v>500.59</v>
          </cell>
          <cell r="V471">
            <v>497.93</v>
          </cell>
          <cell r="W471">
            <v>516.16999999999996</v>
          </cell>
          <cell r="X471">
            <v>509.22</v>
          </cell>
          <cell r="Y471">
            <v>508.96</v>
          </cell>
          <cell r="Z471">
            <v>512.9</v>
          </cell>
          <cell r="AA471">
            <v>512.79999999999995</v>
          </cell>
          <cell r="AB471">
            <v>517.53</v>
          </cell>
          <cell r="AC471">
            <v>525.17999999999995</v>
          </cell>
          <cell r="AD471">
            <v>529.29999999999995</v>
          </cell>
          <cell r="AE471">
            <v>529.76</v>
          </cell>
          <cell r="AF471">
            <v>522.61</v>
          </cell>
          <cell r="AG471">
            <v>535.07000000000005</v>
          </cell>
          <cell r="AH471">
            <v>543.45000000000005</v>
          </cell>
        </row>
        <row r="472">
          <cell r="A472" t="str">
            <v>YPF US</v>
          </cell>
          <cell r="B472" t="str">
            <v>YPF US</v>
          </cell>
          <cell r="C472">
            <v>0</v>
          </cell>
          <cell r="D472">
            <v>0</v>
          </cell>
          <cell r="E472">
            <v>52.46</v>
          </cell>
          <cell r="F472">
            <v>53.91</v>
          </cell>
          <cell r="G472">
            <v>52.41</v>
          </cell>
          <cell r="H472">
            <v>52.62</v>
          </cell>
          <cell r="I472">
            <v>52.62</v>
          </cell>
          <cell r="J472">
            <v>53.09</v>
          </cell>
          <cell r="K472">
            <v>54.61</v>
          </cell>
          <cell r="L472">
            <v>56.06</v>
          </cell>
          <cell r="M472">
            <v>55.55</v>
          </cell>
          <cell r="N472">
            <v>56.33</v>
          </cell>
          <cell r="O472">
            <v>57.61</v>
          </cell>
          <cell r="P472">
            <v>54.65</v>
          </cell>
          <cell r="Q472">
            <v>54.48</v>
          </cell>
          <cell r="R472">
            <v>54.96</v>
          </cell>
          <cell r="S472">
            <v>53.18</v>
          </cell>
          <cell r="T472">
            <v>53.35</v>
          </cell>
          <cell r="U472">
            <v>53.93</v>
          </cell>
          <cell r="V472">
            <v>53.61</v>
          </cell>
          <cell r="W472">
            <v>52.1</v>
          </cell>
          <cell r="X472">
            <v>51.37</v>
          </cell>
          <cell r="Y472">
            <v>50.31</v>
          </cell>
          <cell r="Z472">
            <v>50.13</v>
          </cell>
          <cell r="AA472">
            <v>49.27</v>
          </cell>
          <cell r="AB472">
            <v>49.67</v>
          </cell>
          <cell r="AC472">
            <v>51.24</v>
          </cell>
          <cell r="AD472">
            <v>51.16</v>
          </cell>
          <cell r="AE472">
            <v>49.48</v>
          </cell>
          <cell r="AF472">
            <v>49.9</v>
          </cell>
          <cell r="AG472">
            <v>50.04</v>
          </cell>
          <cell r="AH472">
            <v>51.79</v>
          </cell>
        </row>
        <row r="473">
          <cell r="A473"/>
          <cell r="B473"/>
          <cell r="C473"/>
          <cell r="D473"/>
        </row>
        <row r="474">
          <cell r="A474" t="str">
            <v>ADR</v>
          </cell>
          <cell r="B474"/>
          <cell r="C474"/>
          <cell r="D474"/>
        </row>
        <row r="475">
          <cell r="A475"/>
          <cell r="B475"/>
          <cell r="C475"/>
          <cell r="D475"/>
        </row>
        <row r="476">
          <cell r="A476" t="str">
            <v>EWZ US</v>
          </cell>
          <cell r="B476" t="str">
            <v>EWZ US</v>
          </cell>
          <cell r="C476">
            <v>0</v>
          </cell>
          <cell r="D476">
            <v>0</v>
          </cell>
          <cell r="E476">
            <v>36.57</v>
          </cell>
          <cell r="F476">
            <v>38.090000000000003</v>
          </cell>
          <cell r="G476">
            <v>38.130000000000003</v>
          </cell>
          <cell r="H476">
            <v>37.86</v>
          </cell>
          <cell r="I476">
            <v>37.86</v>
          </cell>
          <cell r="J476">
            <v>38.61</v>
          </cell>
          <cell r="K476">
            <v>38.07</v>
          </cell>
          <cell r="L476">
            <v>38.56</v>
          </cell>
          <cell r="M476">
            <v>38.19</v>
          </cell>
          <cell r="N476">
            <v>37.72</v>
          </cell>
          <cell r="O476">
            <v>37.78</v>
          </cell>
          <cell r="P476">
            <v>37.479999999999997</v>
          </cell>
          <cell r="Q476">
            <v>37.74</v>
          </cell>
          <cell r="R476">
            <v>37.520000000000003</v>
          </cell>
          <cell r="S476">
            <v>38.07</v>
          </cell>
          <cell r="T476">
            <v>38.26</v>
          </cell>
          <cell r="U476">
            <v>37.369999999999997</v>
          </cell>
          <cell r="V476">
            <v>36.909999999999997</v>
          </cell>
          <cell r="W476">
            <v>36.82</v>
          </cell>
          <cell r="X476">
            <v>36.21</v>
          </cell>
          <cell r="Y476">
            <v>36.47</v>
          </cell>
          <cell r="Z476">
            <v>37.25</v>
          </cell>
          <cell r="AA476">
            <v>37.14</v>
          </cell>
          <cell r="AB476">
            <v>38.19</v>
          </cell>
          <cell r="AC476">
            <v>42.98</v>
          </cell>
          <cell r="AD476">
            <v>43</v>
          </cell>
          <cell r="AE476">
            <v>42.37</v>
          </cell>
          <cell r="AF476">
            <v>42.59</v>
          </cell>
          <cell r="AG476">
            <v>43.54</v>
          </cell>
          <cell r="AH476">
            <v>42.87</v>
          </cell>
        </row>
        <row r="477">
          <cell r="A477" t="str">
            <v>FLRN US</v>
          </cell>
          <cell r="B477" t="str">
            <v>FLRN US</v>
          </cell>
          <cell r="C477">
            <v>0</v>
          </cell>
          <cell r="D477">
            <v>0</v>
          </cell>
          <cell r="E477">
            <v>30.75</v>
          </cell>
          <cell r="F477">
            <v>30.75</v>
          </cell>
          <cell r="G477">
            <v>30.74</v>
          </cell>
          <cell r="H477">
            <v>30.76</v>
          </cell>
          <cell r="I477">
            <v>30.76</v>
          </cell>
          <cell r="J477">
            <v>30.75</v>
          </cell>
          <cell r="K477">
            <v>30.75</v>
          </cell>
          <cell r="L477">
            <v>30.76</v>
          </cell>
          <cell r="M477">
            <v>30.77</v>
          </cell>
          <cell r="N477">
            <v>30.79</v>
          </cell>
          <cell r="O477">
            <v>30.8</v>
          </cell>
          <cell r="P477">
            <v>30.8</v>
          </cell>
          <cell r="Q477">
            <v>30.8</v>
          </cell>
          <cell r="R477">
            <v>30.82</v>
          </cell>
          <cell r="S477">
            <v>30.81</v>
          </cell>
          <cell r="T477">
            <v>30.8</v>
          </cell>
          <cell r="U477">
            <v>30.81</v>
          </cell>
          <cell r="V477">
            <v>30.82</v>
          </cell>
          <cell r="W477">
            <v>30.83</v>
          </cell>
          <cell r="X477">
            <v>30.82</v>
          </cell>
          <cell r="Y477">
            <v>30.83</v>
          </cell>
          <cell r="Z477">
            <v>30.84</v>
          </cell>
          <cell r="AA477">
            <v>30.72</v>
          </cell>
          <cell r="AB477">
            <v>30.74</v>
          </cell>
          <cell r="AC477">
            <v>30.74</v>
          </cell>
          <cell r="AD477">
            <v>30.74</v>
          </cell>
          <cell r="AE477">
            <v>30.75</v>
          </cell>
          <cell r="AF477">
            <v>30.77</v>
          </cell>
          <cell r="AG477">
            <v>30.77</v>
          </cell>
          <cell r="AH477">
            <v>30.77</v>
          </cell>
        </row>
        <row r="478">
          <cell r="A478" t="str">
            <v>SDIA LN</v>
          </cell>
          <cell r="B478" t="str">
            <v>SDIA LN</v>
          </cell>
          <cell r="C478">
            <v>0</v>
          </cell>
          <cell r="D478">
            <v>0</v>
          </cell>
          <cell r="R478">
            <v>6.3529999999999998</v>
          </cell>
          <cell r="S478">
            <v>6.3609999999999998</v>
          </cell>
          <cell r="T478">
            <v>6.3559999999999999</v>
          </cell>
          <cell r="U478">
            <v>6.3490000000000002</v>
          </cell>
          <cell r="V478">
            <v>6.3410000000000002</v>
          </cell>
          <cell r="W478">
            <v>6.335</v>
          </cell>
          <cell r="X478">
            <v>6.3239999999999998</v>
          </cell>
          <cell r="Y478">
            <v>6.3330000000000002</v>
          </cell>
          <cell r="Z478">
            <v>6.3280000000000003</v>
          </cell>
          <cell r="AA478">
            <v>6.3410000000000002</v>
          </cell>
          <cell r="AB478">
            <v>6.3470000000000004</v>
          </cell>
          <cell r="AC478">
            <v>6.3419999999999996</v>
          </cell>
          <cell r="AD478">
            <v>6.3470000000000004</v>
          </cell>
          <cell r="AE478">
            <v>6.3559999999999999</v>
          </cell>
          <cell r="AF478">
            <v>6.3529999999999998</v>
          </cell>
          <cell r="AG478">
            <v>6.3570000000000002</v>
          </cell>
          <cell r="AH478">
            <v>6.3550000000000004</v>
          </cell>
        </row>
        <row r="479">
          <cell r="A479" t="str">
            <v>EMCA LN</v>
          </cell>
          <cell r="B479" t="str">
            <v>EMCA LN</v>
          </cell>
          <cell r="C479">
            <v>0</v>
          </cell>
          <cell r="D479">
            <v>0</v>
          </cell>
          <cell r="E479">
            <v>6.78</v>
          </cell>
          <cell r="F479">
            <v>6.79</v>
          </cell>
          <cell r="G479">
            <v>6.7960000000000003</v>
          </cell>
          <cell r="H479">
            <v>6.8150000000000004</v>
          </cell>
          <cell r="I479">
            <v>6.806</v>
          </cell>
          <cell r="J479">
            <v>6.8070000000000004</v>
          </cell>
          <cell r="K479">
            <v>6.819</v>
          </cell>
          <cell r="L479">
            <v>6.78</v>
          </cell>
          <cell r="M479">
            <v>6.7869999999999999</v>
          </cell>
          <cell r="N479">
            <v>6.7720000000000002</v>
          </cell>
          <cell r="O479">
            <v>6.7460000000000004</v>
          </cell>
          <cell r="P479">
            <v>6.7424999999999997</v>
          </cell>
          <cell r="Q479">
            <v>6.7530000000000001</v>
          </cell>
          <cell r="R479">
            <v>6.7519999999999998</v>
          </cell>
          <cell r="S479">
            <v>6.7445000000000004</v>
          </cell>
          <cell r="T479">
            <v>6.7619999999999996</v>
          </cell>
          <cell r="U479">
            <v>6.7220000000000004</v>
          </cell>
          <cell r="V479">
            <v>6.7069999999999999</v>
          </cell>
          <cell r="W479">
            <v>6.7149999999999999</v>
          </cell>
          <cell r="X479">
            <v>6.6820000000000004</v>
          </cell>
          <cell r="Y479">
            <v>6.6555</v>
          </cell>
          <cell r="Z479">
            <v>6.64</v>
          </cell>
          <cell r="AA479">
            <v>6.617</v>
          </cell>
          <cell r="AB479">
            <v>6.657</v>
          </cell>
          <cell r="AC479">
            <v>6.6580000000000004</v>
          </cell>
          <cell r="AD479">
            <v>6.64</v>
          </cell>
          <cell r="AE479">
            <v>6.6470000000000002</v>
          </cell>
          <cell r="AF479">
            <v>6.657</v>
          </cell>
          <cell r="AG479">
            <v>6.6630000000000003</v>
          </cell>
          <cell r="AH479">
            <v>6.6779999999999999</v>
          </cell>
        </row>
        <row r="480">
          <cell r="A480" t="str">
            <v>IGV US</v>
          </cell>
          <cell r="B480" t="str">
            <v>IGV US</v>
          </cell>
          <cell r="C480">
            <v>0</v>
          </cell>
          <cell r="D480">
            <v>0</v>
          </cell>
          <cell r="E480">
            <v>106.18</v>
          </cell>
          <cell r="F480">
            <v>103.42</v>
          </cell>
          <cell r="G480">
            <v>106.95</v>
          </cell>
          <cell r="H480">
            <v>104.57</v>
          </cell>
          <cell r="I480">
            <v>104.57</v>
          </cell>
          <cell r="J480">
            <v>102.66</v>
          </cell>
          <cell r="K480">
            <v>101.83</v>
          </cell>
          <cell r="L480">
            <v>101.2</v>
          </cell>
          <cell r="M480">
            <v>101.52</v>
          </cell>
          <cell r="N480">
            <v>106.64</v>
          </cell>
          <cell r="O480">
            <v>105.55</v>
          </cell>
          <cell r="P480">
            <v>104.96</v>
          </cell>
          <cell r="Q480">
            <v>105.78</v>
          </cell>
          <cell r="R480">
            <v>104.35</v>
          </cell>
          <cell r="S480">
            <v>107.13</v>
          </cell>
          <cell r="T480">
            <v>106.75</v>
          </cell>
          <cell r="U480">
            <v>108.1</v>
          </cell>
          <cell r="V480">
            <v>107.15</v>
          </cell>
          <cell r="W480">
            <v>106.01</v>
          </cell>
          <cell r="X480">
            <v>105.43</v>
          </cell>
          <cell r="Y480">
            <v>105.22</v>
          </cell>
          <cell r="Z480">
            <v>106.48</v>
          </cell>
          <cell r="AA480">
            <v>108.23</v>
          </cell>
          <cell r="AB480">
            <v>108.43</v>
          </cell>
          <cell r="AC480">
            <v>109.72</v>
          </cell>
          <cell r="AD480">
            <v>111.16</v>
          </cell>
          <cell r="AE480">
            <v>109.84</v>
          </cell>
          <cell r="AF480">
            <v>109.59</v>
          </cell>
          <cell r="AG480">
            <v>112.67</v>
          </cell>
          <cell r="AH480">
            <v>110.98</v>
          </cell>
        </row>
        <row r="481">
          <cell r="A481"/>
          <cell r="B481"/>
          <cell r="C481"/>
          <cell r="D481"/>
        </row>
        <row r="482">
          <cell r="A482" t="str">
            <v>Funds</v>
          </cell>
          <cell r="B482"/>
          <cell r="C482"/>
          <cell r="D482"/>
        </row>
        <row r="483">
          <cell r="A483"/>
          <cell r="B483"/>
          <cell r="C483"/>
          <cell r="D483"/>
        </row>
        <row r="484">
          <cell r="A484" t="str">
            <v>MUHYIU1 LX</v>
          </cell>
          <cell r="B484" t="str">
            <v>MUHYIU1 LX</v>
          </cell>
          <cell r="C484">
            <v>0</v>
          </cell>
          <cell r="D484">
            <v>0</v>
          </cell>
          <cell r="E484">
            <v>300.7</v>
          </cell>
          <cell r="F484">
            <v>300.35000000000002</v>
          </cell>
          <cell r="G484">
            <v>300.36</v>
          </cell>
          <cell r="H484">
            <v>300.58</v>
          </cell>
          <cell r="I484">
            <v>300.52999999999997</v>
          </cell>
          <cell r="J484">
            <v>300.52</v>
          </cell>
          <cell r="K484">
            <v>300.38</v>
          </cell>
          <cell r="L484">
            <v>299.93</v>
          </cell>
          <cell r="M484">
            <v>298.98</v>
          </cell>
          <cell r="N484">
            <v>298.98</v>
          </cell>
          <cell r="O484">
            <v>298.39999999999998</v>
          </cell>
          <cell r="P484">
            <v>297.97000000000003</v>
          </cell>
          <cell r="Q484">
            <v>298.26</v>
          </cell>
          <cell r="R484">
            <v>298.76</v>
          </cell>
          <cell r="S484">
            <v>298.36</v>
          </cell>
          <cell r="T484">
            <v>298.77</v>
          </cell>
          <cell r="U484">
            <v>298.77999999999997</v>
          </cell>
          <cell r="V484">
            <v>297.44</v>
          </cell>
          <cell r="W484">
            <v>296.41000000000003</v>
          </cell>
          <cell r="X484">
            <v>296.41000000000003</v>
          </cell>
          <cell r="Y484">
            <v>296.27</v>
          </cell>
          <cell r="Z484">
            <v>294.33999999999997</v>
          </cell>
          <cell r="AA484">
            <v>294.14999999999998</v>
          </cell>
          <cell r="AB484">
            <v>293.37</v>
          </cell>
          <cell r="AC484">
            <v>293.81</v>
          </cell>
          <cell r="AD484">
            <v>293.64999999999998</v>
          </cell>
          <cell r="AE484">
            <v>294.91000000000003</v>
          </cell>
          <cell r="AF484">
            <v>294.60000000000002</v>
          </cell>
          <cell r="AG484">
            <v>294.2</v>
          </cell>
          <cell r="AH484">
            <v>294.52999999999997</v>
          </cell>
        </row>
        <row r="485">
          <cell r="A485" t="str">
            <v>MGCIF1U LX</v>
          </cell>
          <cell r="B485" t="str">
            <v>MGCIF1U LX</v>
          </cell>
          <cell r="C485">
            <v>0</v>
          </cell>
          <cell r="D485">
            <v>0</v>
          </cell>
          <cell r="E485">
            <v>156.76</v>
          </cell>
          <cell r="F485">
            <v>156.27000000000001</v>
          </cell>
          <cell r="G485">
            <v>156.15</v>
          </cell>
          <cell r="H485">
            <v>156.58000000000001</v>
          </cell>
          <cell r="I485">
            <v>156.55000000000001</v>
          </cell>
          <cell r="J485">
            <v>156.53</v>
          </cell>
          <cell r="K485">
            <v>156.49</v>
          </cell>
          <cell r="L485">
            <v>156.18</v>
          </cell>
          <cell r="M485">
            <v>155.26</v>
          </cell>
          <cell r="N485">
            <v>155.1</v>
          </cell>
          <cell r="O485">
            <v>154.61000000000001</v>
          </cell>
          <cell r="P485">
            <v>154.49</v>
          </cell>
          <cell r="Q485">
            <v>154.38</v>
          </cell>
          <cell r="R485">
            <v>154.97</v>
          </cell>
          <cell r="S485">
            <v>154.61000000000001</v>
          </cell>
          <cell r="T485">
            <v>154.99</v>
          </cell>
          <cell r="U485">
            <v>154.9</v>
          </cell>
          <cell r="V485">
            <v>153.54</v>
          </cell>
          <cell r="W485">
            <v>152.75</v>
          </cell>
          <cell r="X485">
            <v>152.75</v>
          </cell>
          <cell r="Y485">
            <v>152.02000000000001</v>
          </cell>
          <cell r="Z485">
            <v>151.86000000000001</v>
          </cell>
          <cell r="AA485">
            <v>151.72999999999999</v>
          </cell>
          <cell r="AB485">
            <v>151.46</v>
          </cell>
          <cell r="AC485">
            <v>151.47</v>
          </cell>
          <cell r="AD485">
            <v>151.11000000000001</v>
          </cell>
          <cell r="AE485">
            <v>151.74</v>
          </cell>
          <cell r="AF485">
            <v>151.38</v>
          </cell>
          <cell r="AG485">
            <v>151.66999999999999</v>
          </cell>
          <cell r="AH485">
            <v>151.53</v>
          </cell>
        </row>
        <row r="486">
          <cell r="A486"/>
          <cell r="B486"/>
          <cell r="C486"/>
          <cell r="D486"/>
        </row>
        <row r="487">
          <cell r="A487" t="str">
            <v>Latam</v>
          </cell>
          <cell r="B487"/>
          <cell r="C487"/>
          <cell r="D487"/>
        </row>
        <row r="488">
          <cell r="A488"/>
          <cell r="B488"/>
          <cell r="C488"/>
          <cell r="D488"/>
        </row>
        <row r="489">
          <cell r="A489" t="str">
            <v>CH27</v>
          </cell>
          <cell r="B489" t="str">
            <v>CH27ARS</v>
          </cell>
          <cell r="C489">
            <v>0</v>
          </cell>
          <cell r="D489">
            <v>0</v>
          </cell>
          <cell r="E489">
            <v>0.99503444444444444</v>
          </cell>
          <cell r="F489">
            <v>0.99511083333333328</v>
          </cell>
          <cell r="G489">
            <v>0.9953872222222222</v>
          </cell>
          <cell r="H489">
            <v>0.99564277777777777</v>
          </cell>
          <cell r="I489">
            <v>0.99564277777777777</v>
          </cell>
          <cell r="J489">
            <v>0.99605416666666668</v>
          </cell>
          <cell r="K489">
            <v>0.99633555555555564</v>
          </cell>
          <cell r="L489">
            <v>0.99595694444444449</v>
          </cell>
          <cell r="M489">
            <v>0.99624611111111105</v>
          </cell>
          <cell r="N489">
            <v>0.99640249999999997</v>
          </cell>
          <cell r="O489">
            <v>0.99646388888888893</v>
          </cell>
          <cell r="P489">
            <v>0.99644027777777777</v>
          </cell>
          <cell r="Q489">
            <v>0.99695166666666668</v>
          </cell>
          <cell r="R489">
            <v>0.99695583333333349</v>
          </cell>
          <cell r="S489">
            <v>0.99720722222222224</v>
          </cell>
          <cell r="T489">
            <v>0.99721861111111121</v>
          </cell>
          <cell r="U489">
            <v>0.99730499999999989</v>
          </cell>
          <cell r="V489">
            <v>0.99746638888888894</v>
          </cell>
          <cell r="W489">
            <v>0.99795055555555567</v>
          </cell>
          <cell r="X489">
            <v>0.99756694444444449</v>
          </cell>
          <cell r="Y489">
            <v>0.99777333333333329</v>
          </cell>
          <cell r="Z489">
            <v>0.99781472222222223</v>
          </cell>
          <cell r="AA489">
            <v>0.99828611111111099</v>
          </cell>
          <cell r="AB489">
            <v>0.99823027777777762</v>
          </cell>
          <cell r="AC489">
            <v>0.99873166666666657</v>
          </cell>
          <cell r="AD489">
            <v>0.99930305555555554</v>
          </cell>
          <cell r="AE489">
            <v>0.99940944444444435</v>
          </cell>
          <cell r="AF489">
            <v>0.99986583333333323</v>
          </cell>
          <cell r="AG489">
            <v>1.000366388888889</v>
          </cell>
          <cell r="AH489">
            <v>1.0004427777777778</v>
          </cell>
        </row>
        <row r="490">
          <cell r="A490" t="str">
            <v>CH28</v>
          </cell>
          <cell r="B490" t="str">
            <v>CH28ARS</v>
          </cell>
          <cell r="C490">
            <v>0</v>
          </cell>
          <cell r="D490">
            <v>0</v>
          </cell>
          <cell r="E490">
            <v>0.9819</v>
          </cell>
          <cell r="F490">
            <v>0.98200999999999994</v>
          </cell>
          <cell r="G490">
            <v>0.98236000000000001</v>
          </cell>
          <cell r="H490">
            <v>0.98240499999999997</v>
          </cell>
          <cell r="I490">
            <v>0.98240499999999997</v>
          </cell>
          <cell r="J490">
            <v>0.98231999999999997</v>
          </cell>
          <cell r="K490">
            <v>0.981595</v>
          </cell>
          <cell r="L490">
            <v>0.98003999999999991</v>
          </cell>
          <cell r="M490">
            <v>0.98038999999999998</v>
          </cell>
          <cell r="N490">
            <v>0.98050999999999999</v>
          </cell>
          <cell r="O490">
            <v>0.97999499999999995</v>
          </cell>
          <cell r="P490">
            <v>0.97916499999999995</v>
          </cell>
          <cell r="Q490">
            <v>0.98</v>
          </cell>
          <cell r="R490">
            <v>0.97950999999999988</v>
          </cell>
          <cell r="S490">
            <v>0.97981000000000007</v>
          </cell>
          <cell r="T490">
            <v>0.98</v>
          </cell>
          <cell r="U490">
            <v>0.97821000000000002</v>
          </cell>
          <cell r="V490">
            <v>0.97762000000000004</v>
          </cell>
          <cell r="W490">
            <v>0.97826499999999994</v>
          </cell>
          <cell r="X490">
            <v>0.97724500000000003</v>
          </cell>
          <cell r="Y490">
            <v>0.97746999999999995</v>
          </cell>
          <cell r="Z490">
            <v>0.97734500000000002</v>
          </cell>
          <cell r="AA490">
            <v>0.97829500000000014</v>
          </cell>
          <cell r="AB490">
            <v>0.97819</v>
          </cell>
          <cell r="AC490">
            <v>0.97930500000000009</v>
          </cell>
          <cell r="AD490">
            <v>0.98093000000000008</v>
          </cell>
          <cell r="AE490">
            <v>0.98110500000000012</v>
          </cell>
          <cell r="AF490">
            <v>0.9816149999999999</v>
          </cell>
          <cell r="AG490">
            <v>0.98216499999999995</v>
          </cell>
          <cell r="AH490">
            <v>0.98290499999999992</v>
          </cell>
        </row>
        <row r="491">
          <cell r="A491" t="str">
            <v>BR27</v>
          </cell>
          <cell r="B491" t="str">
            <v>BR27ARS</v>
          </cell>
          <cell r="C491">
            <v>0</v>
          </cell>
          <cell r="D491">
            <v>0</v>
          </cell>
          <cell r="E491">
            <v>1.0679687499999999</v>
          </cell>
          <cell r="F491">
            <v>1.0678749999999999</v>
          </cell>
          <cell r="G491">
            <v>1.06843625</v>
          </cell>
          <cell r="H491">
            <v>1.0694012499999999</v>
          </cell>
          <cell r="I491">
            <v>1.0695962499999998</v>
          </cell>
          <cell r="J491">
            <v>1.0684274999999999</v>
          </cell>
          <cell r="K491">
            <v>1.0672937500000002</v>
          </cell>
          <cell r="L491">
            <v>1.068025</v>
          </cell>
          <cell r="M491">
            <v>1.06795375</v>
          </cell>
          <cell r="N491">
            <v>1.0684149999999999</v>
          </cell>
          <cell r="O491">
            <v>1.06854125</v>
          </cell>
          <cell r="P491">
            <v>1.0689774999999999</v>
          </cell>
          <cell r="Q491">
            <v>1.06903875</v>
          </cell>
          <cell r="R491">
            <v>1.0697175000000001</v>
          </cell>
          <cell r="S491">
            <v>1.06889875</v>
          </cell>
          <cell r="T491">
            <v>1.06863</v>
          </cell>
          <cell r="U491">
            <v>1.0675362499999999</v>
          </cell>
          <cell r="V491">
            <v>1.0673124999999999</v>
          </cell>
          <cell r="W491">
            <v>1.07010625</v>
          </cell>
          <cell r="X491">
            <v>1.0681725</v>
          </cell>
          <cell r="Y491">
            <v>1.06712875</v>
          </cell>
          <cell r="Z491">
            <v>1.06708</v>
          </cell>
          <cell r="AA491">
            <v>1.0669912500000001</v>
          </cell>
          <cell r="AB491">
            <v>1.0673650000000001</v>
          </cell>
          <cell r="AC491">
            <v>1.07000625</v>
          </cell>
          <cell r="AD491">
            <v>1.0707775000000002</v>
          </cell>
          <cell r="AE491">
            <v>1.07073375</v>
          </cell>
          <cell r="AF491">
            <v>1.070255</v>
          </cell>
          <cell r="AG491">
            <v>1.071645</v>
          </cell>
          <cell r="AH491">
            <v>1.0717412499999999</v>
          </cell>
        </row>
        <row r="492">
          <cell r="A492" t="str">
            <v>BR28</v>
          </cell>
          <cell r="B492" t="str">
            <v>BR28ARS</v>
          </cell>
          <cell r="C492">
            <v>0</v>
          </cell>
          <cell r="D492">
            <v>0</v>
          </cell>
          <cell r="E492">
            <v>1.005315138888889</v>
          </cell>
          <cell r="F492">
            <v>1.0052736111111111</v>
          </cell>
          <cell r="G492">
            <v>1.0057070833333333</v>
          </cell>
          <cell r="H492">
            <v>1.0072759722222222</v>
          </cell>
          <cell r="I492">
            <v>1.0072709722222222</v>
          </cell>
          <cell r="J492">
            <v>1.0069794444444444</v>
          </cell>
          <cell r="K492">
            <v>1.0070579166666667</v>
          </cell>
          <cell r="L492">
            <v>1.0062963888888889</v>
          </cell>
          <cell r="M492">
            <v>1.0071368055555556</v>
          </cell>
          <cell r="N492">
            <v>1.0068552777777779</v>
          </cell>
          <cell r="O492">
            <v>1.00689875</v>
          </cell>
          <cell r="P492">
            <v>1.0063372222222222</v>
          </cell>
          <cell r="Q492">
            <v>1.0069106944444444</v>
          </cell>
          <cell r="R492">
            <v>1.0068361111111113</v>
          </cell>
          <cell r="S492">
            <v>1.0067695833333334</v>
          </cell>
          <cell r="T492">
            <v>1.0066980555555556</v>
          </cell>
          <cell r="U492">
            <v>1.0061515277777777</v>
          </cell>
          <cell r="V492">
            <v>1.0051099999999999</v>
          </cell>
          <cell r="W492">
            <v>1.0057654166666667</v>
          </cell>
          <cell r="X492">
            <v>1.004768888888889</v>
          </cell>
          <cell r="Y492">
            <v>1.0048923611111111</v>
          </cell>
          <cell r="Z492">
            <v>1.0046608333333333</v>
          </cell>
          <cell r="AA492">
            <v>1.0057343055555554</v>
          </cell>
          <cell r="AB492">
            <v>1.0061897222222222</v>
          </cell>
          <cell r="AC492">
            <v>1.0073631944444446</v>
          </cell>
          <cell r="AD492">
            <v>1.0078066666666665</v>
          </cell>
          <cell r="AE492">
            <v>1.0073451388888888</v>
          </cell>
          <cell r="AF492">
            <v>1.0077386111111111</v>
          </cell>
          <cell r="AG492">
            <v>1.0081975000000001</v>
          </cell>
          <cell r="AH492">
            <v>1.0082509722222222</v>
          </cell>
        </row>
        <row r="493">
          <cell r="A493" t="str">
            <v>CDEL27</v>
          </cell>
          <cell r="B493" t="str">
            <v>CDEL27ARS</v>
          </cell>
          <cell r="C493">
            <v>0</v>
          </cell>
          <cell r="D493">
            <v>0</v>
          </cell>
          <cell r="E493">
            <v>0.99179152777777768</v>
          </cell>
          <cell r="F493">
            <v>0.99191722222222223</v>
          </cell>
          <cell r="G493">
            <v>0.99226291666666666</v>
          </cell>
          <cell r="H493">
            <v>0.9925606944444445</v>
          </cell>
          <cell r="I493">
            <v>0.99259569444444451</v>
          </cell>
          <cell r="J493">
            <v>0.99268138888888902</v>
          </cell>
          <cell r="K493">
            <v>0.99252708333333328</v>
          </cell>
          <cell r="L493">
            <v>0.99229277777777769</v>
          </cell>
          <cell r="M493">
            <v>0.99236986111111103</v>
          </cell>
          <cell r="N493">
            <v>0.9919055555555556</v>
          </cell>
          <cell r="O493">
            <v>0.99152625000000005</v>
          </cell>
          <cell r="P493">
            <v>0.99141194444444436</v>
          </cell>
          <cell r="Q493">
            <v>0.99198263888888893</v>
          </cell>
          <cell r="R493">
            <v>0.99190972222222229</v>
          </cell>
          <cell r="S493">
            <v>0.99236041666666663</v>
          </cell>
          <cell r="T493">
            <v>0.99246611111111127</v>
          </cell>
          <cell r="U493">
            <v>0.9910668055555556</v>
          </cell>
          <cell r="V493">
            <v>0.99085250000000002</v>
          </cell>
          <cell r="W493">
            <v>0.99102958333333335</v>
          </cell>
          <cell r="X493">
            <v>0.99043527777777773</v>
          </cell>
          <cell r="Y493">
            <v>0.99049597222222219</v>
          </cell>
          <cell r="Z493">
            <v>0.99039666666666659</v>
          </cell>
          <cell r="AA493">
            <v>0.99082736111111114</v>
          </cell>
          <cell r="AB493">
            <v>0.99194944444444444</v>
          </cell>
          <cell r="AC493">
            <v>0.99240513888888904</v>
          </cell>
          <cell r="AD493">
            <v>0.99373083333333345</v>
          </cell>
          <cell r="AE493">
            <v>0.99441652777777778</v>
          </cell>
          <cell r="AF493">
            <v>0.99494722222222221</v>
          </cell>
          <cell r="AG493">
            <v>0.99535499999999999</v>
          </cell>
          <cell r="AH493">
            <v>0.99528069444444456</v>
          </cell>
        </row>
        <row r="494">
          <cell r="A494"/>
          <cell r="B494"/>
          <cell r="C494"/>
          <cell r="D494"/>
        </row>
        <row r="495">
          <cell r="A495" t="str">
            <v>Futuros</v>
          </cell>
          <cell r="B495"/>
          <cell r="C495"/>
          <cell r="D495"/>
        </row>
        <row r="496">
          <cell r="A496"/>
          <cell r="B496"/>
          <cell r="C496"/>
          <cell r="D496"/>
        </row>
        <row r="497">
          <cell r="A497" t="str">
            <v>FUTDLR102026</v>
          </cell>
          <cell r="B497" t="str">
            <v>FUTDLR102026</v>
          </cell>
          <cell r="C497">
            <v>0</v>
          </cell>
          <cell r="D497">
            <v>0</v>
          </cell>
          <cell r="W497">
            <v>1556</v>
          </cell>
          <cell r="X497">
            <v>1551.5</v>
          </cell>
          <cell r="Y497">
            <v>1548</v>
          </cell>
          <cell r="Z497">
            <v>1546.5</v>
          </cell>
          <cell r="AA497">
            <v>1548</v>
          </cell>
          <cell r="AB497">
            <v>1543.5</v>
          </cell>
          <cell r="AC497">
            <v>1540</v>
          </cell>
          <cell r="AD497">
            <v>1538</v>
          </cell>
          <cell r="AE497">
            <v>1535.5</v>
          </cell>
          <cell r="AF497">
            <v>1534</v>
          </cell>
          <cell r="AG497">
            <v>1533.5</v>
          </cell>
          <cell r="AH497">
            <v>1526</v>
          </cell>
        </row>
        <row r="498">
          <cell r="A498"/>
          <cell r="B498"/>
          <cell r="C498"/>
          <cell r="D498"/>
        </row>
        <row r="499">
          <cell r="A499" t="str">
            <v>Futuros Soja</v>
          </cell>
          <cell r="B499"/>
          <cell r="C499"/>
          <cell r="D499"/>
        </row>
        <row r="500">
          <cell r="A500"/>
          <cell r="B500"/>
          <cell r="C500"/>
          <cell r="D500"/>
        </row>
        <row r="501">
          <cell r="A501" t="str">
            <v>FUTDLRMM1126</v>
          </cell>
          <cell r="B501" t="str">
            <v>FUTDLRMM1126</v>
          </cell>
          <cell r="C501">
            <v>0</v>
          </cell>
          <cell r="D501">
            <v>0</v>
          </cell>
          <cell r="O501">
            <v>568622.39064</v>
          </cell>
          <cell r="P501">
            <v>569536.4156999999</v>
          </cell>
          <cell r="Q501">
            <v>576216.91584000003</v>
          </cell>
          <cell r="R501">
            <v>571661.94960000005</v>
          </cell>
          <cell r="S501">
            <v>577182.00540000002</v>
          </cell>
          <cell r="T501">
            <v>578075.84321999992</v>
          </cell>
          <cell r="U501">
            <v>576192.63199999998</v>
          </cell>
          <cell r="V501">
            <v>580463.0013</v>
          </cell>
          <cell r="W501">
            <v>576821.20669999998</v>
          </cell>
          <cell r="X501">
            <v>571296.22930999997</v>
          </cell>
          <cell r="Y501">
            <v>571488.63750000007</v>
          </cell>
          <cell r="Z501">
            <v>567552.81660000002</v>
          </cell>
          <cell r="AA501">
            <v>563441.07545999996</v>
          </cell>
          <cell r="AB501">
            <v>563389.80732000002</v>
          </cell>
          <cell r="AC501">
            <v>562881.42105</v>
          </cell>
          <cell r="AD501">
            <v>567680.09467999998</v>
          </cell>
          <cell r="AE501">
            <v>569051.02911999996</v>
          </cell>
          <cell r="AF501">
            <v>567135.95805000002</v>
          </cell>
          <cell r="AG501">
            <v>567241.02372000006</v>
          </cell>
          <cell r="AH501">
            <v>567232.67905999999</v>
          </cell>
        </row>
        <row r="502">
          <cell r="A502" t="str">
            <v>FUTDLRMM0527</v>
          </cell>
          <cell r="B502" t="str">
            <v>FUTDLRMM0527</v>
          </cell>
          <cell r="C502">
            <v>0</v>
          </cell>
          <cell r="D502">
            <v>0</v>
          </cell>
          <cell r="O502">
            <v>541652.75420000008</v>
          </cell>
          <cell r="P502">
            <v>543428.89055000001</v>
          </cell>
          <cell r="Q502">
            <v>549942.87407999998</v>
          </cell>
          <cell r="R502">
            <v>547464.61840000004</v>
          </cell>
          <cell r="S502">
            <v>551276.98625999992</v>
          </cell>
          <cell r="T502">
            <v>552494.58700000006</v>
          </cell>
          <cell r="U502">
            <v>550263.96355999995</v>
          </cell>
          <cell r="V502">
            <v>555403.76655000006</v>
          </cell>
          <cell r="W502">
            <v>551980.55764000001</v>
          </cell>
          <cell r="X502">
            <v>548364.88480999996</v>
          </cell>
          <cell r="Y502">
            <v>548629.09200000006</v>
          </cell>
          <cell r="Z502">
            <v>545397.01145999995</v>
          </cell>
          <cell r="AA502">
            <v>541201.98462</v>
          </cell>
          <cell r="AB502">
            <v>541000.43136000005</v>
          </cell>
          <cell r="AC502">
            <v>542067.72207999998</v>
          </cell>
          <cell r="AD502">
            <v>545027.62170000002</v>
          </cell>
          <cell r="AE502">
            <v>546240.32512000005</v>
          </cell>
          <cell r="AF502">
            <v>544814.94443999999</v>
          </cell>
          <cell r="AG502">
            <v>543896.52408</v>
          </cell>
          <cell r="AH502">
            <v>543888.52283999999</v>
          </cell>
        </row>
        <row r="503">
          <cell r="A503" t="str">
            <v>FUTARSSRO1126</v>
          </cell>
          <cell r="B503" t="str">
            <v>FUTARSSRO1126</v>
          </cell>
          <cell r="C503">
            <v>0</v>
          </cell>
          <cell r="D503">
            <v>0</v>
          </cell>
          <cell r="O503">
            <v>568622.39064</v>
          </cell>
          <cell r="P503">
            <v>569536.4156999999</v>
          </cell>
          <cell r="Q503">
            <v>576216.91584000003</v>
          </cell>
          <cell r="R503">
            <v>571661.94960000005</v>
          </cell>
          <cell r="S503">
            <v>577182.00540000002</v>
          </cell>
          <cell r="T503">
            <v>578075.84321999992</v>
          </cell>
          <cell r="U503">
            <v>576192.63199999998</v>
          </cell>
          <cell r="V503">
            <v>580463.0013</v>
          </cell>
          <cell r="W503">
            <v>576821.20669999998</v>
          </cell>
          <cell r="X503">
            <v>571296.22930999997</v>
          </cell>
          <cell r="Y503">
            <v>571488.63750000007</v>
          </cell>
          <cell r="Z503">
            <v>567552.81660000002</v>
          </cell>
          <cell r="AA503">
            <v>563441.07545999996</v>
          </cell>
          <cell r="AB503">
            <v>563389.80732000002</v>
          </cell>
          <cell r="AC503">
            <v>562881.42105</v>
          </cell>
          <cell r="AD503">
            <v>567680.09467999998</v>
          </cell>
          <cell r="AE503">
            <v>569051.02911999996</v>
          </cell>
          <cell r="AF503">
            <v>567135.95805000002</v>
          </cell>
          <cell r="AG503">
            <v>567241.02372000006</v>
          </cell>
          <cell r="AH503">
            <v>567232.67905999999</v>
          </cell>
        </row>
        <row r="504">
          <cell r="A504" t="str">
            <v>FUTARSSRO0127</v>
          </cell>
          <cell r="B504" t="str">
            <v>FUTARSSRO0127</v>
          </cell>
          <cell r="C504">
            <v>0</v>
          </cell>
          <cell r="D504">
            <v>0</v>
          </cell>
          <cell r="Z504">
            <v>574988.66900999995</v>
          </cell>
          <cell r="AA504">
            <v>570295.58976</v>
          </cell>
          <cell r="AB504">
            <v>570852.93264000001</v>
          </cell>
          <cell r="AC504">
            <v>570477.66154999996</v>
          </cell>
          <cell r="AD504">
            <v>574369.41555999999</v>
          </cell>
          <cell r="AE504">
            <v>577110.8112</v>
          </cell>
          <cell r="AF504">
            <v>574272.60866000003</v>
          </cell>
          <cell r="AG504">
            <v>574668.81906000001</v>
          </cell>
          <cell r="AH504">
            <v>574660.36513000005</v>
          </cell>
        </row>
        <row r="505">
          <cell r="A505" t="str">
            <v>FUTARSSRO0527</v>
          </cell>
          <cell r="B505" t="str">
            <v>FUTARSSRO0527</v>
          </cell>
          <cell r="C505">
            <v>0</v>
          </cell>
          <cell r="D505">
            <v>0</v>
          </cell>
          <cell r="O505">
            <v>541652.75420000008</v>
          </cell>
          <cell r="P505">
            <v>543428.89055000001</v>
          </cell>
          <cell r="Q505">
            <v>549942.87407999998</v>
          </cell>
          <cell r="R505">
            <v>547464.61840000004</v>
          </cell>
          <cell r="S505">
            <v>551276.98625999992</v>
          </cell>
          <cell r="T505">
            <v>552494.58700000006</v>
          </cell>
          <cell r="U505">
            <v>550263.96355999995</v>
          </cell>
          <cell r="V505">
            <v>555403.76655000006</v>
          </cell>
          <cell r="W505">
            <v>551980.55764000001</v>
          </cell>
          <cell r="X505">
            <v>548364.88480999996</v>
          </cell>
          <cell r="Y505">
            <v>548629.09200000006</v>
          </cell>
          <cell r="Z505">
            <v>545397.01145999995</v>
          </cell>
          <cell r="AA505">
            <v>541201.98462</v>
          </cell>
          <cell r="AB505">
            <v>541000.43136000005</v>
          </cell>
          <cell r="AC505">
            <v>542067.72207999998</v>
          </cell>
          <cell r="AD505">
            <v>545027.62170000002</v>
          </cell>
          <cell r="AE505">
            <v>546240.32512000005</v>
          </cell>
          <cell r="AF505">
            <v>544814.94443999999</v>
          </cell>
          <cell r="AG505">
            <v>543896.52408</v>
          </cell>
          <cell r="AH505">
            <v>543888.52283999999</v>
          </cell>
        </row>
        <row r="506">
          <cell r="A506"/>
          <cell r="B506"/>
          <cell r="C506"/>
          <cell r="D506"/>
        </row>
        <row r="507">
          <cell r="A507" t="str">
            <v>Treasury</v>
          </cell>
          <cell r="B507"/>
          <cell r="C507"/>
          <cell r="D507"/>
        </row>
        <row r="508">
          <cell r="A508"/>
          <cell r="B508"/>
          <cell r="C508"/>
          <cell r="D508"/>
        </row>
        <row r="509">
          <cell r="A509" t="str">
            <v>US13102026</v>
          </cell>
          <cell r="B509" t="str">
            <v>US13102026</v>
          </cell>
          <cell r="C509">
            <v>0</v>
          </cell>
          <cell r="D509">
            <v>0</v>
          </cell>
          <cell r="E509">
            <v>0.99584343680161191</v>
          </cell>
          <cell r="F509">
            <v>0.99596386326578579</v>
          </cell>
          <cell r="G509">
            <v>0.99610497302433099</v>
          </cell>
          <cell r="H509">
            <v>0.99619217141972705</v>
          </cell>
          <cell r="I509">
            <v>0.99649659099881283</v>
          </cell>
          <cell r="J509">
            <v>0.99658913137695404</v>
          </cell>
          <cell r="K509">
            <v>0.99667905991112093</v>
          </cell>
          <cell r="L509">
            <v>0.9967374734403599</v>
          </cell>
          <cell r="M509">
            <v>0.99680897686947645</v>
          </cell>
          <cell r="N509">
            <v>0.9970989719565394</v>
          </cell>
          <cell r="O509">
            <v>0.99721310356596304</v>
          </cell>
          <cell r="P509">
            <v>0.99730392954196911</v>
          </cell>
          <cell r="Q509">
            <v>0.99742105173267748</v>
          </cell>
          <cell r="R509">
            <v>0.9975236270986666</v>
          </cell>
          <cell r="S509">
            <v>0.9978315862090501</v>
          </cell>
          <cell r="T509">
            <v>0.9979367589157585</v>
          </cell>
          <cell r="U509">
            <v>0.99803525958495154</v>
          </cell>
          <cell r="V509">
            <v>0.99812496346247359</v>
          </cell>
          <cell r="W509">
            <v>0.99822393536046572</v>
          </cell>
          <cell r="X509">
            <v>0.99852535040566204</v>
          </cell>
          <cell r="Y509">
            <v>0.99863668308817544</v>
          </cell>
          <cell r="Z509">
            <v>0.99875854039796053</v>
          </cell>
          <cell r="AA509">
            <v>0.99886440337457016</v>
          </cell>
          <cell r="AB509">
            <v>0.99897062235404499</v>
          </cell>
          <cell r="AC509">
            <v>0.99927863854620635</v>
          </cell>
          <cell r="AD509">
            <v>0.99937913092337005</v>
          </cell>
          <cell r="AE509">
            <v>0.99948344504911213</v>
          </cell>
          <cell r="AF509">
            <v>0.99958546506116341</v>
          </cell>
          <cell r="AG509">
            <v>1</v>
          </cell>
          <cell r="AH509">
            <v>1</v>
          </cell>
        </row>
        <row r="510">
          <cell r="A510" t="str">
            <v>US27102026</v>
          </cell>
          <cell r="B510" t="str">
            <v>US27102026</v>
          </cell>
          <cell r="C510">
            <v>0</v>
          </cell>
          <cell r="D510">
            <v>0</v>
          </cell>
          <cell r="E510">
            <v>0.99438955875706925</v>
          </cell>
          <cell r="F510">
            <v>0.99449451650164211</v>
          </cell>
          <cell r="G510">
            <v>0.99463786367635687</v>
          </cell>
          <cell r="H510">
            <v>0.9947425919039139</v>
          </cell>
          <cell r="I510">
            <v>0.9950491859355397</v>
          </cell>
          <cell r="J510">
            <v>0.99512069150909599</v>
          </cell>
          <cell r="K510">
            <v>0.99521726665857158</v>
          </cell>
          <cell r="L510">
            <v>0.99527610330677996</v>
          </cell>
          <cell r="M510">
            <v>0.99532946421046797</v>
          </cell>
          <cell r="N510">
            <v>0.99561940011481642</v>
          </cell>
          <cell r="O510">
            <v>0.99572024706607343</v>
          </cell>
          <cell r="P510">
            <v>0.99584484420839547</v>
          </cell>
          <cell r="Q510">
            <v>0.9959451226706425</v>
          </cell>
          <cell r="R510">
            <v>0.99605642975683695</v>
          </cell>
          <cell r="S510">
            <v>0.99636663305726381</v>
          </cell>
          <cell r="T510">
            <v>0.99647026208680334</v>
          </cell>
          <cell r="U510">
            <v>0.99657318345138413</v>
          </cell>
          <cell r="V510">
            <v>0.99665125179397218</v>
          </cell>
          <cell r="W510">
            <v>0.99671767489065055</v>
          </cell>
          <cell r="X510">
            <v>0.99703506356521943</v>
          </cell>
          <cell r="Y510">
            <v>0.99715080140231305</v>
          </cell>
          <cell r="Z510">
            <v>0.99728161251289082</v>
          </cell>
          <cell r="AA510">
            <v>0.99740721943840094</v>
          </cell>
          <cell r="AB510">
            <v>0.99748607274418333</v>
          </cell>
          <cell r="AC510">
            <v>0.99781159414426202</v>
          </cell>
          <cell r="AD510">
            <v>0.99791847875447959</v>
          </cell>
          <cell r="AE510">
            <v>0.99800881655753604</v>
          </cell>
          <cell r="AF510">
            <v>0.99811120716617363</v>
          </cell>
          <cell r="AG510">
            <v>0.99822003693168004</v>
          </cell>
          <cell r="AH510">
            <v>0.99864495917499729</v>
          </cell>
        </row>
        <row r="511">
          <cell r="A511" t="str">
            <v>US03112026</v>
          </cell>
          <cell r="B511" t="str">
            <v>US03112026</v>
          </cell>
          <cell r="C511">
            <v>0</v>
          </cell>
          <cell r="D511">
            <v>0</v>
          </cell>
          <cell r="K511">
            <v>0.99448632261163561</v>
          </cell>
          <cell r="L511">
            <v>0.99455239782414162</v>
          </cell>
          <cell r="M511">
            <v>0.99456711311085877</v>
          </cell>
          <cell r="N511">
            <v>0.99487057270806611</v>
          </cell>
          <cell r="O511">
            <v>0.99498787804905175</v>
          </cell>
          <cell r="P511">
            <v>0.99509076469592772</v>
          </cell>
          <cell r="Q511">
            <v>0.99521743218709746</v>
          </cell>
          <cell r="R511">
            <v>0.99531322002560385</v>
          </cell>
          <cell r="S511">
            <v>0.99561198610341695</v>
          </cell>
          <cell r="T511">
            <v>0.9957116717002984</v>
          </cell>
          <cell r="U511">
            <v>0.99580180870347157</v>
          </cell>
          <cell r="V511">
            <v>0.99589891555066401</v>
          </cell>
          <cell r="W511">
            <v>0.99592960568723943</v>
          </cell>
          <cell r="X511">
            <v>0.99625821790203406</v>
          </cell>
          <cell r="Y511">
            <v>0.99639636466123982</v>
          </cell>
          <cell r="Z511">
            <v>0.99651141012526512</v>
          </cell>
          <cell r="AA511">
            <v>0.99664019211684141</v>
          </cell>
          <cell r="AB511">
            <v>0.99673657522131986</v>
          </cell>
          <cell r="AC511">
            <v>0.99704467217952419</v>
          </cell>
          <cell r="AD511">
            <v>0.99715028654083315</v>
          </cell>
          <cell r="AE511">
            <v>0.99725398328923642</v>
          </cell>
          <cell r="AF511">
            <v>0.99734971391433336</v>
          </cell>
          <cell r="AG511">
            <v>0.99745283884478586</v>
          </cell>
          <cell r="AH511">
            <v>0.99787417260511158</v>
          </cell>
        </row>
        <row r="512">
          <cell r="A512" t="str">
            <v>US19112026</v>
          </cell>
          <cell r="B512" t="str">
            <v>US19112026</v>
          </cell>
          <cell r="C512">
            <v>0</v>
          </cell>
          <cell r="D512">
            <v>0</v>
          </cell>
          <cell r="Q512">
            <v>0.99347426223920821</v>
          </cell>
          <cell r="R512">
            <v>0.99356349695403234</v>
          </cell>
          <cell r="S512">
            <v>0.99386853366259409</v>
          </cell>
          <cell r="T512">
            <v>0.99399428652084099</v>
          </cell>
          <cell r="U512">
            <v>0.99405384767360694</v>
          </cell>
          <cell r="V512">
            <v>0.99410073388873876</v>
          </cell>
          <cell r="W512">
            <v>0.99418689931431836</v>
          </cell>
          <cell r="X512">
            <v>0.99448955788143922</v>
          </cell>
          <cell r="Y512">
            <v>0.99461382551367028</v>
          </cell>
          <cell r="Z512">
            <v>0.99473692053671936</v>
          </cell>
          <cell r="AA512">
            <v>0.99488412592762443</v>
          </cell>
          <cell r="AB512">
            <v>0.99500164603258601</v>
          </cell>
          <cell r="AC512">
            <v>0.99529805926476933</v>
          </cell>
          <cell r="AD512">
            <v>0.9953910069318701</v>
          </cell>
          <cell r="AE512">
            <v>0.99548425432463727</v>
          </cell>
          <cell r="AF512">
            <v>0.99558194555074508</v>
          </cell>
          <cell r="AG512">
            <v>0.99569640916411706</v>
          </cell>
          <cell r="AH512">
            <v>0.99613488747114487</v>
          </cell>
        </row>
        <row r="513">
          <cell r="A513" t="str">
            <v>US01122026</v>
          </cell>
          <cell r="B513" t="str">
            <v>US01122026</v>
          </cell>
          <cell r="C513">
            <v>0</v>
          </cell>
          <cell r="D513">
            <v>0</v>
          </cell>
          <cell r="Z513">
            <v>0.99339128890606443</v>
          </cell>
          <cell r="AA513">
            <v>0.99355019875631478</v>
          </cell>
          <cell r="AB513">
            <v>0.9936594075953975</v>
          </cell>
          <cell r="AC513">
            <v>0.99396410531466339</v>
          </cell>
          <cell r="AD513">
            <v>0.99407095231806586</v>
          </cell>
          <cell r="AE513">
            <v>0.99416394170869815</v>
          </cell>
          <cell r="AF513">
            <v>0.9942856090587755</v>
          </cell>
          <cell r="AG513">
            <v>0.99440014862495318</v>
          </cell>
          <cell r="AH513">
            <v>0.99483557684655111</v>
          </cell>
        </row>
        <row r="514">
          <cell r="A514" t="str">
            <v>US10122026</v>
          </cell>
          <cell r="B514" t="str">
            <v>US10122026</v>
          </cell>
          <cell r="C514">
            <v>0</v>
          </cell>
          <cell r="D514">
            <v>0</v>
          </cell>
          <cell r="AH514">
            <v>0.993862536688776</v>
          </cell>
        </row>
        <row r="515">
          <cell r="A515"/>
          <cell r="B515"/>
          <cell r="C515"/>
          <cell r="D515"/>
        </row>
        <row r="516">
          <cell r="A516" t="str">
            <v>Pagarés $</v>
          </cell>
          <cell r="B516"/>
          <cell r="C516"/>
          <cell r="D516"/>
        </row>
        <row r="517">
          <cell r="A517"/>
          <cell r="B517"/>
          <cell r="C517"/>
          <cell r="D517"/>
        </row>
        <row r="518">
          <cell r="A518" t="str">
            <v>#MAV150270009</v>
          </cell>
          <cell r="B518" t="str">
            <v>#MAV150270009</v>
          </cell>
          <cell r="C518"/>
          <cell r="D518"/>
          <cell r="E518">
            <v>0.88285804126454304</v>
          </cell>
          <cell r="F518">
            <v>0.88347775572445175</v>
          </cell>
          <cell r="G518">
            <v>0.88409834080174399</v>
          </cell>
          <cell r="H518">
            <v>0.88596533812320988</v>
          </cell>
          <cell r="I518">
            <v>0.88658942408122621</v>
          </cell>
          <cell r="J518">
            <v>0.88721438988818668</v>
          </cell>
          <cell r="K518">
            <v>0.88784023740604712</v>
          </cell>
          <cell r="L518">
            <v>0.89035248201000117</v>
          </cell>
          <cell r="M518">
            <v>0.89035248201000117</v>
          </cell>
          <cell r="N518">
            <v>0.89098276619635797</v>
          </cell>
          <cell r="O518">
            <v>0.89161394337640765</v>
          </cell>
          <cell r="P518">
            <v>0.89224601544930082</v>
          </cell>
          <cell r="Q518">
            <v>0.89287898431957724</v>
          </cell>
          <cell r="R518">
            <v>0.89478329084134145</v>
          </cell>
          <cell r="S518">
            <v>0.89541986605500079</v>
          </cell>
          <cell r="T518">
            <v>0.8960573476702508</v>
          </cell>
          <cell r="U518">
            <v>0.89669573762437049</v>
          </cell>
          <cell r="V518">
            <v>0.89733503786016322</v>
          </cell>
          <cell r="W518">
            <v>0.89925841976890297</v>
          </cell>
          <cell r="X518">
            <v>0.89990138067061143</v>
          </cell>
          <cell r="Y518">
            <v>0.90054526165157534</v>
          </cell>
          <cell r="Z518">
            <v>0.90119006468816354</v>
          </cell>
          <cell r="AA518">
            <v>0.90183579176240958</v>
          </cell>
          <cell r="AB518">
            <v>0.90377853711682266</v>
          </cell>
          <cell r="AC518">
            <v>0.90442798027603644</v>
          </cell>
          <cell r="AD518">
            <v>0.90507835746875631</v>
          </cell>
          <cell r="AE518">
            <v>0.90572967071143207</v>
          </cell>
          <cell r="AF518">
            <v>0.90638192202632228</v>
          </cell>
          <cell r="AG518">
            <v>0.90900034865766799</v>
          </cell>
          <cell r="AH518">
            <v>0.90965732087227413</v>
          </cell>
        </row>
        <row r="519">
          <cell r="A519" t="str">
            <v>#MAV150270010</v>
          </cell>
          <cell r="B519" t="str">
            <v>#MAV150270010</v>
          </cell>
          <cell r="C519"/>
          <cell r="D519"/>
          <cell r="E519">
            <v>0.88285804126454304</v>
          </cell>
          <cell r="F519">
            <v>0.88347775572445175</v>
          </cell>
          <cell r="G519">
            <v>0.88409834080174399</v>
          </cell>
          <cell r="H519">
            <v>0.88596533812320988</v>
          </cell>
          <cell r="I519">
            <v>0.88658942408122621</v>
          </cell>
          <cell r="J519">
            <v>0.88721438988818668</v>
          </cell>
          <cell r="K519">
            <v>0.88784023740604712</v>
          </cell>
          <cell r="L519">
            <v>0.89035248201000117</v>
          </cell>
          <cell r="M519">
            <v>0.89035248201000117</v>
          </cell>
          <cell r="N519">
            <v>0.89098276619635797</v>
          </cell>
          <cell r="O519">
            <v>0.89161394337640765</v>
          </cell>
          <cell r="P519">
            <v>0.89224601544930082</v>
          </cell>
          <cell r="Q519">
            <v>0.89287898431957724</v>
          </cell>
          <cell r="R519">
            <v>0.89478329084134145</v>
          </cell>
          <cell r="S519">
            <v>0.89541986605500079</v>
          </cell>
          <cell r="T519">
            <v>0.8960573476702508</v>
          </cell>
          <cell r="U519">
            <v>0.89669573762437049</v>
          </cell>
          <cell r="V519">
            <v>0.89733503786016322</v>
          </cell>
          <cell r="W519">
            <v>0.89925841976890297</v>
          </cell>
          <cell r="X519">
            <v>0.89990138067061143</v>
          </cell>
          <cell r="Y519">
            <v>0.90054526165157534</v>
          </cell>
          <cell r="Z519">
            <v>0.90119006468816354</v>
          </cell>
          <cell r="AA519">
            <v>0.90183579176240958</v>
          </cell>
          <cell r="AB519">
            <v>0.90377853711682266</v>
          </cell>
          <cell r="AC519">
            <v>0.90442798027603644</v>
          </cell>
          <cell r="AD519">
            <v>0.90507835746875631</v>
          </cell>
          <cell r="AE519">
            <v>0.90572967071143207</v>
          </cell>
          <cell r="AF519">
            <v>0.90638192202632228</v>
          </cell>
          <cell r="AG519">
            <v>0.90900034865766799</v>
          </cell>
          <cell r="AH519">
            <v>0.90965732087227413</v>
          </cell>
        </row>
        <row r="520">
          <cell r="A520" t="str">
            <v>#MAV101260047</v>
          </cell>
          <cell r="B520" t="str">
            <v>#MAV101260047</v>
          </cell>
          <cell r="C520"/>
          <cell r="D520"/>
          <cell r="AF520">
            <v>0.95570878898604539</v>
          </cell>
          <cell r="AG520">
            <v>0.95840395545128343</v>
          </cell>
          <cell r="AH520">
            <v>0.95908012391840725</v>
          </cell>
        </row>
        <row r="521">
          <cell r="A521"/>
          <cell r="B521"/>
          <cell r="C521"/>
          <cell r="D521"/>
        </row>
        <row r="522">
          <cell r="A522" t="str">
            <v>Pagarés USD</v>
          </cell>
          <cell r="B522"/>
          <cell r="C522"/>
          <cell r="D522"/>
        </row>
        <row r="523">
          <cell r="A523"/>
          <cell r="B523"/>
          <cell r="C523"/>
          <cell r="D523"/>
        </row>
        <row r="524">
          <cell r="A524" t="str">
            <v>#UMV130170010</v>
          </cell>
          <cell r="B524" t="str">
            <v>#UMV130170010</v>
          </cell>
          <cell r="C524"/>
          <cell r="D524"/>
          <cell r="E524">
            <v>1470.048645158714</v>
          </cell>
          <cell r="F524">
            <v>1469.2869575174625</v>
          </cell>
          <cell r="G524">
            <v>1466.2697591229503</v>
          </cell>
          <cell r="H524">
            <v>1466.3762276622112</v>
          </cell>
          <cell r="I524">
            <v>1470.3605583716426</v>
          </cell>
          <cell r="J524">
            <v>1469.6473211428936</v>
          </cell>
          <cell r="K524">
            <v>1474.8275059704856</v>
          </cell>
          <cell r="L524">
            <v>1473.0772251134331</v>
          </cell>
          <cell r="M524">
            <v>1470.9945563324172</v>
          </cell>
          <cell r="N524">
            <v>1471.7063447568858</v>
          </cell>
          <cell r="O524">
            <v>1468.4692034814559</v>
          </cell>
          <cell r="P524">
            <v>1471.138046845788</v>
          </cell>
          <cell r="Q524">
            <v>1472.3210651236907</v>
          </cell>
          <cell r="R524">
            <v>1475.5219590169631</v>
          </cell>
          <cell r="S524">
            <v>1478.3495625321668</v>
          </cell>
          <cell r="T524">
            <v>1477.4597257914847</v>
          </cell>
          <cell r="U524">
            <v>1480.3205548445251</v>
          </cell>
          <cell r="V524">
            <v>1483.0190252867903</v>
          </cell>
          <cell r="W524">
            <v>1489.058985722374</v>
          </cell>
          <cell r="X524">
            <v>1494.0533297811385</v>
          </cell>
          <cell r="Y524">
            <v>1488.7406115969625</v>
          </cell>
          <cell r="Z524">
            <v>1483.6966806046271</v>
          </cell>
          <cell r="AA524">
            <v>1489.5872549347944</v>
          </cell>
          <cell r="AB524">
            <v>1490.3920891565037</v>
          </cell>
          <cell r="AC524">
            <v>1486.9487220740707</v>
          </cell>
          <cell r="AD524">
            <v>1488.2917339412631</v>
          </cell>
          <cell r="AE524">
            <v>1489.0099269928094</v>
          </cell>
          <cell r="AF524">
            <v>1487.0932630878499</v>
          </cell>
          <cell r="AG524">
            <v>1485.8382427580502</v>
          </cell>
          <cell r="AH524">
            <v>1486.1296707901279</v>
          </cell>
        </row>
        <row r="525">
          <cell r="A525" t="str">
            <v>#UMV130170012</v>
          </cell>
          <cell r="B525" t="str">
            <v>#UMV130170012</v>
          </cell>
          <cell r="C525"/>
          <cell r="D525"/>
          <cell r="E525">
            <v>1470.048645158714</v>
          </cell>
          <cell r="F525">
            <v>1469.2869575174625</v>
          </cell>
          <cell r="G525">
            <v>1466.2697591229503</v>
          </cell>
          <cell r="H525">
            <v>1466.3762276622112</v>
          </cell>
          <cell r="I525">
            <v>1470.3605583716426</v>
          </cell>
          <cell r="J525">
            <v>1469.6473211428936</v>
          </cell>
          <cell r="K525">
            <v>1474.8275059704856</v>
          </cell>
          <cell r="L525">
            <v>1473.0772251134331</v>
          </cell>
          <cell r="M525">
            <v>1470.9945563324172</v>
          </cell>
          <cell r="N525">
            <v>1471.7063447568858</v>
          </cell>
          <cell r="O525">
            <v>1468.4692034814559</v>
          </cell>
          <cell r="P525">
            <v>1471.138046845788</v>
          </cell>
          <cell r="Q525">
            <v>1472.3210651236907</v>
          </cell>
          <cell r="R525">
            <v>1475.5219590169631</v>
          </cell>
          <cell r="S525">
            <v>1478.3495625321668</v>
          </cell>
          <cell r="T525">
            <v>1477.4597257914847</v>
          </cell>
          <cell r="U525">
            <v>1480.3205548445251</v>
          </cell>
          <cell r="V525">
            <v>1483.0190252867903</v>
          </cell>
          <cell r="W525">
            <v>1489.058985722374</v>
          </cell>
          <cell r="X525">
            <v>1494.0533297811385</v>
          </cell>
          <cell r="Y525">
            <v>1488.7406115969625</v>
          </cell>
          <cell r="Z525">
            <v>1483.6966806046271</v>
          </cell>
          <cell r="AA525">
            <v>1489.5872549347944</v>
          </cell>
          <cell r="AB525">
            <v>1490.3920891565037</v>
          </cell>
          <cell r="AC525">
            <v>1486.9487220740707</v>
          </cell>
          <cell r="AD525">
            <v>1488.2917339412631</v>
          </cell>
          <cell r="AE525">
            <v>1489.0099269928094</v>
          </cell>
          <cell r="AF525">
            <v>1487.0932630878499</v>
          </cell>
          <cell r="AG525">
            <v>1485.8382427580502</v>
          </cell>
          <cell r="AH525">
            <v>1486.1296707901279</v>
          </cell>
        </row>
        <row r="526">
          <cell r="A526" t="str">
            <v>#UMV150270056</v>
          </cell>
          <cell r="B526" t="str">
            <v>#UMV150270056</v>
          </cell>
          <cell r="C526"/>
          <cell r="D526"/>
          <cell r="E526">
            <v>1460.5854969565985</v>
          </cell>
          <cell r="F526">
            <v>1459.8267480701941</v>
          </cell>
          <cell r="G526">
            <v>1456.8270150896858</v>
          </cell>
          <cell r="H526">
            <v>1456.926908935397</v>
          </cell>
          <cell r="I526">
            <v>1460.8835946604513</v>
          </cell>
          <cell r="J526">
            <v>1460.1729846363332</v>
          </cell>
          <cell r="K526">
            <v>1465.3177968908567</v>
          </cell>
          <cell r="L526">
            <v>1463.5768257825823</v>
          </cell>
          <cell r="M526">
            <v>1461.501664063391</v>
          </cell>
          <cell r="N526">
            <v>1462.2068815059529</v>
          </cell>
          <cell r="O526">
            <v>1458.988661084758</v>
          </cell>
          <cell r="P526">
            <v>1461.6382957833748</v>
          </cell>
          <cell r="Q526">
            <v>1462.8116939818194</v>
          </cell>
          <cell r="R526">
            <v>1465.9859536648878</v>
          </cell>
          <cell r="S526">
            <v>1468.7932906728715</v>
          </cell>
          <cell r="T526">
            <v>1467.9072140707924</v>
          </cell>
          <cell r="U526">
            <v>1470.7475498533101</v>
          </cell>
          <cell r="V526">
            <v>1473.4265686403501</v>
          </cell>
          <cell r="W526">
            <v>1479.4214287614034</v>
          </cell>
          <cell r="X526">
            <v>1484.3814288735512</v>
          </cell>
          <cell r="Y526">
            <v>1479.1010901118316</v>
          </cell>
          <cell r="Z526">
            <v>1474.0878113236167</v>
          </cell>
          <cell r="AA526">
            <v>1479.9382207008166</v>
          </cell>
          <cell r="AB526">
            <v>1480.7317857290304</v>
          </cell>
          <cell r="AC526">
            <v>1477.3087219803815</v>
          </cell>
          <cell r="AD526">
            <v>1478.6410087307329</v>
          </cell>
          <cell r="AE526">
            <v>1479.3525246198744</v>
          </cell>
          <cell r="AF526">
            <v>1477.4462734570873</v>
          </cell>
          <cell r="AG526">
            <v>1476.1913196598298</v>
          </cell>
          <cell r="AH526">
            <v>1476.4788343198109</v>
          </cell>
        </row>
        <row r="527">
          <cell r="A527" t="str">
            <v>#UMV150270055</v>
          </cell>
          <cell r="B527" t="str">
            <v>#UMV150270055</v>
          </cell>
          <cell r="C527"/>
          <cell r="D527"/>
          <cell r="E527">
            <v>1460.5854969565985</v>
          </cell>
          <cell r="F527">
            <v>1459.8267480701941</v>
          </cell>
          <cell r="G527">
            <v>1456.8270150896858</v>
          </cell>
          <cell r="H527">
            <v>1456.926908935397</v>
          </cell>
          <cell r="I527">
            <v>1460.8835946604513</v>
          </cell>
          <cell r="J527">
            <v>1460.1729846363332</v>
          </cell>
          <cell r="K527">
            <v>1465.3177968908567</v>
          </cell>
          <cell r="L527">
            <v>1463.5768257825823</v>
          </cell>
          <cell r="M527">
            <v>1461.501664063391</v>
          </cell>
          <cell r="N527">
            <v>1462.2068815059529</v>
          </cell>
          <cell r="O527">
            <v>1458.988661084758</v>
          </cell>
          <cell r="P527">
            <v>1461.6382957833748</v>
          </cell>
          <cell r="Q527">
            <v>1462.8116939818194</v>
          </cell>
          <cell r="R527">
            <v>1465.9859536648878</v>
          </cell>
          <cell r="S527">
            <v>1468.7932906728715</v>
          </cell>
          <cell r="T527">
            <v>1467.9072140707924</v>
          </cell>
          <cell r="U527">
            <v>1470.7475498533101</v>
          </cell>
          <cell r="V527">
            <v>1473.4265686403501</v>
          </cell>
          <cell r="W527">
            <v>1479.4214287614034</v>
          </cell>
          <cell r="X527">
            <v>1484.3814288735512</v>
          </cell>
          <cell r="Y527">
            <v>1479.1010901118316</v>
          </cell>
          <cell r="Z527">
            <v>1474.0878113236167</v>
          </cell>
          <cell r="AA527">
            <v>1479.9382207008166</v>
          </cell>
          <cell r="AB527">
            <v>1480.7317857290304</v>
          </cell>
          <cell r="AC527">
            <v>1477.3087219803815</v>
          </cell>
          <cell r="AD527">
            <v>1478.6410087307329</v>
          </cell>
          <cell r="AE527">
            <v>1479.3525246198744</v>
          </cell>
          <cell r="AF527">
            <v>1477.4462734570873</v>
          </cell>
          <cell r="AG527">
            <v>1476.1913196598298</v>
          </cell>
          <cell r="AH527">
            <v>1476.4788343198109</v>
          </cell>
        </row>
        <row r="528">
          <cell r="A528" t="str">
            <v>#UMV150370062</v>
          </cell>
          <cell r="B528" t="str">
            <v>#UMV150370062</v>
          </cell>
          <cell r="C528"/>
          <cell r="D528"/>
          <cell r="E528">
            <v>1452.1422511170899</v>
          </cell>
          <cell r="F528">
            <v>1451.3861457501698</v>
          </cell>
          <cell r="G528">
            <v>1448.4020172493633</v>
          </cell>
          <cell r="H528">
            <v>1448.496109510276</v>
          </cell>
          <cell r="I528">
            <v>1452.4281516123426</v>
          </cell>
          <cell r="J528">
            <v>1451.7199071848759</v>
          </cell>
          <cell r="K528">
            <v>1456.8331814194378</v>
          </cell>
          <cell r="L528">
            <v>1455.1005381762611</v>
          </cell>
          <cell r="M528">
            <v>1453.0321392507519</v>
          </cell>
          <cell r="N528">
            <v>1453.7315157756223</v>
          </cell>
          <cell r="O528">
            <v>1450.5301980850895</v>
          </cell>
          <cell r="P528">
            <v>1453.1627166757023</v>
          </cell>
          <cell r="Q528">
            <v>1454.3275536779668</v>
          </cell>
          <cell r="R528">
            <v>1457.4781161094425</v>
          </cell>
          <cell r="S528">
            <v>1460.2673936180045</v>
          </cell>
          <cell r="T528">
            <v>1459.3846936120585</v>
          </cell>
          <cell r="U528">
            <v>1462.2067677317425</v>
          </cell>
          <cell r="V528">
            <v>1464.8684542582582</v>
          </cell>
          <cell r="W528">
            <v>1470.8231435159232</v>
          </cell>
          <cell r="X528">
            <v>1475.7525253927765</v>
          </cell>
          <cell r="Y528">
            <v>1470.5010964709243</v>
          </cell>
          <cell r="Z528">
            <v>1465.5151864321574</v>
          </cell>
          <cell r="AA528">
            <v>1471.3297845313516</v>
          </cell>
          <cell r="AB528">
            <v>1472.1133623822782</v>
          </cell>
          <cell r="AC528">
            <v>1468.7084344210193</v>
          </cell>
          <cell r="AD528">
            <v>1470.031175037717</v>
          </cell>
          <cell r="AE528">
            <v>1470.7367561996064</v>
          </cell>
          <cell r="AF528">
            <v>1468.8398169215093</v>
          </cell>
          <cell r="AG528">
            <v>1467.5850115580338</v>
          </cell>
          <cell r="AH528">
            <v>1467.8690572835419</v>
          </cell>
        </row>
        <row r="529">
          <cell r="A529" t="str">
            <v>#UMV150370061</v>
          </cell>
          <cell r="B529" t="str">
            <v>#UMV150370061</v>
          </cell>
          <cell r="C529"/>
          <cell r="D529"/>
          <cell r="E529">
            <v>1452.1422511170899</v>
          </cell>
          <cell r="F529">
            <v>1451.3861457501698</v>
          </cell>
          <cell r="G529">
            <v>1448.4020172493633</v>
          </cell>
          <cell r="H529">
            <v>1448.496109510276</v>
          </cell>
          <cell r="I529">
            <v>1452.4281516123426</v>
          </cell>
          <cell r="J529">
            <v>1451.7199071848759</v>
          </cell>
          <cell r="K529">
            <v>1456.8331814194378</v>
          </cell>
          <cell r="L529">
            <v>1455.1005381762611</v>
          </cell>
          <cell r="M529">
            <v>1453.0321392507519</v>
          </cell>
          <cell r="N529">
            <v>1453.7315157756223</v>
          </cell>
          <cell r="O529">
            <v>1450.5301980850895</v>
          </cell>
          <cell r="P529">
            <v>1453.1627166757023</v>
          </cell>
          <cell r="Q529">
            <v>1454.3275536779668</v>
          </cell>
          <cell r="R529">
            <v>1457.4781161094425</v>
          </cell>
          <cell r="S529">
            <v>1460.2673936180045</v>
          </cell>
          <cell r="T529">
            <v>1459.3846936120585</v>
          </cell>
          <cell r="U529">
            <v>1462.2067677317425</v>
          </cell>
          <cell r="V529">
            <v>1464.8684542582582</v>
          </cell>
          <cell r="W529">
            <v>1470.8231435159232</v>
          </cell>
          <cell r="X529">
            <v>1475.7525253927765</v>
          </cell>
          <cell r="Y529">
            <v>1470.5010964709243</v>
          </cell>
          <cell r="Z529">
            <v>1465.5151864321574</v>
          </cell>
          <cell r="AA529">
            <v>1471.3297845313516</v>
          </cell>
          <cell r="AB529">
            <v>1472.1133623822782</v>
          </cell>
          <cell r="AC529">
            <v>1468.7084344210193</v>
          </cell>
          <cell r="AD529">
            <v>1470.031175037717</v>
          </cell>
          <cell r="AE529">
            <v>1470.7367561996064</v>
          </cell>
          <cell r="AF529">
            <v>1468.8398169215093</v>
          </cell>
          <cell r="AG529">
            <v>1467.5850115580338</v>
          </cell>
          <cell r="AH529">
            <v>1467.8690572835419</v>
          </cell>
        </row>
        <row r="530">
          <cell r="A530" t="str">
            <v>#UMV150170072</v>
          </cell>
          <cell r="B530" t="str">
            <v>#UMV150170072</v>
          </cell>
          <cell r="C530"/>
          <cell r="D530"/>
          <cell r="E530">
            <v>1468.8207091296752</v>
          </cell>
          <cell r="F530">
            <v>1468.0594013830612</v>
          </cell>
          <cell r="G530">
            <v>1465.0444678639908</v>
          </cell>
          <cell r="H530">
            <v>1465.1500789573895</v>
          </cell>
          <cell r="I530">
            <v>1469.1308209956039</v>
          </cell>
          <cell r="J530">
            <v>1468.4179232314407</v>
          </cell>
          <cell r="K530">
            <v>1473.5935166347574</v>
          </cell>
          <cell r="L530">
            <v>1471.8444423715034</v>
          </cell>
          <cell r="M530">
            <v>1469.7627433697942</v>
          </cell>
          <cell r="N530">
            <v>1470.4736776823131</v>
          </cell>
          <cell r="O530">
            <v>1467.2389901617476</v>
          </cell>
          <cell r="P530">
            <v>1469.9053395208334</v>
          </cell>
          <cell r="Q530">
            <v>1471.0871080232373</v>
          </cell>
          <cell r="R530">
            <v>1474.2845414240694</v>
          </cell>
          <cell r="S530">
            <v>1477.1095136392839</v>
          </cell>
          <cell r="T530">
            <v>1476.2201633610589</v>
          </cell>
          <cell r="U530">
            <v>1479.078331678624</v>
          </cell>
          <cell r="V530">
            <v>1481.7742765419428</v>
          </cell>
          <cell r="W530">
            <v>1487.8083801744187</v>
          </cell>
          <cell r="X530">
            <v>1492.798266148018</v>
          </cell>
          <cell r="Y530">
            <v>1487.4897481626967</v>
          </cell>
          <cell r="Z530">
            <v>1482.4497932474208</v>
          </cell>
          <cell r="AA530">
            <v>1488.3351541199256</v>
          </cell>
          <cell r="AB530">
            <v>1489.1385215404439</v>
          </cell>
          <cell r="AC530">
            <v>1485.6977876313656</v>
          </cell>
          <cell r="AD530">
            <v>1487.0394062664136</v>
          </cell>
          <cell r="AE530">
            <v>1487.7567313658665</v>
          </cell>
          <cell r="AF530">
            <v>1485.8414171852003</v>
          </cell>
          <cell r="AG530">
            <v>1484.586399529908</v>
          </cell>
          <cell r="AH530">
            <v>1484.8773182471427</v>
          </cell>
        </row>
        <row r="531">
          <cell r="A531" t="str">
            <v>#UMV150170073</v>
          </cell>
          <cell r="B531" t="str">
            <v>#UMV150170073</v>
          </cell>
          <cell r="C531"/>
          <cell r="D531"/>
          <cell r="E531">
            <v>1468.8207091296752</v>
          </cell>
          <cell r="F531">
            <v>1468.0594013830612</v>
          </cell>
          <cell r="G531">
            <v>1465.0444678639908</v>
          </cell>
          <cell r="H531">
            <v>1465.1500789573895</v>
          </cell>
          <cell r="I531">
            <v>1469.1308209956039</v>
          </cell>
          <cell r="J531">
            <v>1468.4179232314407</v>
          </cell>
          <cell r="K531">
            <v>1473.5935166347574</v>
          </cell>
          <cell r="L531">
            <v>1471.8444423715034</v>
          </cell>
          <cell r="M531">
            <v>1469.7627433697942</v>
          </cell>
          <cell r="N531">
            <v>1470.4736776823131</v>
          </cell>
          <cell r="O531">
            <v>1467.2389901617476</v>
          </cell>
          <cell r="P531">
            <v>1469.9053395208334</v>
          </cell>
          <cell r="Q531">
            <v>1471.0871080232373</v>
          </cell>
          <cell r="R531">
            <v>1474.2845414240694</v>
          </cell>
          <cell r="S531">
            <v>1477.1095136392839</v>
          </cell>
          <cell r="T531">
            <v>1476.2201633610589</v>
          </cell>
          <cell r="U531">
            <v>1479.078331678624</v>
          </cell>
          <cell r="V531">
            <v>1481.7742765419428</v>
          </cell>
          <cell r="W531">
            <v>1487.8083801744187</v>
          </cell>
          <cell r="X531">
            <v>1492.798266148018</v>
          </cell>
          <cell r="Y531">
            <v>1487.4897481626967</v>
          </cell>
          <cell r="Z531">
            <v>1482.4497932474208</v>
          </cell>
          <cell r="AA531">
            <v>1488.3351541199256</v>
          </cell>
          <cell r="AB531">
            <v>1489.1385215404439</v>
          </cell>
          <cell r="AC531">
            <v>1485.6977876313656</v>
          </cell>
          <cell r="AD531">
            <v>1487.0394062664136</v>
          </cell>
          <cell r="AE531">
            <v>1487.7567313658665</v>
          </cell>
          <cell r="AF531">
            <v>1485.8414171852003</v>
          </cell>
          <cell r="AG531">
            <v>1484.586399529908</v>
          </cell>
          <cell r="AH531">
            <v>1484.8773182471427</v>
          </cell>
        </row>
        <row r="532">
          <cell r="A532" t="str">
            <v>#UMV150370068</v>
          </cell>
          <cell r="B532" t="str">
            <v>#UMV150370068</v>
          </cell>
          <cell r="C532"/>
          <cell r="D532"/>
          <cell r="E532">
            <v>1452.1422511170899</v>
          </cell>
          <cell r="F532">
            <v>1451.3861457501698</v>
          </cell>
          <cell r="G532">
            <v>1448.4020172493633</v>
          </cell>
          <cell r="H532">
            <v>1448.496109510276</v>
          </cell>
          <cell r="I532">
            <v>1452.4281516123426</v>
          </cell>
          <cell r="J532">
            <v>1451.7199071848759</v>
          </cell>
          <cell r="K532">
            <v>1456.8331814194378</v>
          </cell>
          <cell r="L532">
            <v>1455.1005381762611</v>
          </cell>
          <cell r="M532">
            <v>1453.0321392507519</v>
          </cell>
          <cell r="N532">
            <v>1453.7315157756223</v>
          </cell>
          <cell r="O532">
            <v>1450.5301980850895</v>
          </cell>
          <cell r="P532">
            <v>1453.1627166757023</v>
          </cell>
          <cell r="Q532">
            <v>1454.3275536779668</v>
          </cell>
          <cell r="R532">
            <v>1457.4781161094425</v>
          </cell>
          <cell r="S532">
            <v>1460.2673936180045</v>
          </cell>
          <cell r="T532">
            <v>1459.3846936120585</v>
          </cell>
          <cell r="U532">
            <v>1462.2067677317425</v>
          </cell>
          <cell r="V532">
            <v>1464.8684542582582</v>
          </cell>
          <cell r="W532">
            <v>1470.8231435159232</v>
          </cell>
          <cell r="X532">
            <v>1475.7525253927765</v>
          </cell>
          <cell r="Y532">
            <v>1470.5010964709243</v>
          </cell>
          <cell r="Z532">
            <v>1465.5151864321574</v>
          </cell>
          <cell r="AA532">
            <v>1471.3297845313516</v>
          </cell>
          <cell r="AB532">
            <v>1472.1133623822782</v>
          </cell>
          <cell r="AC532">
            <v>1468.7084344210193</v>
          </cell>
          <cell r="AD532">
            <v>1470.031175037717</v>
          </cell>
          <cell r="AE532">
            <v>1470.7367561996064</v>
          </cell>
          <cell r="AF532">
            <v>1468.8398169215093</v>
          </cell>
          <cell r="AG532">
            <v>1467.5850115580338</v>
          </cell>
          <cell r="AH532">
            <v>1467.8690572835419</v>
          </cell>
        </row>
        <row r="533">
          <cell r="A533" t="str">
            <v>#UMV150370069</v>
          </cell>
          <cell r="B533" t="str">
            <v>#UMV150370069</v>
          </cell>
          <cell r="C533"/>
          <cell r="D533"/>
          <cell r="E533">
            <v>1452.1422511170899</v>
          </cell>
          <cell r="F533">
            <v>1451.3861457501698</v>
          </cell>
          <cell r="G533">
            <v>1448.4020172493633</v>
          </cell>
          <cell r="H533">
            <v>1448.496109510276</v>
          </cell>
          <cell r="I533">
            <v>1452.4281516123426</v>
          </cell>
          <cell r="J533">
            <v>1451.7199071848759</v>
          </cell>
          <cell r="K533">
            <v>1456.8331814194378</v>
          </cell>
          <cell r="L533">
            <v>1455.1005381762611</v>
          </cell>
          <cell r="M533">
            <v>1453.0321392507519</v>
          </cell>
          <cell r="N533">
            <v>1453.7315157756223</v>
          </cell>
          <cell r="O533">
            <v>1450.5301980850895</v>
          </cell>
          <cell r="P533">
            <v>1453.1627166757023</v>
          </cell>
          <cell r="Q533">
            <v>1454.3275536779668</v>
          </cell>
          <cell r="R533">
            <v>1457.4781161094425</v>
          </cell>
          <cell r="S533">
            <v>1460.2673936180045</v>
          </cell>
          <cell r="T533">
            <v>1459.3846936120585</v>
          </cell>
          <cell r="U533">
            <v>1462.2067677317425</v>
          </cell>
          <cell r="V533">
            <v>1464.8684542582582</v>
          </cell>
          <cell r="W533">
            <v>1470.8231435159232</v>
          </cell>
          <cell r="X533">
            <v>1475.7525253927765</v>
          </cell>
          <cell r="Y533">
            <v>1470.5010964709243</v>
          </cell>
          <cell r="Z533">
            <v>1465.5151864321574</v>
          </cell>
          <cell r="AA533">
            <v>1471.3297845313516</v>
          </cell>
          <cell r="AB533">
            <v>1472.1133623822782</v>
          </cell>
          <cell r="AC533">
            <v>1468.7084344210193</v>
          </cell>
          <cell r="AD533">
            <v>1470.031175037717</v>
          </cell>
          <cell r="AE533">
            <v>1470.7367561996064</v>
          </cell>
          <cell r="AF533">
            <v>1468.8398169215093</v>
          </cell>
          <cell r="AG533">
            <v>1467.5850115580338</v>
          </cell>
          <cell r="AH533">
            <v>1467.8690572835419</v>
          </cell>
        </row>
        <row r="534">
          <cell r="A534" t="str">
            <v>#UMV080470014</v>
          </cell>
          <cell r="B534" t="str">
            <v>#UMV080470014</v>
          </cell>
          <cell r="C534"/>
          <cell r="D534"/>
          <cell r="E534">
            <v>1444.9824947070629</v>
          </cell>
          <cell r="F534">
            <v>1444.2286468892207</v>
          </cell>
          <cell r="G534">
            <v>1441.2577666013885</v>
          </cell>
          <cell r="H534">
            <v>1441.3469868660447</v>
          </cell>
          <cell r="I534">
            <v>1445.2581476881476</v>
          </cell>
          <cell r="J534">
            <v>1444.5519251710398</v>
          </cell>
          <cell r="K534">
            <v>1449.6384720238018</v>
          </cell>
          <cell r="L534">
            <v>1447.9129065708107</v>
          </cell>
          <cell r="M534">
            <v>1445.8502902896601</v>
          </cell>
          <cell r="N534">
            <v>1446.5447299540135</v>
          </cell>
          <cell r="O534">
            <v>1443.3577611321368</v>
          </cell>
          <cell r="P534">
            <v>1445.9757819893396</v>
          </cell>
          <cell r="Q534">
            <v>1447.1333755188955</v>
          </cell>
          <cell r="R534">
            <v>1450.2638920817665</v>
          </cell>
          <cell r="S534">
            <v>1453.0378721984109</v>
          </cell>
          <cell r="T534">
            <v>1452.1580515396313</v>
          </cell>
          <cell r="U534">
            <v>1454.9646569537256</v>
          </cell>
          <cell r="V534">
            <v>1457.6116629306548</v>
          </cell>
          <cell r="W534">
            <v>1463.5323386095267</v>
          </cell>
          <cell r="X534">
            <v>1468.4357745593015</v>
          </cell>
          <cell r="Y534">
            <v>1463.2088756695578</v>
          </cell>
          <cell r="Z534">
            <v>1458.2461888207163</v>
          </cell>
          <cell r="AA534">
            <v>1464.0304378051287</v>
          </cell>
          <cell r="AB534">
            <v>1464.8055965061362</v>
          </cell>
          <cell r="AC534">
            <v>1461.4160627128113</v>
          </cell>
          <cell r="AD534">
            <v>1462.7307253822501</v>
          </cell>
          <cell r="AE534">
            <v>1463.4312908167165</v>
          </cell>
          <cell r="AF534">
            <v>1461.5422636887097</v>
          </cell>
          <cell r="AG534">
            <v>1460.2876499922802</v>
          </cell>
          <cell r="AH534">
            <v>1460.5687708544517</v>
          </cell>
        </row>
        <row r="535">
          <cell r="A535" t="str">
            <v>#UMV110270016</v>
          </cell>
          <cell r="B535" t="str">
            <v>#UMV110270016</v>
          </cell>
          <cell r="C535"/>
          <cell r="D535"/>
          <cell r="E535">
            <v>1461.799696598247</v>
          </cell>
          <cell r="F535">
            <v>1461.0405692216232</v>
          </cell>
          <cell r="G535">
            <v>1458.0385938658756</v>
          </cell>
          <cell r="H535">
            <v>1458.1393270248816</v>
          </cell>
          <cell r="I535">
            <v>1462.0995583783526</v>
          </cell>
          <cell r="J535">
            <v>1461.3886098351527</v>
          </cell>
          <cell r="K535">
            <v>1466.537959208569</v>
          </cell>
          <cell r="L535">
            <v>1464.7957921596349</v>
          </cell>
          <cell r="M535">
            <v>1462.7196629288037</v>
          </cell>
          <cell r="N535">
            <v>1463.4257220335205</v>
          </cell>
          <cell r="O535">
            <v>1460.2050725137938</v>
          </cell>
          <cell r="P535">
            <v>1462.8571703632688</v>
          </cell>
          <cell r="Q535">
            <v>1464.0318014349427</v>
          </cell>
          <cell r="R535">
            <v>1467.2094741052906</v>
          </cell>
          <cell r="S535">
            <v>1470.0194099647213</v>
          </cell>
          <cell r="T535">
            <v>1469.1328494675836</v>
          </cell>
          <cell r="U535">
            <v>1471.975813186521</v>
          </cell>
          <cell r="V535">
            <v>1474.6573262589732</v>
          </cell>
          <cell r="W535">
            <v>1480.6579685686604</v>
          </cell>
          <cell r="X535">
            <v>1485.6223736845961</v>
          </cell>
          <cell r="Y535">
            <v>1480.3378790420725</v>
          </cell>
          <cell r="Z535">
            <v>1475.3206659910159</v>
          </cell>
          <cell r="AA535">
            <v>1481.176227215328</v>
          </cell>
          <cell r="AB535">
            <v>1481.9712337038306</v>
          </cell>
          <cell r="AC535">
            <v>1478.5455635012052</v>
          </cell>
          <cell r="AD535">
            <v>1479.8792248436205</v>
          </cell>
          <cell r="AE535">
            <v>1480.5915959572251</v>
          </cell>
          <cell r="AF535">
            <v>1478.6840073370017</v>
          </cell>
          <cell r="AG535">
            <v>1477.4290391016252</v>
          </cell>
          <cell r="AH535">
            <v>1477.7170543774371</v>
          </cell>
        </row>
        <row r="536">
          <cell r="A536" t="str">
            <v>#UMV140170019</v>
          </cell>
          <cell r="B536" t="str">
            <v>#UMV140170019</v>
          </cell>
          <cell r="C536"/>
          <cell r="D536"/>
          <cell r="E536">
            <v>1470.3559500318224</v>
          </cell>
          <cell r="F536">
            <v>1469.5941673847121</v>
          </cell>
          <cell r="G536">
            <v>1466.5764022463648</v>
          </cell>
          <cell r="H536">
            <v>1466.6830855724668</v>
          </cell>
          <cell r="I536">
            <v>1470.6683144557496</v>
          </cell>
          <cell r="J536">
            <v>1469.954992339377</v>
          </cell>
          <cell r="K536">
            <v>1475.1363262921757</v>
          </cell>
          <cell r="L536">
            <v>1473.3857435384357</v>
          </cell>
          <cell r="M536">
            <v>1471.3028322614575</v>
          </cell>
          <cell r="N536">
            <v>1472.0148345053451</v>
          </cell>
          <cell r="O536">
            <v>1468.777079215854</v>
          </cell>
          <cell r="P536">
            <v>1471.4465468028525</v>
          </cell>
          <cell r="Q536">
            <v>1472.6298779200724</v>
          </cell>
          <cell r="R536">
            <v>1475.8316380480046</v>
          </cell>
          <cell r="S536">
            <v>1478.6599001468112</v>
          </cell>
          <cell r="T536">
            <v>1477.769941731161</v>
          </cell>
          <cell r="U536">
            <v>1480.6314367348684</v>
          </cell>
          <cell r="V536">
            <v>1483.3305393035039</v>
          </cell>
          <cell r="W536">
            <v>1489.3719656847261</v>
          </cell>
          <cell r="X536">
            <v>1494.3674255053904</v>
          </cell>
          <cell r="Y536">
            <v>1489.0536562368579</v>
          </cell>
          <cell r="Z536">
            <v>1484.0087302491006</v>
          </cell>
          <cell r="AA536">
            <v>1489.9006093835419</v>
          </cell>
          <cell r="AB536">
            <v>1490.7058108994086</v>
          </cell>
          <cell r="AC536">
            <v>1487.261784900094</v>
          </cell>
          <cell r="AD536">
            <v>1488.6051455113923</v>
          </cell>
          <cell r="AE536">
            <v>1489.3235558489159</v>
          </cell>
          <cell r="AF536">
            <v>1487.4065542269559</v>
          </cell>
          <cell r="AG536">
            <v>1486.1515335058643</v>
          </cell>
          <cell r="AH536">
            <v>1486.4430890705012</v>
          </cell>
        </row>
        <row r="537">
          <cell r="A537" t="str">
            <v>#UMV150470068</v>
          </cell>
          <cell r="B537" t="str">
            <v>#UMV150470068</v>
          </cell>
          <cell r="C537"/>
          <cell r="D537"/>
          <cell r="E537">
            <v>1442.9075124946917</v>
          </cell>
          <cell r="F537">
            <v>1442.1543216653076</v>
          </cell>
          <cell r="G537">
            <v>1439.1872835815432</v>
          </cell>
          <cell r="H537">
            <v>1439.2751000601668</v>
          </cell>
          <cell r="I537">
            <v>1443.1802120141344</v>
          </cell>
          <cell r="J537">
            <v>1442.4745782006892</v>
          </cell>
          <cell r="K537">
            <v>1447.5533819589591</v>
          </cell>
          <cell r="L537">
            <v>1445.8298704562828</v>
          </cell>
          <cell r="M537">
            <v>1443.7689382676592</v>
          </cell>
          <cell r="N537">
            <v>1444.4619499426165</v>
          </cell>
          <cell r="O537">
            <v>1441.2791422659664</v>
          </cell>
          <cell r="P537">
            <v>1443.8929643367367</v>
          </cell>
          <cell r="Q537">
            <v>1445.0484614184604</v>
          </cell>
          <cell r="R537">
            <v>1448.1731768681248</v>
          </cell>
          <cell r="S537">
            <v>1450.9427265034076</v>
          </cell>
          <cell r="T537">
            <v>1450.0637430645593</v>
          </cell>
          <cell r="U537">
            <v>1452.8658683687922</v>
          </cell>
          <cell r="V537">
            <v>1455.5086226588983</v>
          </cell>
          <cell r="W537">
            <v>1461.4194495056113</v>
          </cell>
          <cell r="X537">
            <v>1466.3153690910092</v>
          </cell>
          <cell r="Y537">
            <v>1461.0955818479779</v>
          </cell>
          <cell r="Z537">
            <v>1456.1396279042865</v>
          </cell>
          <cell r="AA537">
            <v>1461.9150845039869</v>
          </cell>
          <cell r="AB537">
            <v>1462.6878117830306</v>
          </cell>
          <cell r="AC537">
            <v>1459.3027420205872</v>
          </cell>
          <cell r="AD537">
            <v>1460.6150665280393</v>
          </cell>
          <cell r="AE537">
            <v>1461.314181233241</v>
          </cell>
          <cell r="AF537">
            <v>1459.4274498496413</v>
          </cell>
          <cell r="AG537">
            <v>1458.1729029843666</v>
          </cell>
          <cell r="AH537">
            <v>1458.4531790581905</v>
          </cell>
        </row>
        <row r="538">
          <cell r="A538" t="str">
            <v>#UMV180370015</v>
          </cell>
          <cell r="B538" t="str">
            <v>#UMV180370015</v>
          </cell>
          <cell r="C538"/>
          <cell r="D538"/>
          <cell r="E538">
            <v>1451.2434037866869</v>
          </cell>
          <cell r="F538">
            <v>1450.4875810361052</v>
          </cell>
          <cell r="G538">
            <v>1447.5051149398842</v>
          </cell>
          <cell r="H538">
            <v>1447.5985931612956</v>
          </cell>
          <cell r="I538">
            <v>1451.5280129791693</v>
          </cell>
          <cell r="J538">
            <v>1450.8200215837755</v>
          </cell>
          <cell r="K538">
            <v>1455.9299395924297</v>
          </cell>
          <cell r="L538">
            <v>1454.1981841067206</v>
          </cell>
          <cell r="M538">
            <v>1452.1305087313665</v>
          </cell>
          <cell r="N538">
            <v>1452.829264660925</v>
          </cell>
          <cell r="O538">
            <v>1449.6297475653428</v>
          </cell>
          <cell r="P538">
            <v>1452.2604452564942</v>
          </cell>
          <cell r="Q538">
            <v>1453.4243720802674</v>
          </cell>
          <cell r="R538">
            <v>1456.5724154491218</v>
          </cell>
          <cell r="S538">
            <v>1459.3597716514755</v>
          </cell>
          <cell r="T538">
            <v>1458.4774323154249</v>
          </cell>
          <cell r="U538">
            <v>1461.2975636159608</v>
          </cell>
          <cell r="V538">
            <v>1463.9574062679087</v>
          </cell>
          <cell r="W538">
            <v>1469.9078228492681</v>
          </cell>
          <cell r="X538">
            <v>1474.8339465302831</v>
          </cell>
          <cell r="Y538">
            <v>1469.5855963983067</v>
          </cell>
          <cell r="Z538">
            <v>1464.6026010872899</v>
          </cell>
          <cell r="AA538">
            <v>1470.4133881851687</v>
          </cell>
          <cell r="AB538">
            <v>1471.1959065720318</v>
          </cell>
          <cell r="AC538">
            <v>1467.7929104502302</v>
          </cell>
          <cell r="AD538">
            <v>1469.1146360899827</v>
          </cell>
          <cell r="AE538">
            <v>1469.8195867211632</v>
          </cell>
          <cell r="AF538">
            <v>1467.9236399512661</v>
          </cell>
          <cell r="AG538">
            <v>1466.6688553357756</v>
          </cell>
          <cell r="AH538">
            <v>1466.9525330257775</v>
          </cell>
        </row>
        <row r="539">
          <cell r="A539" t="str">
            <v>#UMV250270018</v>
          </cell>
          <cell r="B539" t="str">
            <v>#UMV250270018</v>
          </cell>
          <cell r="C539"/>
          <cell r="D539"/>
          <cell r="E539">
            <v>1457.5588042743707</v>
          </cell>
          <cell r="F539">
            <v>1456.8010006930922</v>
          </cell>
          <cell r="G539">
            <v>1453.8068592057762</v>
          </cell>
          <cell r="H539">
            <v>1453.9046663328254</v>
          </cell>
          <cell r="I539">
            <v>1457.8525155611942</v>
          </cell>
          <cell r="J539">
            <v>1457.1427512084736</v>
          </cell>
          <cell r="K539">
            <v>1462.2762554602473</v>
          </cell>
          <cell r="L539">
            <v>1460.5382673537692</v>
          </cell>
          <cell r="M539">
            <v>1458.4655228991674</v>
          </cell>
          <cell r="N539">
            <v>1459.1686441474289</v>
          </cell>
          <cell r="O539">
            <v>1455.9564806455628</v>
          </cell>
          <cell r="P539">
            <v>1458.5999772268981</v>
          </cell>
          <cell r="Q539">
            <v>1459.7703040576334</v>
          </cell>
          <cell r="R539">
            <v>1462.9360616657546</v>
          </cell>
          <cell r="S539">
            <v>1465.7369223265455</v>
          </cell>
          <cell r="T539">
            <v>1464.8520537957272</v>
          </cell>
          <cell r="U539">
            <v>1467.6858407431669</v>
          </cell>
          <cell r="V539">
            <v>1470.3586438573993</v>
          </cell>
          <cell r="W539">
            <v>1476.3390962776193</v>
          </cell>
          <cell r="X539">
            <v>1481.2881178880082</v>
          </cell>
          <cell r="Y539">
            <v>1476.0181403969007</v>
          </cell>
          <cell r="Z539">
            <v>1471.014670439622</v>
          </cell>
          <cell r="AA539">
            <v>1476.8522396742292</v>
          </cell>
          <cell r="AB539">
            <v>1477.642217234079</v>
          </cell>
          <cell r="AC539">
            <v>1474.2256524709755</v>
          </cell>
          <cell r="AD539">
            <v>1475.5545146695349</v>
          </cell>
          <cell r="AE539">
            <v>1476.2639006356553</v>
          </cell>
          <cell r="AF539">
            <v>1474.3609852318962</v>
          </cell>
          <cell r="AG539">
            <v>1473.1060749871874</v>
          </cell>
          <cell r="AH539">
            <v>1473.3923436630369</v>
          </cell>
        </row>
        <row r="540">
          <cell r="A540" t="str">
            <v>#UMV290370010</v>
          </cell>
          <cell r="B540" t="str">
            <v>#UMV290370010</v>
          </cell>
          <cell r="C540"/>
          <cell r="D540"/>
          <cell r="E540">
            <v>1447.9571287710316</v>
          </cell>
          <cell r="F540">
            <v>1447.2023412489721</v>
          </cell>
          <cell r="G540">
            <v>1444.2259550175643</v>
          </cell>
          <cell r="H540">
            <v>1444.3171941181645</v>
          </cell>
          <cell r="I540">
            <v>1448.2370285960346</v>
          </cell>
          <cell r="J540">
            <v>1447.529964270567</v>
          </cell>
          <cell r="K540">
            <v>1452.6276136065144</v>
          </cell>
          <cell r="L540">
            <v>1450.8991058045854</v>
          </cell>
          <cell r="M540">
            <v>1448.8340816959612</v>
          </cell>
          <cell r="N540">
            <v>1449.5305706566396</v>
          </cell>
          <cell r="O540">
            <v>1446.3376386335603</v>
          </cell>
          <cell r="P540">
            <v>1448.9616809658278</v>
          </cell>
          <cell r="Q540">
            <v>1450.1222820939192</v>
          </cell>
          <cell r="R540">
            <v>1453.2611215615138</v>
          </cell>
          <cell r="S540">
            <v>1456.0414553478795</v>
          </cell>
          <cell r="T540">
            <v>1455.160436631422</v>
          </cell>
          <cell r="U540">
            <v>1457.9734668770629</v>
          </cell>
          <cell r="V540">
            <v>1460.6265702296967</v>
          </cell>
          <cell r="W540">
            <v>1466.5613717316965</v>
          </cell>
          <cell r="X540">
            <v>1471.4755853310251</v>
          </cell>
          <cell r="Y540">
            <v>1466.2384933927676</v>
          </cell>
          <cell r="Z540">
            <v>1461.2661564457601</v>
          </cell>
          <cell r="AA540">
            <v>1467.0630124045779</v>
          </cell>
          <cell r="AB540">
            <v>1467.8416634212351</v>
          </cell>
          <cell r="AC540">
            <v>1464.4457321759155</v>
          </cell>
          <cell r="AD540">
            <v>1465.7637490573336</v>
          </cell>
          <cell r="AE540">
            <v>1466.4663964787505</v>
          </cell>
          <cell r="AF540">
            <v>1464.5740803623453</v>
          </cell>
          <cell r="AG540">
            <v>1463.3193797034987</v>
          </cell>
          <cell r="AH540">
            <v>1463.6017138806076</v>
          </cell>
        </row>
        <row r="541">
          <cell r="A541" t="str">
            <v>#UMV040370018</v>
          </cell>
          <cell r="B541" t="str">
            <v>#UMV040370018</v>
          </cell>
          <cell r="C541"/>
          <cell r="D541"/>
          <cell r="E541">
            <v>1455.4475723280054</v>
          </cell>
          <cell r="F541">
            <v>1454.6904296746261</v>
          </cell>
          <cell r="G541">
            <v>1451.7001900010152</v>
          </cell>
          <cell r="H541">
            <v>1451.796546191945</v>
          </cell>
          <cell r="I541">
            <v>1455.7382332021182</v>
          </cell>
          <cell r="J541">
            <v>1455.0290602825648</v>
          </cell>
          <cell r="K541">
            <v>1460.1546783722235</v>
          </cell>
          <cell r="L541">
            <v>1458.4187725631768</v>
          </cell>
          <cell r="M541">
            <v>1456.347718891665</v>
          </cell>
          <cell r="N541">
            <v>1457.0493795345517</v>
          </cell>
          <cell r="O541">
            <v>1453.8414424750806</v>
          </cell>
          <cell r="P541">
            <v>1456.4806590901878</v>
          </cell>
          <cell r="Q541">
            <v>1457.6488451096841</v>
          </cell>
          <cell r="R541">
            <v>1460.8086769663962</v>
          </cell>
          <cell r="S541">
            <v>1463.6050217644201</v>
          </cell>
          <cell r="T541">
            <v>1462.7209974663572</v>
          </cell>
          <cell r="U541">
            <v>1465.5502179994887</v>
          </cell>
          <cell r="V541">
            <v>1468.2186870960909</v>
          </cell>
          <cell r="W541">
            <v>1474.18909453269</v>
          </cell>
          <cell r="X541">
            <v>1479.1304599651157</v>
          </cell>
          <cell r="Y541">
            <v>1473.8677112953792</v>
          </cell>
          <cell r="Z541">
            <v>1468.8710848102173</v>
          </cell>
          <cell r="AA541">
            <v>1474.699699345244</v>
          </cell>
          <cell r="AB541">
            <v>1475.4871793510715</v>
          </cell>
          <cell r="AC541">
            <v>1472.0751493576395</v>
          </cell>
          <cell r="AD541">
            <v>1473.4016244576731</v>
          </cell>
          <cell r="AE541">
            <v>1474.1095263577927</v>
          </cell>
          <cell r="AF541">
            <v>1472.2089393057979</v>
          </cell>
          <cell r="AG541">
            <v>1470.9540658306462</v>
          </cell>
          <cell r="AH541">
            <v>1471.2394670119938</v>
          </cell>
        </row>
        <row r="542">
          <cell r="A542" t="str">
            <v>#UMV110370016</v>
          </cell>
          <cell r="B542" t="str">
            <v>#UMV110370016</v>
          </cell>
          <cell r="C542"/>
          <cell r="D542"/>
          <cell r="E542">
            <v>1453.3424476527646</v>
          </cell>
          <cell r="F542">
            <v>1452.5859652771651</v>
          </cell>
          <cell r="G542">
            <v>1449.5996173879155</v>
          </cell>
          <cell r="H542">
            <v>1449.6945306273014</v>
          </cell>
          <cell r="I542">
            <v>1453.6300745301019</v>
          </cell>
          <cell r="J542">
            <v>1452.9214925975082</v>
          </cell>
          <cell r="K542">
            <v>1458.0392486428482</v>
          </cell>
          <cell r="L542">
            <v>1456.3054203690056</v>
          </cell>
          <cell r="M542">
            <v>1454.236056394519</v>
          </cell>
          <cell r="N542">
            <v>1454.936261940989</v>
          </cell>
          <cell r="O542">
            <v>1451.7325403362056</v>
          </cell>
          <cell r="P542">
            <v>1454.3674906762599</v>
          </cell>
          <cell r="Q542">
            <v>1455.5335433727973</v>
          </cell>
          <cell r="R542">
            <v>1458.6874705191406</v>
          </cell>
          <cell r="S542">
            <v>1461.4793138537577</v>
          </cell>
          <cell r="T542">
            <v>1460.5961326207848</v>
          </cell>
          <cell r="U542">
            <v>1463.4208012945942</v>
          </cell>
          <cell r="V542">
            <v>1466.0849502591182</v>
          </cell>
          <cell r="W542">
            <v>1472.0453458030984</v>
          </cell>
          <cell r="X542">
            <v>1476.9790786285173</v>
          </cell>
          <cell r="Y542">
            <v>1471.7235390517239</v>
          </cell>
          <cell r="Z542">
            <v>1466.7337374234883</v>
          </cell>
          <cell r="AA542">
            <v>1472.5534246212524</v>
          </cell>
          <cell r="AB542">
            <v>1473.3384182580246</v>
          </cell>
          <cell r="AC542">
            <v>1469.9309111296077</v>
          </cell>
          <cell r="AD542">
            <v>1471.2550073906154</v>
          </cell>
          <cell r="AE542">
            <v>1471.9614308558459</v>
          </cell>
          <cell r="AF542">
            <v>1470.0631666757295</v>
          </cell>
          <cell r="AG542">
            <v>1468.8083350920438</v>
          </cell>
          <cell r="AH542">
            <v>1469.09287261894</v>
          </cell>
        </row>
        <row r="543">
          <cell r="A543" t="str">
            <v>#UMV210170045</v>
          </cell>
          <cell r="B543" t="str">
            <v>#UMV210170045</v>
          </cell>
          <cell r="C543"/>
          <cell r="D543"/>
          <cell r="E543">
            <v>1468.2075100679795</v>
          </cell>
          <cell r="F543">
            <v>1467.4463921912818</v>
          </cell>
          <cell r="G543">
            <v>1464.4325898516006</v>
          </cell>
          <cell r="H543">
            <v>1464.5377732407712</v>
          </cell>
          <cell r="I543">
            <v>1468.5167233541226</v>
          </cell>
          <cell r="J543">
            <v>1467.8039952705456</v>
          </cell>
          <cell r="K543">
            <v>1472.977296002962</v>
          </cell>
          <cell r="L543">
            <v>1471.2288244414724</v>
          </cell>
          <cell r="M543">
            <v>1469.1476102061572</v>
          </cell>
          <cell r="N543">
            <v>1469.8581181608754</v>
          </cell>
          <cell r="O543">
            <v>1466.6246561386993</v>
          </cell>
          <cell r="P543">
            <v>1469.2897602236385</v>
          </cell>
          <cell r="Q543">
            <v>1470.4709047857261</v>
          </cell>
          <cell r="R543">
            <v>1473.6666106034274</v>
          </cell>
          <cell r="S543">
            <v>1476.4902689863909</v>
          </cell>
          <cell r="T543">
            <v>1475.6011617969127</v>
          </cell>
          <cell r="U543">
            <v>1478.4580015841152</v>
          </cell>
          <cell r="V543">
            <v>1481.1526854110614</v>
          </cell>
          <cell r="W543">
            <v>1487.1838648227738</v>
          </cell>
          <cell r="X543">
            <v>1492.1715247266338</v>
          </cell>
          <cell r="Y543">
            <v>1486.8651043610021</v>
          </cell>
          <cell r="Z543">
            <v>1481.8271351446792</v>
          </cell>
          <cell r="AA543">
            <v>1487.7098927386889</v>
          </cell>
          <cell r="AB543">
            <v>1488.5125281810444</v>
          </cell>
          <cell r="AC543">
            <v>1485.0731093640993</v>
          </cell>
          <cell r="AD543">
            <v>1486.4140324278569</v>
          </cell>
          <cell r="AE543">
            <v>1487.1309242650555</v>
          </cell>
          <cell r="AF543">
            <v>1485.2162842610758</v>
          </cell>
          <cell r="AG543">
            <v>1483.9612686066782</v>
          </cell>
          <cell r="AH543">
            <v>1484.251933154761</v>
          </cell>
        </row>
        <row r="544">
          <cell r="A544" t="str">
            <v>#UMV210170044</v>
          </cell>
          <cell r="B544" t="str">
            <v>#UMV210170044</v>
          </cell>
          <cell r="C544"/>
          <cell r="D544"/>
          <cell r="E544">
            <v>1468.2075100679795</v>
          </cell>
          <cell r="F544">
            <v>1467.4463921912818</v>
          </cell>
          <cell r="G544">
            <v>1464.4325898516006</v>
          </cell>
          <cell r="H544">
            <v>1464.5377732407712</v>
          </cell>
          <cell r="I544">
            <v>1468.5167233541226</v>
          </cell>
          <cell r="J544">
            <v>1467.8039952705456</v>
          </cell>
          <cell r="K544">
            <v>1472.977296002962</v>
          </cell>
          <cell r="L544">
            <v>1471.2288244414724</v>
          </cell>
          <cell r="M544">
            <v>1469.1476102061572</v>
          </cell>
          <cell r="N544">
            <v>1469.8581181608754</v>
          </cell>
          <cell r="O544">
            <v>1466.6246561386993</v>
          </cell>
          <cell r="P544">
            <v>1469.2897602236385</v>
          </cell>
          <cell r="Q544">
            <v>1470.4709047857261</v>
          </cell>
          <cell r="R544">
            <v>1473.6666106034274</v>
          </cell>
          <cell r="S544">
            <v>1476.4902689863909</v>
          </cell>
          <cell r="T544">
            <v>1475.6011617969127</v>
          </cell>
          <cell r="U544">
            <v>1478.4580015841152</v>
          </cell>
          <cell r="V544">
            <v>1481.1526854110614</v>
          </cell>
          <cell r="W544">
            <v>1487.1838648227738</v>
          </cell>
          <cell r="X544">
            <v>1492.1715247266338</v>
          </cell>
          <cell r="Y544">
            <v>1486.8651043610021</v>
          </cell>
          <cell r="Z544">
            <v>1481.8271351446792</v>
          </cell>
          <cell r="AA544">
            <v>1487.7098927386889</v>
          </cell>
          <cell r="AB544">
            <v>1488.5125281810444</v>
          </cell>
          <cell r="AC544">
            <v>1485.0731093640993</v>
          </cell>
          <cell r="AD544">
            <v>1486.4140324278569</v>
          </cell>
          <cell r="AE544">
            <v>1487.1309242650555</v>
          </cell>
          <cell r="AF544">
            <v>1485.2162842610758</v>
          </cell>
          <cell r="AG544">
            <v>1483.9612686066782</v>
          </cell>
          <cell r="AH544">
            <v>1484.251933154761</v>
          </cell>
        </row>
        <row r="545">
          <cell r="A545" t="str">
            <v>#UMV180270022</v>
          </cell>
          <cell r="B545" t="str">
            <v>#UMV180270022</v>
          </cell>
          <cell r="C545"/>
          <cell r="D545"/>
          <cell r="E545">
            <v>1459.6761701075829</v>
          </cell>
          <cell r="F545">
            <v>1458.9177049509767</v>
          </cell>
          <cell r="G545">
            <v>1455.9196515824121</v>
          </cell>
          <cell r="H545">
            <v>1456.018917681555</v>
          </cell>
          <cell r="I545">
            <v>1459.9729483278652</v>
          </cell>
          <cell r="J545">
            <v>1459.2625920993762</v>
          </cell>
          <cell r="K545">
            <v>1464.4040067418973</v>
          </cell>
          <cell r="L545">
            <v>1462.6639315605466</v>
          </cell>
          <cell r="M545">
            <v>1460.5894952487845</v>
          </cell>
          <cell r="N545">
            <v>1461.2940826410354</v>
          </cell>
          <cell r="O545">
            <v>1458.0776816666335</v>
          </cell>
          <cell r="P545">
            <v>1460.725471970808</v>
          </cell>
          <cell r="Q545">
            <v>1461.8979471394034</v>
          </cell>
          <cell r="R545">
            <v>1465.069651648862</v>
          </cell>
          <cell r="S545">
            <v>1467.8750426404281</v>
          </cell>
          <cell r="T545">
            <v>1466.989328709727</v>
          </cell>
          <cell r="U545">
            <v>1469.8276966958315</v>
          </cell>
          <cell r="V545">
            <v>1472.5048477797168</v>
          </cell>
          <cell r="W545">
            <v>1478.4953784366026</v>
          </cell>
          <cell r="X545">
            <v>1483.452079904931</v>
          </cell>
          <cell r="Y545">
            <v>1478.1748537832868</v>
          </cell>
          <cell r="Z545">
            <v>1473.1645216628103</v>
          </cell>
          <cell r="AA545">
            <v>1479.0110730850213</v>
          </cell>
          <cell r="AB545">
            <v>1479.8035594501646</v>
          </cell>
          <cell r="AC545">
            <v>1476.3824479662408</v>
          </cell>
          <cell r="AD545">
            <v>1477.7137055648313</v>
          </cell>
          <cell r="AE545">
            <v>1478.4245812585484</v>
          </cell>
          <cell r="AF545">
            <v>1476.5193320048381</v>
          </cell>
          <cell r="AG545">
            <v>1475.2643901580598</v>
          </cell>
          <cell r="AH545">
            <v>1475.5515301911221</v>
          </cell>
        </row>
        <row r="546">
          <cell r="A546" t="str">
            <v>#UMV140170018</v>
          </cell>
          <cell r="B546" t="str">
            <v>#UMV140170018</v>
          </cell>
          <cell r="C546"/>
          <cell r="D546"/>
          <cell r="E546">
            <v>1470.3559500318224</v>
          </cell>
          <cell r="F546">
            <v>1469.5941673847121</v>
          </cell>
          <cell r="G546">
            <v>1466.5764022463648</v>
          </cell>
          <cell r="H546">
            <v>1466.6830855724668</v>
          </cell>
          <cell r="I546">
            <v>1470.6683144557496</v>
          </cell>
          <cell r="J546">
            <v>1469.954992339377</v>
          </cell>
          <cell r="K546">
            <v>1475.1363262921757</v>
          </cell>
          <cell r="L546">
            <v>1473.3857435384357</v>
          </cell>
          <cell r="M546">
            <v>1471.3028322614575</v>
          </cell>
          <cell r="N546">
            <v>1472.0148345053451</v>
          </cell>
          <cell r="O546">
            <v>1468.777079215854</v>
          </cell>
          <cell r="P546">
            <v>1471.4465468028525</v>
          </cell>
          <cell r="Q546">
            <v>1472.6298779200724</v>
          </cell>
          <cell r="R546">
            <v>1475.8316380480046</v>
          </cell>
          <cell r="S546">
            <v>1478.6599001468112</v>
          </cell>
          <cell r="T546">
            <v>1477.769941731161</v>
          </cell>
          <cell r="U546">
            <v>1480.6314367348684</v>
          </cell>
          <cell r="V546">
            <v>1483.3305393035039</v>
          </cell>
          <cell r="W546">
            <v>1489.3719656847261</v>
          </cell>
          <cell r="X546">
            <v>1494.3674255053904</v>
          </cell>
          <cell r="Y546">
            <v>1489.0536562368579</v>
          </cell>
          <cell r="Z546">
            <v>1484.0087302491006</v>
          </cell>
          <cell r="AA546">
            <v>1489.9006093835419</v>
          </cell>
          <cell r="AB546">
            <v>1490.7058108994086</v>
          </cell>
          <cell r="AC546">
            <v>1487.261784900094</v>
          </cell>
          <cell r="AD546">
            <v>1488.6051455113923</v>
          </cell>
          <cell r="AE546">
            <v>1489.3235558489159</v>
          </cell>
          <cell r="AF546">
            <v>1487.4065542269559</v>
          </cell>
          <cell r="AG546">
            <v>1486.1515335058643</v>
          </cell>
          <cell r="AH546">
            <v>1486.4430890705012</v>
          </cell>
        </row>
        <row r="547">
          <cell r="A547" t="str">
            <v>#UMV280170011</v>
          </cell>
          <cell r="B547" t="str">
            <v>#UMV280170011</v>
          </cell>
          <cell r="C547"/>
          <cell r="D547"/>
          <cell r="E547">
            <v>1466.0653394155349</v>
          </cell>
          <cell r="F547">
            <v>1465.3048856760049</v>
          </cell>
          <cell r="G547">
            <v>1462.2950358735698</v>
          </cell>
          <cell r="H547">
            <v>1462.3987276247888</v>
          </cell>
          <cell r="I547">
            <v>1466.3714186209118</v>
          </cell>
          <cell r="J547">
            <v>1465.6592841463723</v>
          </cell>
          <cell r="K547">
            <v>1470.8245764515013</v>
          </cell>
          <cell r="L547">
            <v>1469.0782112279085</v>
          </cell>
          <cell r="M547">
            <v>1466.9986930227112</v>
          </cell>
          <cell r="N547">
            <v>1467.7077123782774</v>
          </cell>
          <cell r="O547">
            <v>1464.4785323778558</v>
          </cell>
          <cell r="P547">
            <v>1467.1392870508109</v>
          </cell>
          <cell r="Q547">
            <v>1468.3182527799831</v>
          </cell>
          <cell r="R547">
            <v>1471.5079259929651</v>
          </cell>
          <cell r="S547">
            <v>1474.3269954779119</v>
          </cell>
          <cell r="T547">
            <v>1473.4387383507192</v>
          </cell>
          <cell r="U547">
            <v>1476.2909378992829</v>
          </cell>
          <cell r="V547">
            <v>1478.9812172753043</v>
          </cell>
          <cell r="W547">
            <v>1485.002183796656</v>
          </cell>
          <cell r="X547">
            <v>1489.9820680189639</v>
          </cell>
          <cell r="Y547">
            <v>1484.6829763367343</v>
          </cell>
          <cell r="Z547">
            <v>1479.6519448150955</v>
          </cell>
          <cell r="AA547">
            <v>1485.5256089968818</v>
          </cell>
          <cell r="AB547">
            <v>1486.3256899559526</v>
          </cell>
          <cell r="AC547">
            <v>1482.8908661341518</v>
          </cell>
          <cell r="AD547">
            <v>1484.2293601661538</v>
          </cell>
          <cell r="AE547">
            <v>1484.9447393202636</v>
          </cell>
          <cell r="AF547">
            <v>1483.032455343465</v>
          </cell>
          <cell r="AG547">
            <v>1481.7774501572712</v>
          </cell>
          <cell r="AH547">
            <v>1482.0672276673426</v>
          </cell>
        </row>
        <row r="548">
          <cell r="A548" t="str">
            <v>#UMV070170014</v>
          </cell>
          <cell r="B548" t="str">
            <v>#UMV070170014</v>
          </cell>
          <cell r="C548"/>
          <cell r="D548"/>
          <cell r="E548">
            <v>1472.5106868691987</v>
          </cell>
          <cell r="F548">
            <v>1471.7482388214175</v>
          </cell>
          <cell r="G548">
            <v>1468.726500583625</v>
          </cell>
          <cell r="H548">
            <v>1468.8346921994676</v>
          </cell>
          <cell r="I548">
            <v>1472.8262195976752</v>
          </cell>
          <cell r="J548">
            <v>1472.1123030286844</v>
          </cell>
          <cell r="K548">
            <v>1477.3016951099466</v>
          </cell>
          <cell r="L548">
            <v>1475.5489962940499</v>
          </cell>
          <cell r="M548">
            <v>1473.4643869768936</v>
          </cell>
          <cell r="N548">
            <v>1474.1778892308844</v>
          </cell>
          <cell r="O548">
            <v>1470.9358293847738</v>
          </cell>
          <cell r="P548">
            <v>1473.6096746318806</v>
          </cell>
          <cell r="Q548">
            <v>1474.7952000663611</v>
          </cell>
          <cell r="R548">
            <v>1478.0030363234248</v>
          </cell>
          <cell r="S548">
            <v>1480.8359170272054</v>
          </cell>
          <cell r="T548">
            <v>1479.9451062222593</v>
          </cell>
          <cell r="U548">
            <v>1482.8112714923943</v>
          </cell>
          <cell r="V548">
            <v>1485.5148071625347</v>
          </cell>
          <cell r="W548">
            <v>1491.5665147608727</v>
          </cell>
          <cell r="X548">
            <v>1496.5697988467211</v>
          </cell>
          <cell r="Y548">
            <v>1491.248660372373</v>
          </cell>
          <cell r="Z548">
            <v>1486.1967584580336</v>
          </cell>
          <cell r="AA548">
            <v>1492.0977873915267</v>
          </cell>
          <cell r="AB548">
            <v>1492.9055666404388</v>
          </cell>
          <cell r="AC548">
            <v>1489.4569212235815</v>
          </cell>
          <cell r="AD548">
            <v>1490.8027279419273</v>
          </cell>
          <cell r="AE548">
            <v>1491.5226626287977</v>
          </cell>
          <cell r="AF548">
            <v>1489.6032937793129</v>
          </cell>
          <cell r="AG548">
            <v>1488.3482734410939</v>
          </cell>
          <cell r="AH548">
            <v>1488.640724024511</v>
          </cell>
        </row>
        <row r="549">
          <cell r="A549" t="str">
            <v>#UMV070170013</v>
          </cell>
          <cell r="B549" t="str">
            <v>#UMV070170013</v>
          </cell>
          <cell r="C549"/>
          <cell r="D549"/>
          <cell r="E549">
            <v>1472.5106868691987</v>
          </cell>
          <cell r="F549">
            <v>1471.7482388214175</v>
          </cell>
          <cell r="G549">
            <v>1468.726500583625</v>
          </cell>
          <cell r="H549">
            <v>1468.8346921994676</v>
          </cell>
          <cell r="I549">
            <v>1472.8262195976752</v>
          </cell>
          <cell r="J549">
            <v>1472.1123030286844</v>
          </cell>
          <cell r="K549">
            <v>1477.3016951099466</v>
          </cell>
          <cell r="L549">
            <v>1475.5489962940499</v>
          </cell>
          <cell r="M549">
            <v>1473.4643869768936</v>
          </cell>
          <cell r="N549">
            <v>1474.1778892308844</v>
          </cell>
          <cell r="O549">
            <v>1470.9358293847738</v>
          </cell>
          <cell r="P549">
            <v>1473.6096746318806</v>
          </cell>
          <cell r="Q549">
            <v>1474.7952000663611</v>
          </cell>
          <cell r="R549">
            <v>1478.0030363234248</v>
          </cell>
          <cell r="S549">
            <v>1480.8359170272054</v>
          </cell>
          <cell r="T549">
            <v>1479.9451062222593</v>
          </cell>
          <cell r="U549">
            <v>1482.8112714923943</v>
          </cell>
          <cell r="V549">
            <v>1485.5148071625347</v>
          </cell>
          <cell r="W549">
            <v>1491.5665147608727</v>
          </cell>
          <cell r="X549">
            <v>1496.5697988467211</v>
          </cell>
          <cell r="Y549">
            <v>1491.248660372373</v>
          </cell>
          <cell r="Z549">
            <v>1486.1967584580336</v>
          </cell>
          <cell r="AA549">
            <v>1492.0977873915267</v>
          </cell>
          <cell r="AB549">
            <v>1492.9055666404388</v>
          </cell>
          <cell r="AC549">
            <v>1489.4569212235815</v>
          </cell>
          <cell r="AD549">
            <v>1490.8027279419273</v>
          </cell>
          <cell r="AE549">
            <v>1491.5226626287977</v>
          </cell>
          <cell r="AF549">
            <v>1489.6032937793129</v>
          </cell>
          <cell r="AG549">
            <v>1488.3482734410939</v>
          </cell>
          <cell r="AH549">
            <v>1488.640724024511</v>
          </cell>
        </row>
        <row r="550">
          <cell r="A550" t="str">
            <v>#UMV050470018</v>
          </cell>
          <cell r="B550" t="str">
            <v>#UMV050470018</v>
          </cell>
          <cell r="C550"/>
          <cell r="D550"/>
          <cell r="E550">
            <v>1445.8736008274905</v>
          </cell>
          <cell r="F550">
            <v>1445.1194712401025</v>
          </cell>
          <cell r="G550">
            <v>1442.1469412829545</v>
          </cell>
          <cell r="H550">
            <v>1442.2367655346868</v>
          </cell>
          <cell r="I550">
            <v>1446.1505244404591</v>
          </cell>
          <cell r="J550">
            <v>1445.4440494797129</v>
          </cell>
          <cell r="K550">
            <v>1450.533922011701</v>
          </cell>
          <cell r="L550">
            <v>1448.8074748603644</v>
          </cell>
          <cell r="M550">
            <v>1446.7441364745478</v>
          </cell>
          <cell r="N550">
            <v>1447.4391897746398</v>
          </cell>
          <cell r="O550">
            <v>1444.2504343076096</v>
          </cell>
          <cell r="P550">
            <v>1446.870258733911</v>
          </cell>
          <cell r="Q550">
            <v>1448.028752973755</v>
          </cell>
          <cell r="R550">
            <v>1451.1617619996528</v>
          </cell>
          <cell r="S550">
            <v>1453.9376451950066</v>
          </cell>
          <cell r="T550">
            <v>1453.0574653695537</v>
          </cell>
          <cell r="U550">
            <v>1455.8659951782254</v>
          </cell>
          <cell r="V550">
            <v>1458.5148274537457</v>
          </cell>
          <cell r="W550">
            <v>1464.4397339381549</v>
          </cell>
          <cell r="X550">
            <v>1469.3463982325586</v>
          </cell>
          <cell r="Y550">
            <v>1464.1164455810756</v>
          </cell>
          <cell r="Z550">
            <v>1459.150867621529</v>
          </cell>
          <cell r="AA550">
            <v>1464.938892951011</v>
          </cell>
          <cell r="AB550">
            <v>1465.7150970109703</v>
          </cell>
          <cell r="AC550">
            <v>1462.3236464899917</v>
          </cell>
          <cell r="AD550">
            <v>1463.6393136918732</v>
          </cell>
          <cell r="AE550">
            <v>1464.3405025438497</v>
          </cell>
          <cell r="AF550">
            <v>1462.4504898765877</v>
          </cell>
          <cell r="AG550">
            <v>1461.195849035676</v>
          </cell>
          <cell r="AH550">
            <v>1461.4773330903201</v>
          </cell>
        </row>
        <row r="551">
          <cell r="A551" t="str">
            <v>#UMV030270021</v>
          </cell>
          <cell r="B551" t="str">
            <v>#UMV030270021</v>
          </cell>
          <cell r="C551"/>
          <cell r="D551"/>
          <cell r="E551">
            <v>1464.2341622269544</v>
          </cell>
          <cell r="F551">
            <v>1463.4742772416155</v>
          </cell>
          <cell r="G551">
            <v>1460.4678071906869</v>
          </cell>
          <cell r="H551">
            <v>1460.5702269599001</v>
          </cell>
          <cell r="I551">
            <v>1464.5375685708063</v>
          </cell>
          <cell r="J551">
            <v>1463.825942563795</v>
          </cell>
          <cell r="K551">
            <v>1468.9843901493116</v>
          </cell>
          <cell r="L551">
            <v>1467.2398265062802</v>
          </cell>
          <cell r="M551">
            <v>1465.1617612263292</v>
          </cell>
          <cell r="N551">
            <v>1465.8695091452753</v>
          </cell>
          <cell r="O551">
            <v>1462.6439905316631</v>
          </cell>
          <cell r="P551">
            <v>1465.301028300544</v>
          </cell>
          <cell r="Q551">
            <v>1466.4781325748406</v>
          </cell>
          <cell r="R551">
            <v>1469.6626521742028</v>
          </cell>
          <cell r="S551">
            <v>1472.4778000580529</v>
          </cell>
          <cell r="T551">
            <v>1471.5902706287682</v>
          </cell>
          <cell r="U551">
            <v>1474.4385046967993</v>
          </cell>
          <cell r="V551">
            <v>1477.1250201514322</v>
          </cell>
          <cell r="W551">
            <v>1483.1372597640834</v>
          </cell>
          <cell r="X551">
            <v>1488.11049832053</v>
          </cell>
          <cell r="Y551">
            <v>1482.8176723367594</v>
          </cell>
          <cell r="Z551">
            <v>1477.792572286143</v>
          </cell>
          <cell r="AA551">
            <v>1483.658464404084</v>
          </cell>
          <cell r="AB551">
            <v>1484.4563649787649</v>
          </cell>
          <cell r="AC551">
            <v>1481.02547006036</v>
          </cell>
          <cell r="AD551">
            <v>1482.3618888100839</v>
          </cell>
          <cell r="AE551">
            <v>1483.0759759848022</v>
          </cell>
          <cell r="AF551">
            <v>1481.1657070242088</v>
          </cell>
          <cell r="AG551">
            <v>1479.9107150738023</v>
          </cell>
          <cell r="AH551">
            <v>1480.199735414348</v>
          </cell>
        </row>
        <row r="552">
          <cell r="A552" t="str">
            <v>#UMV010670037</v>
          </cell>
          <cell r="B552" t="str">
            <v>#UMV010670037</v>
          </cell>
          <cell r="C552"/>
          <cell r="D552"/>
          <cell r="J552">
            <v>1428.0987733168895</v>
          </cell>
          <cell r="K552">
            <v>1433.1240265781419</v>
          </cell>
          <cell r="L552">
            <v>1431.4147627348191</v>
          </cell>
          <cell r="M552">
            <v>1429.3655862664598</v>
          </cell>
          <cell r="N552">
            <v>1430.048749833004</v>
          </cell>
          <cell r="O552">
            <v>1426.8947718014583</v>
          </cell>
          <cell r="P552">
            <v>1429.4795714858503</v>
          </cell>
          <cell r="Q552">
            <v>1430.6205947779772</v>
          </cell>
          <cell r="R552">
            <v>1433.7052679423664</v>
          </cell>
          <cell r="S552">
            <v>1436.4441924564671</v>
          </cell>
          <cell r="T552">
            <v>1435.5710367782615</v>
          </cell>
          <cell r="U552">
            <v>1438.3421937616622</v>
          </cell>
          <cell r="V552">
            <v>1440.955560581071</v>
          </cell>
          <cell r="W552">
            <v>1446.7983369227086</v>
          </cell>
          <cell r="X552">
            <v>1451.6422782099926</v>
          </cell>
          <cell r="Y552">
            <v>1446.4717377332422</v>
          </cell>
          <cell r="Z552">
            <v>1441.562409478636</v>
          </cell>
          <cell r="AA552">
            <v>1447.2770581589677</v>
          </cell>
          <cell r="AB552">
            <v>1448.0330643092218</v>
          </cell>
          <cell r="AC552">
            <v>1444.6789196019176</v>
          </cell>
          <cell r="AD552">
            <v>1445.9750991175506</v>
          </cell>
          <cell r="AE552">
            <v>1446.6642097773422</v>
          </cell>
          <cell r="AF552">
            <v>1444.7933991910941</v>
          </cell>
          <cell r="AG552">
            <v>1443.5394537563545</v>
          </cell>
          <cell r="AH552">
            <v>1443.813918927382</v>
          </cell>
        </row>
        <row r="553">
          <cell r="A553" t="str">
            <v>#UMV290670004</v>
          </cell>
          <cell r="B553" t="str">
            <v>#UMV290670004</v>
          </cell>
          <cell r="C553"/>
          <cell r="D553"/>
          <cell r="J553">
            <v>1420.011950046051</v>
          </cell>
          <cell r="K553">
            <v>1425.0071055120222</v>
          </cell>
          <cell r="L553">
            <v>1423.3058823377803</v>
          </cell>
          <cell r="M553">
            <v>1421.2633966448752</v>
          </cell>
          <cell r="N553">
            <v>1421.941046438295</v>
          </cell>
          <cell r="O553">
            <v>1418.803311593156</v>
          </cell>
          <cell r="P553">
            <v>1421.3718116943355</v>
          </cell>
          <cell r="Q553">
            <v>1422.5047193064413</v>
          </cell>
          <cell r="R553">
            <v>1425.5669465710955</v>
          </cell>
          <cell r="S553">
            <v>1428.2886704189989</v>
          </cell>
          <cell r="T553">
            <v>1427.4188191190738</v>
          </cell>
          <cell r="U553">
            <v>1430.1725825624064</v>
          </cell>
          <cell r="V553">
            <v>1432.7694451947073</v>
          </cell>
          <cell r="W553">
            <v>1438.5740225414183</v>
          </cell>
          <cell r="X553">
            <v>1443.3887528696607</v>
          </cell>
          <cell r="Y553">
            <v>1438.2459399393028</v>
          </cell>
          <cell r="Z553">
            <v>1433.3628647324679</v>
          </cell>
          <cell r="AA553">
            <v>1439.0433361287116</v>
          </cell>
          <cell r="AB553">
            <v>1439.7900167436514</v>
          </cell>
          <cell r="AC553">
            <v>1436.4532934581571</v>
          </cell>
          <cell r="AD553">
            <v>1437.7404183599574</v>
          </cell>
          <cell r="AE553">
            <v>1438.4239286204813</v>
          </cell>
          <cell r="AF553">
            <v>1436.5620997790322</v>
          </cell>
          <cell r="AG553">
            <v>1435.3085993486186</v>
          </cell>
          <cell r="AH553">
            <v>1435.5798227861239</v>
          </cell>
        </row>
        <row r="554">
          <cell r="A554" t="str">
            <v>#UMV150470071</v>
          </cell>
          <cell r="B554" t="str">
            <v>#UMV150470071</v>
          </cell>
          <cell r="C554"/>
          <cell r="D554"/>
          <cell r="J554">
            <v>1441.2902030975847</v>
          </cell>
          <cell r="K554">
            <v>1446.3645927733469</v>
          </cell>
          <cell r="L554">
            <v>1444.6422528579276</v>
          </cell>
          <cell r="M554">
            <v>1442.5822824901941</v>
          </cell>
          <cell r="N554">
            <v>1443.2744805684424</v>
          </cell>
          <cell r="O554">
            <v>1440.0940458654936</v>
          </cell>
          <cell r="P554">
            <v>1442.705474608367</v>
          </cell>
          <cell r="Q554">
            <v>1443.8597769834212</v>
          </cell>
          <cell r="R554">
            <v>1446.9811866783755</v>
          </cell>
          <cell r="S554">
            <v>1449.7482108983459</v>
          </cell>
          <cell r="T554">
            <v>1448.8697053455294</v>
          </cell>
          <cell r="U554">
            <v>1451.6692769433139</v>
          </cell>
          <cell r="V554">
            <v>1454.3096077613461</v>
          </cell>
          <cell r="W554">
            <v>1460.2148211442623</v>
          </cell>
          <cell r="X554">
            <v>1465.1064559664126</v>
          </cell>
          <cell r="Y554">
            <v>1459.8907238722775</v>
          </cell>
          <cell r="Z554">
            <v>1454.9386091410558</v>
          </cell>
          <cell r="AA554">
            <v>1460.7090534822653</v>
          </cell>
          <cell r="AB554">
            <v>1461.4803962290935</v>
          </cell>
          <cell r="AC554">
            <v>1458.0978721166423</v>
          </cell>
          <cell r="AD554">
            <v>1459.4088641318783</v>
          </cell>
          <cell r="AE554">
            <v>1460.1071522988921</v>
          </cell>
          <cell r="AF554">
            <v>1458.2217303563536</v>
          </cell>
          <cell r="AG554">
            <v>1456.9672238636185</v>
          </cell>
          <cell r="AH554">
            <v>1457.2470188672289</v>
          </cell>
        </row>
        <row r="555">
          <cell r="A555" t="str">
            <v>#UMV040570009</v>
          </cell>
          <cell r="B555" t="str">
            <v>#UMV040570009</v>
          </cell>
          <cell r="C555"/>
          <cell r="D555"/>
          <cell r="J555">
            <v>1436.2782314015344</v>
          </cell>
          <cell r="K555">
            <v>1441.3339462525053</v>
          </cell>
          <cell r="L555">
            <v>1439.6165686273232</v>
          </cell>
          <cell r="M555">
            <v>1437.5606817452638</v>
          </cell>
          <cell r="N555">
            <v>1438.2494413506206</v>
          </cell>
          <cell r="O555">
            <v>1435.0790528480318</v>
          </cell>
          <cell r="P555">
            <v>1437.6803581519234</v>
          </cell>
          <cell r="Q555">
            <v>1438.8296093250317</v>
          </cell>
          <cell r="R555">
            <v>1441.93704343692</v>
          </cell>
          <cell r="S555">
            <v>1444.6933853441362</v>
          </cell>
          <cell r="T555">
            <v>1443.816906542972</v>
          </cell>
          <cell r="U555">
            <v>1446.6056761390962</v>
          </cell>
          <cell r="V555">
            <v>1449.2357560871674</v>
          </cell>
          <cell r="W555">
            <v>1455.117228660371</v>
          </cell>
          <cell r="X555">
            <v>1459.9907363193583</v>
          </cell>
          <cell r="Y555">
            <v>1454.7921688087031</v>
          </cell>
          <cell r="Z555">
            <v>1449.856304862519</v>
          </cell>
          <cell r="AA555">
            <v>1455.6055435704636</v>
          </cell>
          <cell r="AB555">
            <v>1456.3710411151617</v>
          </cell>
          <cell r="AC555">
            <v>1452.9992938408247</v>
          </cell>
          <cell r="AD555">
            <v>1454.3046517814203</v>
          </cell>
          <cell r="AE555">
            <v>1454.9994468983055</v>
          </cell>
          <cell r="AF555">
            <v>1453.1195705893842</v>
          </cell>
          <cell r="AG555">
            <v>1451.8652531865621</v>
          </cell>
          <cell r="AH555">
            <v>1452.1430170544913</v>
          </cell>
        </row>
        <row r="556">
          <cell r="A556" t="str">
            <v>#UMV140170021</v>
          </cell>
          <cell r="B556" t="str">
            <v>#UMV140170021</v>
          </cell>
          <cell r="C556"/>
          <cell r="D556"/>
          <cell r="T556">
            <v>1476.5298589332269</v>
          </cell>
          <cell r="U556">
            <v>1479.3886919750016</v>
          </cell>
          <cell r="V556">
            <v>1482.0852677944804</v>
          </cell>
          <cell r="W556">
            <v>1488.1208345817993</v>
          </cell>
          <cell r="X556">
            <v>1493.1118343329849</v>
          </cell>
          <cell r="Y556">
            <v>1487.8022669182492</v>
          </cell>
          <cell r="Z556">
            <v>1482.7613185689447</v>
          </cell>
          <cell r="AA556">
            <v>1488.6479819427118</v>
          </cell>
          <cell r="AB556">
            <v>1489.4517157076164</v>
          </cell>
          <cell r="AC556">
            <v>1486.0103238790452</v>
          </cell>
          <cell r="AD556">
            <v>1487.3522905607426</v>
          </cell>
          <cell r="AE556">
            <v>1488.0698324696318</v>
          </cell>
          <cell r="AF556">
            <v>1486.1541810293397</v>
          </cell>
          <cell r="AG556">
            <v>1484.8991625393001</v>
          </cell>
          <cell r="AH556">
            <v>1485.1902084630747</v>
          </cell>
        </row>
        <row r="557">
          <cell r="A557" t="str">
            <v>#UMV200470019</v>
          </cell>
          <cell r="B557" t="str">
            <v>#UMV200470019</v>
          </cell>
          <cell r="C557"/>
          <cell r="D557"/>
          <cell r="AD557">
            <v>1459.1076247510236</v>
          </cell>
          <cell r="AE557">
            <v>1459.8057065610462</v>
          </cell>
          <cell r="AF557">
            <v>1457.920611705101</v>
          </cell>
          <cell r="AG557">
            <v>1456.6661155523495</v>
          </cell>
          <cell r="AH557">
            <v>1456.9457904770934</v>
          </cell>
        </row>
        <row r="558">
          <cell r="A558" t="str">
            <v>#UMV200470018</v>
          </cell>
          <cell r="B558" t="str">
            <v>#UMV200470018</v>
          </cell>
          <cell r="C558"/>
          <cell r="D558"/>
          <cell r="AD558">
            <v>1459.1076247510236</v>
          </cell>
          <cell r="AE558">
            <v>1459.8057065610462</v>
          </cell>
          <cell r="AF558">
            <v>1457.920611705101</v>
          </cell>
          <cell r="AG558">
            <v>1456.6661155523495</v>
          </cell>
          <cell r="AH558">
            <v>1456.9457904770934</v>
          </cell>
        </row>
        <row r="559">
          <cell r="A559" t="str">
            <v>#UMV200470017</v>
          </cell>
          <cell r="B559" t="str">
            <v>#UMV200470017</v>
          </cell>
          <cell r="C559"/>
          <cell r="D559"/>
          <cell r="AD559">
            <v>1459.1076247510236</v>
          </cell>
          <cell r="AE559">
            <v>1459.8057065610462</v>
          </cell>
          <cell r="AF559">
            <v>1457.920611705101</v>
          </cell>
          <cell r="AG559">
            <v>1456.6661155523495</v>
          </cell>
          <cell r="AH559">
            <v>1456.9457904770934</v>
          </cell>
        </row>
        <row r="560">
          <cell r="A560" t="str">
            <v>#UMV200470016</v>
          </cell>
          <cell r="B560" t="str">
            <v>#UMV200470016</v>
          </cell>
          <cell r="C560"/>
          <cell r="D560"/>
          <cell r="AD560">
            <v>1459.1076247510236</v>
          </cell>
          <cell r="AE560">
            <v>1459.8057065610462</v>
          </cell>
          <cell r="AF560">
            <v>1457.920611705101</v>
          </cell>
          <cell r="AG560">
            <v>1456.6661155523495</v>
          </cell>
          <cell r="AH560">
            <v>1456.9457904770934</v>
          </cell>
        </row>
        <row r="561">
          <cell r="A561" t="str">
            <v>#UMV040570010</v>
          </cell>
          <cell r="B561" t="str">
            <v>#UMV040570010</v>
          </cell>
          <cell r="C561"/>
          <cell r="D561"/>
          <cell r="AD561">
            <v>1454.9032934677305</v>
          </cell>
          <cell r="AE561">
            <v>1455.5984978810893</v>
          </cell>
          <cell r="AF561">
            <v>1453.7179707776666</v>
          </cell>
          <cell r="AG561">
            <v>1452.4636296695901</v>
          </cell>
          <cell r="AH561">
            <v>1452.741631373455</v>
          </cell>
        </row>
        <row r="562">
          <cell r="A562" t="str">
            <v>#UMV180570011</v>
          </cell>
          <cell r="B562" t="str">
            <v>#UMV180570011</v>
          </cell>
          <cell r="C562"/>
          <cell r="D562"/>
          <cell r="AD562">
            <v>1450.7231216283162</v>
          </cell>
          <cell r="AE562">
            <v>1451.4154701420141</v>
          </cell>
          <cell r="AF562">
            <v>1449.5394894971473</v>
          </cell>
          <cell r="AG562">
            <v>1448.2853223988934</v>
          </cell>
          <cell r="AH562">
            <v>1448.5616654797934</v>
          </cell>
        </row>
        <row r="563">
          <cell r="A563" t="str">
            <v>#UMV010670043</v>
          </cell>
          <cell r="B563" t="str">
            <v>#UMV010670043</v>
          </cell>
          <cell r="C563"/>
          <cell r="D563"/>
          <cell r="AD563">
            <v>1446.5669015874423</v>
          </cell>
          <cell r="AE563">
            <v>1447.2564154711806</v>
          </cell>
          <cell r="AF563">
            <v>1445.3849601314394</v>
          </cell>
          <cell r="AG563">
            <v>1444.1309856747062</v>
          </cell>
          <cell r="AH563">
            <v>1444.4056845622692</v>
          </cell>
        </row>
        <row r="564">
          <cell r="A564" t="str">
            <v>#UMV220670013</v>
          </cell>
          <cell r="B564" t="str">
            <v>#UMV220670013</v>
          </cell>
          <cell r="C564"/>
          <cell r="D564"/>
          <cell r="AD564">
            <v>1440.3770327550985</v>
          </cell>
          <cell r="AE564">
            <v>1441.0623340849406</v>
          </cell>
          <cell r="AF564">
            <v>1439.1976273448699</v>
          </cell>
          <cell r="AG564">
            <v>1437.9439760695666</v>
          </cell>
          <cell r="AH564">
            <v>1438.216235360479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/>
          <cell r="N491"/>
          <cell r="P491">
            <v>38443</v>
          </cell>
          <cell r="Q491">
            <v>1.584911</v>
          </cell>
        </row>
        <row r="492">
          <cell r="M492"/>
          <cell r="N492"/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workbookViewId="0">
      <pane ySplit="1" topLeftCell="A197" activePane="bottomLeft" state="frozen"/>
      <selection pane="bottomLeft" activeCell="C221" sqref="C221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>
        <f>+WORKDAY(A200,1,Feriados!$A$2:$A$38)</f>
        <v>46302</v>
      </c>
      <c r="B201">
        <f>INDEX('[1]Precios historicos'!$A:$AZ,MATCH(B$1,'[1]Precios historicos'!$A:$A,0),MATCH($A201,'[1]Precios historicos'!$7:$7,0))</f>
        <v>1.0368340300000001</v>
      </c>
      <c r="C201">
        <f>INDEX('[1]Precios historicos'!$A:$AZ,MATCH(C$1,'[1]Precios historicos'!$A:$A,0),MATCH($A201,'[1]Precios historicos'!$7:$7,0))</f>
        <v>1.2838353899999999</v>
      </c>
      <c r="D201">
        <f>INDEX('[1]Precios historicos'!$A:$AZ,MATCH(D$1,'[1]Precios historicos'!$A:$A,0),MATCH($A201,'[1]Precios historicos'!$7:$7,0))</f>
        <v>1.0285748800000001</v>
      </c>
      <c r="E201">
        <f>INDEX('[1]Precios historicos'!$A:$AZ,MATCH(E$1,'[1]Precios historicos'!$A:$A,0),MATCH($A201,'[1]Precios historicos'!$7:$7,0))</f>
        <v>1.2525073600000001</v>
      </c>
      <c r="F201">
        <f>INDEX('[1]Precios historicos'!$A:$AZ,MATCH(F$1,'[1]Precios historicos'!$A:$A,0),MATCH($A201,'[1]Precios historicos'!$7:$7,0))</f>
        <v>1.2563465</v>
      </c>
      <c r="G201">
        <f>INDEX('[1]Precios historicos'!$A:$AZ,MATCH(G$1,'[1]Precios historicos'!$A:$A,0),MATCH($A201,'[1]Precios historicos'!$7:$7,0))</f>
        <v>1.3638211099999999</v>
      </c>
      <c r="H201">
        <f>INDEX('[1]Precios historicos'!$A:$AZ,MATCH(H$1,'[1]Precios historicos'!$A:$A,0),MATCH($A201,'[1]Precios historicos'!$7:$7,0))</f>
        <v>1.2972002300000001</v>
      </c>
      <c r="I201">
        <f>INDEX('[1]Precios historicos'!$A:$AZ,MATCH(I$1,'[1]Precios historicos'!$A:$A,0),MATCH($A201,'[1]Precios historicos'!$7:$7,0))</f>
        <v>4.0877081000000004</v>
      </c>
      <c r="J201">
        <f>INDEX('[1]Precios historicos'!$A:$AZ,MATCH(J$1,'[1]Precios historicos'!$A:$A,0),MATCH($A201,'[1]Precios historicos'!$7:$7,0))</f>
        <v>1.2782489500000001</v>
      </c>
      <c r="K201">
        <f>INDEX('[1]Precios historicos'!$A:$AZ,MATCH(K$1,'[1]Precios historicos'!$A:$A,0),MATCH($A201,'[1]Precios historicos'!$7:$7,0))</f>
        <v>1.27552815</v>
      </c>
    </row>
    <row r="202" spans="1:11" x14ac:dyDescent="0.25">
      <c r="A202" s="4">
        <f>+WORKDAY(A201,1,Feriados!$A$2:$A$38)</f>
        <v>46303</v>
      </c>
      <c r="B202">
        <f>INDEX('[1]Precios historicos'!$A:$AZ,MATCH(B$1,'[1]Precios historicos'!$A:$A,0),MATCH($A202,'[1]Precios historicos'!$7:$7,0))</f>
        <v>1.0378953</v>
      </c>
      <c r="C202">
        <f>INDEX('[1]Precios historicos'!$A:$AZ,MATCH(C$1,'[1]Precios historicos'!$A:$A,0),MATCH($A202,'[1]Precios historicos'!$7:$7,0))</f>
        <v>1.284648</v>
      </c>
      <c r="D202">
        <f>INDEX('[1]Precios historicos'!$A:$AZ,MATCH(D$1,'[1]Precios historicos'!$A:$A,0),MATCH($A202,'[1]Precios historicos'!$7:$7,0))</f>
        <v>1.0286919000000001</v>
      </c>
      <c r="E202">
        <f>INDEX('[1]Precios historicos'!$A:$AZ,MATCH(E$1,'[1]Precios historicos'!$A:$A,0),MATCH($A202,'[1]Precios historicos'!$7:$7,0))</f>
        <v>1.2515807800000001</v>
      </c>
      <c r="F202">
        <f>INDEX('[1]Precios historicos'!$A:$AZ,MATCH(F$1,'[1]Precios historicos'!$A:$A,0),MATCH($A202,'[1]Precios historicos'!$7:$7,0))</f>
        <v>1.2574978000000001</v>
      </c>
      <c r="G202">
        <f>INDEX('[1]Precios historicos'!$A:$AZ,MATCH(G$1,'[1]Precios historicos'!$A:$A,0),MATCH($A202,'[1]Precios historicos'!$7:$7,0))</f>
        <v>1.3664060499999999</v>
      </c>
      <c r="H202">
        <f>INDEX('[1]Precios historicos'!$A:$AZ,MATCH(H$1,'[1]Precios historicos'!$A:$A,0),MATCH($A202,'[1]Precios historicos'!$7:$7,0))</f>
        <v>1.30047062</v>
      </c>
      <c r="I202">
        <f>INDEX('[1]Precios historicos'!$A:$AZ,MATCH(I$1,'[1]Precios historicos'!$A:$A,0),MATCH($A202,'[1]Precios historicos'!$7:$7,0))</f>
        <v>4.0897800000000002</v>
      </c>
      <c r="J202">
        <f>INDEX('[1]Precios historicos'!$A:$AZ,MATCH(J$1,'[1]Precios historicos'!$A:$A,0),MATCH($A202,'[1]Precios historicos'!$7:$7,0))</f>
        <v>1.277136</v>
      </c>
      <c r="K202">
        <f>INDEX('[1]Precios historicos'!$A:$AZ,MATCH(K$1,'[1]Precios historicos'!$A:$A,0),MATCH($A202,'[1]Precios historicos'!$7:$7,0))</f>
        <v>1.2763398500000001</v>
      </c>
    </row>
    <row r="203" spans="1:11" x14ac:dyDescent="0.25">
      <c r="A203" s="4">
        <f>+WORKDAY(A202,1,Feriados!$A$2:$A$38)</f>
        <v>46304</v>
      </c>
      <c r="B203">
        <f>INDEX('[1]Precios historicos'!$A:$AZ,MATCH(B$1,'[1]Precios historicos'!$A:$A,0),MATCH($A203,'[1]Precios historicos'!$7:$7,0))</f>
        <v>1.0415968799999999</v>
      </c>
      <c r="C203">
        <f>INDEX('[1]Precios historicos'!$A:$AZ,MATCH(C$1,'[1]Precios historicos'!$A:$A,0),MATCH($A203,'[1]Precios historicos'!$7:$7,0))</f>
        <v>1.2905880999999999</v>
      </c>
      <c r="D203">
        <f>INDEX('[1]Precios historicos'!$A:$AZ,MATCH(D$1,'[1]Precios historicos'!$A:$A,0),MATCH($A203,'[1]Precios historicos'!$7:$7,0))</f>
        <v>1.0299231099999999</v>
      </c>
      <c r="E203">
        <f>INDEX('[1]Precios historicos'!$A:$AZ,MATCH(E$1,'[1]Precios historicos'!$A:$A,0),MATCH($A203,'[1]Precios historicos'!$7:$7,0))</f>
        <v>1.25329863</v>
      </c>
      <c r="F203">
        <f>INDEX('[1]Precios historicos'!$A:$AZ,MATCH(F$1,'[1]Precios historicos'!$A:$A,0),MATCH($A203,'[1]Precios historicos'!$7:$7,0))</f>
        <v>1.26211111</v>
      </c>
      <c r="G203">
        <f>INDEX('[1]Precios historicos'!$A:$AZ,MATCH(G$1,'[1]Precios historicos'!$A:$A,0),MATCH($A203,'[1]Precios historicos'!$7:$7,0))</f>
        <v>1.36954767</v>
      </c>
      <c r="H203">
        <f>INDEX('[1]Precios historicos'!$A:$AZ,MATCH(H$1,'[1]Precios historicos'!$A:$A,0),MATCH($A203,'[1]Precios historicos'!$7:$7,0))</f>
        <v>1.3063048799999999</v>
      </c>
      <c r="I203">
        <f>INDEX('[1]Precios historicos'!$A:$AZ,MATCH(I$1,'[1]Precios historicos'!$A:$A,0),MATCH($A203,'[1]Precios historicos'!$7:$7,0))</f>
        <v>4.0949929899999997</v>
      </c>
      <c r="J203">
        <f>INDEX('[1]Precios historicos'!$A:$AZ,MATCH(J$1,'[1]Precios historicos'!$A:$A,0),MATCH($A203,'[1]Precios historicos'!$7:$7,0))</f>
        <v>1.27508665</v>
      </c>
      <c r="K203">
        <f>INDEX('[1]Precios historicos'!$A:$AZ,MATCH(K$1,'[1]Precios historicos'!$A:$A,0),MATCH($A203,'[1]Precios historicos'!$7:$7,0))</f>
        <v>1.27997136</v>
      </c>
    </row>
    <row r="204" spans="1:11" x14ac:dyDescent="0.25">
      <c r="A204" s="4">
        <f>+WORKDAY(A203,1,Feriados!$A$2:$A$38)</f>
        <v>46308</v>
      </c>
      <c r="B204">
        <f>INDEX('[1]Precios historicos'!$A:$AZ,MATCH(B$1,'[1]Precios historicos'!$A:$A,0),MATCH($A204,'[1]Precios historicos'!$7:$7,0))</f>
        <v>1.0406137799999999</v>
      </c>
      <c r="C204">
        <f>INDEX('[1]Precios historicos'!$A:$AZ,MATCH(C$1,'[1]Precios historicos'!$A:$A,0),MATCH($A204,'[1]Precios historicos'!$7:$7,0))</f>
        <v>1.2911038800000001</v>
      </c>
      <c r="D204">
        <f>INDEX('[1]Precios historicos'!$A:$AZ,MATCH(D$1,'[1]Precios historicos'!$A:$A,0),MATCH($A204,'[1]Precios historicos'!$7:$7,0))</f>
        <v>1.0300585799999999</v>
      </c>
      <c r="E204">
        <f>INDEX('[1]Precios historicos'!$A:$AZ,MATCH(E$1,'[1]Precios historicos'!$A:$A,0),MATCH($A204,'[1]Precios historicos'!$7:$7,0))</f>
        <v>1.25503353</v>
      </c>
      <c r="F204">
        <f>INDEX('[1]Precios historicos'!$A:$AZ,MATCH(F$1,'[1]Precios historicos'!$A:$A,0),MATCH($A204,'[1]Precios historicos'!$7:$7,0))</f>
        <v>1.2606297799999999</v>
      </c>
      <c r="G204">
        <f>INDEX('[1]Precios historicos'!$A:$AZ,MATCH(G$1,'[1]Precios historicos'!$A:$A,0),MATCH($A204,'[1]Precios historicos'!$7:$7,0))</f>
        <v>1.3711843500000001</v>
      </c>
      <c r="H204">
        <f>INDEX('[1]Precios historicos'!$A:$AZ,MATCH(H$1,'[1]Precios historicos'!$A:$A,0),MATCH($A204,'[1]Precios historicos'!$7:$7,0))</f>
        <v>1.3084733</v>
      </c>
      <c r="I204">
        <f>INDEX('[1]Precios historicos'!$A:$AZ,MATCH(I$1,'[1]Precios historicos'!$A:$A,0),MATCH($A204,'[1]Precios historicos'!$7:$7,0))</f>
        <v>4.1012386899999997</v>
      </c>
      <c r="J204">
        <f>INDEX('[1]Precios historicos'!$A:$AZ,MATCH(J$1,'[1]Precios historicos'!$A:$A,0),MATCH($A204,'[1]Precios historicos'!$7:$7,0))</f>
        <v>1.2767506399999999</v>
      </c>
      <c r="K204">
        <f>INDEX('[1]Precios historicos'!$A:$AZ,MATCH(K$1,'[1]Precios historicos'!$A:$A,0),MATCH($A204,'[1]Precios historicos'!$7:$7,0))</f>
        <v>1.2802404700000001</v>
      </c>
    </row>
    <row r="205" spans="1:11" x14ac:dyDescent="0.25">
      <c r="A205" s="4"/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B493" sqref="B493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>
        <f>+IFERROR(VLOOKUP(A490,[2]Variables!$M:$N,2,0),0)</f>
        <v>24.1875</v>
      </c>
    </row>
    <row r="491" spans="1:2" x14ac:dyDescent="0.25">
      <c r="A491" s="2">
        <f>+WORKDAY(A490,1,Feriados!$A$2:$A$38)</f>
        <v>46302</v>
      </c>
      <c r="B491" s="3">
        <f>+IFERROR(VLOOKUP(A491,[2]Variables!$M:$N,2,0),0)</f>
        <v>24</v>
      </c>
    </row>
    <row r="492" spans="1:2" x14ac:dyDescent="0.25">
      <c r="A492" s="2">
        <f>+WORKDAY(A491,1,Feriados!$A$2:$A$38)</f>
        <v>46303</v>
      </c>
      <c r="B492" s="3">
        <f>+IFERROR(VLOOKUP(A492,[2]Variables!$M:$N,2,0),0)</f>
        <v>24.125</v>
      </c>
    </row>
    <row r="493" spans="1:2" x14ac:dyDescent="0.25">
      <c r="A493" s="2">
        <f>+WORKDAY(A492,1,Feriados!$A$2:$A$38)</f>
        <v>46304</v>
      </c>
      <c r="B493" s="12">
        <v>24.09</v>
      </c>
    </row>
    <row r="494" spans="1:2" x14ac:dyDescent="0.25">
      <c r="A494" s="2">
        <f>+WORKDAY(A493,1,Feriados!$A$2:$A$38)</f>
        <v>46308</v>
      </c>
    </row>
    <row r="495" spans="1:2" x14ac:dyDescent="0.25">
      <c r="A495" s="2">
        <f>+WORKDAY(A494,1,Feriados!$A$2:$A$38)</f>
        <v>46309</v>
      </c>
      <c r="B495" s="3" t="str">
        <f>+IFERROR(VLOOKUP(A495,[2]Variables!$M:$N,2,0),"")</f>
        <v/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opLeftCell="A414" workbookViewId="0">
      <selection activeCell="H430" sqref="H430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854.45861540882004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854.45861540882004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854.45861540882004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854.45861540882004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854.45861540882004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854.45861540882004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854.45861540882004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854.45861540882004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854.45861540882004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854.45861540882004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854.45861540882004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854.45861540882004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854.45861540882004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854.45861540882004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854.45861540882004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854.45861540882004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854.45861540882004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854.45861540882004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854.45861540882004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854.45861540882004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854.45861540882004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854.45861540882004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854.45861540882004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854.45861540882004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854.45861540882004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854.45861540882004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854.45861540882004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854.45861540882004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854.45861540882004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854.45861540882004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854.45861540882004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854.45861540882004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854.45861540882004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854.45861540882004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854.45861540882004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854.45861540882004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854.45861540882004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854.45861540882004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854.45861540882004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854.45861540882004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854.45861540882004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854.45861540882004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854.45861540882004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854.45861540882004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854.45861540882004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854.45861540882004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854.45861540882004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854.45861540882004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854.45861540882004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854.45861540882004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854.45861540882004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854.45861540882004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854.45861540882004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854.45861540882004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854.45861540882004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854.45861540882004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854.45861540882004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854.45861540882004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854.45861540882004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854.45861540882004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854.45861540882004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854.45861540882004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854.45861540882004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854.45861540882004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854.45861540882004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854.45861540882004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854.45861540882004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854.45861540882004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854.45861540882004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854.45861540882004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854.45861540882004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854.45861540882004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854.45861540882004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854.45861540882004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854.45861540882004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854.45861540882004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854.45861540882004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854.45861540882004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854.45861540882004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854.45861540882004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854.45861540882004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854.45861540882004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854.45861540882004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854.45861540882004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854.45861540882004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854.45861540882004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854.45861540882004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854.45861540882004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854.45861540882004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854.45861540882004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854.45861540882004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854.45861540882004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854.45861540882004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854.45861540882004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854.45861540882004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854.45861540882004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854.45861540882004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854.45861540882004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854.45861540882004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854.45861540882004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854.45861540882004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854.45861540882004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854.45861540882004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854.45861540882004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854.45861540882004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854.45861540882004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854.45861540882004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854.45861540882004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854.45861540882004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854.45861540882004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854.45861540882004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854.45861540882004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854.45861540882004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854.45861540882004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854.45861540882004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854.45861540882004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854.45861540882004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854.45861540882004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854.45861540882004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854.45861540882004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854.45861540882004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854.45861540882004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854.45861540882004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854.45861540882004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854.45861540882004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854.45861540882004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854.45861540882004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854.45861540882004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854.45861540882004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854.45861540882004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854.45861540882004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854.45861540882004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854.45861540882004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854.45861540882004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854.45861540882004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854.45861540882004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854.45861540882004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854.45861540882004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854.45861540882004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854.45861540882004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854.45861540882004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854.45861540882004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854.45861540882004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854.45861540882004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854.45861540882004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854.45861540882004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854.45861540882004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854.45861540882004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854.45861540882004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854.45861540882004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854.45861540882004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854.45861540882004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854.45861540882004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854.45861540882004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854.45861540882004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854.45861540882004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854.45861540882004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854.45861540882004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854.45861540882004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854.45861540882004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854.45861540882004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854.45861540882004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8" sqref="A8:A1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tabSelected="1"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2026-10-14T13:32:34Z</dcterms:modified>
</cp:coreProperties>
</file>