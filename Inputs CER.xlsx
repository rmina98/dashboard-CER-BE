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2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52" i="1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B488" i="6" s="1"/>
  <c r="B200" i="3" l="1"/>
  <c r="A201" i="3"/>
  <c r="A202" i="3" s="1"/>
  <c r="K200" i="3"/>
  <c r="J200" i="3"/>
  <c r="H200" i="3"/>
  <c r="G200" i="3"/>
  <c r="F200" i="3"/>
  <c r="I200" i="3"/>
  <c r="E200" i="3"/>
  <c r="D200" i="3"/>
  <c r="C200" i="3"/>
  <c r="A489" i="6"/>
  <c r="B489" i="6" s="1"/>
  <c r="B487" i="6"/>
  <c r="A422" i="1"/>
  <c r="A203" i="3" l="1"/>
  <c r="J202" i="3"/>
  <c r="K202" i="3"/>
  <c r="D202" i="3"/>
  <c r="F202" i="3"/>
  <c r="H202" i="3"/>
  <c r="B202" i="3"/>
  <c r="E202" i="3"/>
  <c r="G202" i="3"/>
  <c r="I202" i="3"/>
  <c r="C202" i="3"/>
  <c r="B201" i="3"/>
  <c r="C201" i="3"/>
  <c r="E201" i="3"/>
  <c r="F201" i="3"/>
  <c r="G201" i="3"/>
  <c r="H201" i="3"/>
  <c r="I201" i="3"/>
  <c r="J201" i="3"/>
  <c r="K201" i="3"/>
  <c r="D201" i="3"/>
  <c r="A490" i="6"/>
  <c r="B490" i="6" s="1"/>
  <c r="A423" i="1"/>
  <c r="A204" i="3" l="1"/>
  <c r="A205" i="3" s="1"/>
  <c r="D203" i="3"/>
  <c r="E203" i="3"/>
  <c r="G203" i="3"/>
  <c r="H203" i="3"/>
  <c r="B203" i="3"/>
  <c r="C203" i="3"/>
  <c r="F203" i="3"/>
  <c r="J203" i="3"/>
  <c r="K203" i="3"/>
  <c r="I203" i="3"/>
  <c r="A491" i="6"/>
  <c r="B491" i="6" s="1"/>
  <c r="A424" i="1"/>
  <c r="K205" i="3" l="1"/>
  <c r="C205" i="3"/>
  <c r="G205" i="3"/>
  <c r="J205" i="3"/>
  <c r="B205" i="3"/>
  <c r="E205" i="3"/>
  <c r="F205" i="3"/>
  <c r="I205" i="3"/>
  <c r="D205" i="3"/>
  <c r="H205" i="3"/>
  <c r="B204" i="3"/>
  <c r="C204" i="3"/>
  <c r="H204" i="3"/>
  <c r="D204" i="3"/>
  <c r="E204" i="3"/>
  <c r="F204" i="3"/>
  <c r="G204" i="3"/>
  <c r="I204" i="3"/>
  <c r="J204" i="3"/>
  <c r="K204" i="3"/>
  <c r="A492" i="6"/>
  <c r="B492" i="6" s="1"/>
  <c r="A425" i="1"/>
  <c r="B425" i="1" s="1"/>
  <c r="A493" i="6" l="1"/>
  <c r="B493" i="6" s="1"/>
  <c r="A426" i="1"/>
  <c r="B426" i="1" s="1"/>
  <c r="A494" i="6" l="1"/>
  <c r="B494" i="6" s="1"/>
  <c r="A427" i="1"/>
  <c r="B427" i="1" s="1"/>
  <c r="A495" i="6" l="1"/>
  <c r="A428" i="1"/>
  <c r="B428" i="1" s="1"/>
  <c r="A496" i="6" l="1"/>
  <c r="A497" i="6" s="1"/>
  <c r="A498" i="6" s="1"/>
  <c r="A429" i="1"/>
  <c r="B429" i="1" s="1"/>
  <c r="A430" i="1" l="1"/>
  <c r="B430" i="1" s="1"/>
  <c r="A431" i="1" l="1"/>
  <c r="B431" i="1" s="1"/>
  <c r="A432" i="1" l="1"/>
  <c r="B432" i="1" s="1"/>
  <c r="A433" i="1" l="1"/>
  <c r="B433" i="1" s="1"/>
  <c r="A434" i="1" l="1"/>
  <c r="B434" i="1" s="1"/>
  <c r="A435" i="1" l="1"/>
  <c r="B435" i="1" s="1"/>
  <c r="A436" i="1" l="1"/>
  <c r="B436" i="1" s="1"/>
  <c r="A437" i="1" l="1"/>
  <c r="A438" i="1" l="1"/>
  <c r="B437" i="1"/>
  <c r="A439" i="1" l="1"/>
  <c r="B438" i="1"/>
  <c r="A440" i="1" l="1"/>
  <c r="B439" i="1"/>
  <c r="A441" i="1" l="1"/>
  <c r="B440" i="1"/>
  <c r="A442" i="1" l="1"/>
  <c r="B441" i="1"/>
  <c r="A443" i="1" l="1"/>
  <c r="B442" i="1"/>
  <c r="A444" i="1" l="1"/>
  <c r="B443" i="1"/>
  <c r="A445" i="1" l="1"/>
  <c r="B444" i="1"/>
  <c r="A446" i="1" l="1"/>
  <c r="B445" i="1"/>
  <c r="A447" i="1" l="1"/>
  <c r="B446" i="1"/>
  <c r="A448" i="1" l="1"/>
  <c r="B447" i="1"/>
  <c r="A449" i="1" l="1"/>
  <c r="B448" i="1"/>
  <c r="A450" i="1" l="1"/>
  <c r="B449" i="1"/>
  <c r="A451" i="1" l="1"/>
  <c r="B450" i="1"/>
  <c r="A452" i="1" l="1"/>
  <c r="B451" i="1"/>
  <c r="A453" i="1" l="1"/>
  <c r="A454" i="1" l="1"/>
  <c r="B453" i="1"/>
  <c r="A455" i="1" l="1"/>
  <c r="B454" i="1"/>
  <c r="A456" i="1" l="1"/>
  <c r="B455" i="1"/>
  <c r="A457" i="1" l="1"/>
  <c r="B456" i="1"/>
  <c r="A458" i="1" l="1"/>
  <c r="B457" i="1"/>
  <c r="A459" i="1" l="1"/>
  <c r="B458" i="1"/>
  <c r="A460" i="1" l="1"/>
  <c r="B459" i="1"/>
  <c r="A461" i="1" l="1"/>
  <c r="B460" i="1"/>
  <c r="A462" i="1" l="1"/>
  <c r="B461" i="1"/>
  <c r="A463" i="1" l="1"/>
  <c r="B462" i="1"/>
  <c r="A464" i="1" l="1"/>
  <c r="B463" i="1"/>
  <c r="A465" i="1" l="1"/>
  <c r="B464" i="1"/>
  <c r="A466" i="1" l="1"/>
  <c r="B465" i="1"/>
  <c r="A467" i="1" l="1"/>
  <c r="B466" i="1"/>
  <c r="A468" i="1" l="1"/>
  <c r="B467" i="1"/>
  <c r="A469" i="1" l="1"/>
  <c r="B468" i="1"/>
  <c r="A470" i="1" l="1"/>
  <c r="B469" i="1"/>
  <c r="A471" i="1" l="1"/>
  <c r="B470" i="1"/>
  <c r="A472" i="1" l="1"/>
  <c r="B471" i="1"/>
  <c r="A473" i="1" l="1"/>
  <c r="B472" i="1"/>
  <c r="A474" i="1" l="1"/>
  <c r="B473" i="1"/>
  <c r="A475" i="1" l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74" i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A594" i="1" l="1"/>
  <c r="B593" i="1"/>
  <c r="B594" i="1" l="1"/>
  <c r="A595" i="1"/>
  <c r="B595" i="1" l="1"/>
  <c r="A596" i="1"/>
  <c r="B596" i="1" s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<sst xmlns="http://schemas.openxmlformats.org/spreadsheetml/2006/main" count="33" uniqueCount="18">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</sst>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>
        <row r="1">
          <cell r="A1" t="str">
            <v>t-2</v>
          </cell>
        </row>
      </sheetData>
      <sheetData sheetId="3"/>
      <sheetData sheetId="4"/>
      <sheetData sheetId="5"/>
      <sheetData sheetId="6">
        <row r="1">
          <cell r="A1" t="str">
            <v>Columna</v>
          </cell>
          <cell r="B1">
            <v>14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368.51199037500135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702.70822411348058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1009.9701114549689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519.79691340603722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524.56320497707623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679.48256765180872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689.13776149409227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1019.3642561389286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1599.7190284103851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1653.9681291342692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2205.446452746643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1909.8847923445735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1944.2465775916278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2034.5047243771728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2093.6019758740881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368.52240818826249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702.73239375575429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1009.9252088638959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517.04874923014597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519.94496334573694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677.8380759390916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679.54439286279194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1019.2984128915176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1616.2552791469561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1595.9507833668226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1926.7440284130794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1907.4932840412328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2134.4271969571673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2046.5580815678813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2027.4649478906049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282.59599029095762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282.60228873448352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5.00000000000135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93.000000000001748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197.99999999997536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229.00000000002822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258.99999999997067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816.07686192833512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2.0000000000019997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15.999999999997751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30.000000000008097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47.000000000003197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107.00000000004495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62.000000000018204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135.00000000003644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288.99999999999335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321.0000000000984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686.99999999990587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625.00000000005923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792.99999999995703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989.00000000025534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1156.9999999998795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1352.999999999623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26.000000000000451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15.999999999997751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47.000000000014154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62.000000000007255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107.0000000000413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167.99999999998184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198.00000000005562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228.99999999994796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259.00000000001444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351.00000000010641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</row>
        <row r="98">
          <cell r="A98" t="str">
            <v>TZXD7</v>
          </cell>
          <cell r="B98" t="str">
            <v>TZXD7ARS</v>
          </cell>
          <cell r="C98" t="str">
            <v>Soberano - Tasa Fija Pesos CER</v>
          </cell>
          <cell r="D98">
            <v>427.00000000000364</v>
          </cell>
          <cell r="E98">
            <v>2.81221086</v>
          </cell>
          <cell r="F98">
            <v>2.8366361900000001</v>
          </cell>
          <cell r="G98">
            <v>2.8418500999999998</v>
          </cell>
          <cell r="H98">
            <v>2.84846975</v>
          </cell>
          <cell r="I98">
            <v>2.8522193200000001</v>
          </cell>
          <cell r="J98">
            <v>2.8454391299999999</v>
          </cell>
          <cell r="K98">
            <v>2.8527074699999999</v>
          </cell>
          <cell r="L98">
            <v>2.8698494600000002</v>
          </cell>
          <cell r="M98">
            <v>2.8709852200000001</v>
          </cell>
        </row>
        <row r="99">
          <cell r="A99" t="str">
            <v>TZXS8</v>
          </cell>
          <cell r="B99" t="str">
            <v>TZXS8ARS</v>
          </cell>
          <cell r="C99" t="str">
            <v>Soberano - Tasa Fija Pesos CER</v>
          </cell>
          <cell r="D99">
            <v>715.99999999990939</v>
          </cell>
          <cell r="E99">
            <v>0.95454327999999999</v>
          </cell>
          <cell r="F99">
            <v>0.95990352999999995</v>
          </cell>
          <cell r="G99">
            <v>0.96376781</v>
          </cell>
          <cell r="H99">
            <v>0.97697509000000005</v>
          </cell>
          <cell r="I99">
            <v>0.97870531999999999</v>
          </cell>
          <cell r="J99">
            <v>0.97865988999999998</v>
          </cell>
          <cell r="K99">
            <v>0.98127425999999995</v>
          </cell>
          <cell r="L99">
            <v>0.98119071000000002</v>
          </cell>
          <cell r="M99">
            <v>0.98136414999999999</v>
          </cell>
        </row>
        <row r="100">
          <cell r="A100" t="str">
            <v>TZX28</v>
          </cell>
          <cell r="B100" t="str">
            <v>TZX28ARS</v>
          </cell>
          <cell r="C100" t="str">
            <v>Soberano - Tasa Fija Pesos CER</v>
          </cell>
          <cell r="D100">
            <v>624.99999999997897</v>
          </cell>
          <cell r="E100">
            <v>3.5458695200000001</v>
          </cell>
          <cell r="F100">
            <v>3.5653664699999998</v>
          </cell>
          <cell r="G100">
            <v>3.5836530400000002</v>
          </cell>
          <cell r="H100">
            <v>3.5942459100000002</v>
          </cell>
          <cell r="I100">
            <v>3.60908367</v>
          </cell>
          <cell r="J100">
            <v>3.5901815899999998</v>
          </cell>
          <cell r="K100">
            <v>3.6190726799999999</v>
          </cell>
          <cell r="L100">
            <v>3.6202291299999998</v>
          </cell>
          <cell r="M100">
            <v>3.6150677500000001</v>
          </cell>
        </row>
        <row r="101">
          <cell r="A101" t="str">
            <v>TZXM8</v>
          </cell>
          <cell r="B101" t="str">
            <v>TZXM8ARS</v>
          </cell>
          <cell r="C101" t="str">
            <v>Soberano - Tasa Fija Pesos CER</v>
          </cell>
          <cell r="D101">
            <v>533.99999999999386</v>
          </cell>
          <cell r="E101">
            <v>1.00892969</v>
          </cell>
          <cell r="F101">
            <v>1.0188324900000001</v>
          </cell>
          <cell r="G101">
            <v>1.0229919999999999</v>
          </cell>
          <cell r="H101">
            <v>1.02450017</v>
          </cell>
          <cell r="I101">
            <v>1.0227945199999999</v>
          </cell>
          <cell r="J101">
            <v>1.02891296</v>
          </cell>
          <cell r="K101">
            <v>1.03091176</v>
          </cell>
          <cell r="L101">
            <v>1.0318006099999999</v>
          </cell>
          <cell r="M101">
            <v>1.0349810399999999</v>
          </cell>
        </row>
        <row r="102">
          <cell r="A102" t="str">
            <v>TZXD8</v>
          </cell>
          <cell r="B102" t="str">
            <v>TZXD8ARS</v>
          </cell>
          <cell r="C102" t="str">
            <v>Soberano - Tasa Fija Pesos CER</v>
          </cell>
          <cell r="D102">
            <v>792.99999999998272</v>
          </cell>
          <cell r="E102">
            <v>0.85389999999999999</v>
          </cell>
          <cell r="F102">
            <v>0.85999998</v>
          </cell>
          <cell r="G102">
            <v>0.86281226</v>
          </cell>
          <cell r="H102">
            <v>0.86971883999999999</v>
          </cell>
          <cell r="I102">
            <v>0.86950000000000005</v>
          </cell>
          <cell r="J102">
            <v>0.87400001999999999</v>
          </cell>
          <cell r="K102">
            <v>0.87699309000000003</v>
          </cell>
          <cell r="L102">
            <v>0.87646520000000006</v>
          </cell>
          <cell r="M102">
            <v>0.87050196999999996</v>
          </cell>
        </row>
        <row r="103">
          <cell r="A103" t="str">
            <v>TZXM9</v>
          </cell>
          <cell r="B103" t="str">
            <v>TZXM9ARS</v>
          </cell>
          <cell r="C103" t="str">
            <v>Soberano - Tasa Fija Pesos CER</v>
          </cell>
          <cell r="D103">
            <v>895.99999999958925</v>
          </cell>
          <cell r="E103">
            <v>0.90952962000000004</v>
          </cell>
          <cell r="F103">
            <v>0.91112943999999996</v>
          </cell>
          <cell r="G103">
            <v>0.91286754999999997</v>
          </cell>
          <cell r="H103">
            <v>0.92161550000000003</v>
          </cell>
          <cell r="I103">
            <v>0.92601593000000004</v>
          </cell>
          <cell r="J103">
            <v>0.93140000000000001</v>
          </cell>
          <cell r="K103">
            <v>0.92910605999999996</v>
          </cell>
          <cell r="L103">
            <v>0.93078998999999996</v>
          </cell>
          <cell r="M103">
            <v>0.927176</v>
          </cell>
        </row>
        <row r="104">
          <cell r="A104" t="str">
            <v>DICP</v>
          </cell>
          <cell r="B104" t="str">
            <v>DICPARS</v>
          </cell>
          <cell r="C104" t="str">
            <v>Soberano - Tasa Fija Pesos CER</v>
          </cell>
          <cell r="D104">
            <v>1107.0483702106371</v>
          </cell>
          <cell r="E104">
            <v>482.82814934999999</v>
          </cell>
          <cell r="F104">
            <v>485.86275510000002</v>
          </cell>
          <cell r="G104">
            <v>489.94758719999999</v>
          </cell>
          <cell r="H104">
            <v>492.00095325000001</v>
          </cell>
          <cell r="I104">
            <v>491.80371127000001</v>
          </cell>
          <cell r="J104">
            <v>491.45094437</v>
          </cell>
          <cell r="K104">
            <v>494.39902504999998</v>
          </cell>
          <cell r="L104">
            <v>493.52011914000002</v>
          </cell>
          <cell r="M104">
            <v>490.22198803999999</v>
          </cell>
        </row>
        <row r="105">
          <cell r="A105"/>
          <cell r="B105"/>
          <cell r="C105"/>
          <cell r="D105"/>
        </row>
        <row r="106">
          <cell r="A106" t="str">
            <v>Bonos Soberanos Dólar Linked</v>
          </cell>
          <cell r="B106"/>
          <cell r="C106"/>
          <cell r="D106"/>
        </row>
        <row r="107">
          <cell r="A107"/>
          <cell r="B107"/>
          <cell r="C107"/>
          <cell r="D107"/>
        </row>
        <row r="108">
          <cell r="A108" t="str">
            <v>D30O6</v>
          </cell>
          <cell r="B108" t="str">
            <v>D30O6ARS</v>
          </cell>
          <cell r="C108" t="str">
            <v>LeLink - Tasa Fija USD Link</v>
          </cell>
          <cell r="D108">
            <v>16.0000000000014</v>
          </cell>
          <cell r="E108">
            <v>1516.3591143900001</v>
          </cell>
          <cell r="F108">
            <v>1515.7253859100001</v>
          </cell>
          <cell r="G108">
            <v>1513.7168782900001</v>
          </cell>
          <cell r="H108">
            <v>1513.25043723</v>
          </cell>
          <cell r="I108">
            <v>1512.8833083</v>
          </cell>
          <cell r="J108">
            <v>1512.5530781</v>
          </cell>
          <cell r="K108">
            <v>1513.56546884</v>
          </cell>
          <cell r="L108">
            <v>1510.6740583400001</v>
          </cell>
          <cell r="M108">
            <v>1510.13660411</v>
          </cell>
        </row>
        <row r="109">
          <cell r="A109" t="str">
            <v>D30N6</v>
          </cell>
          <cell r="B109" t="str">
            <v>D30N6ARS</v>
          </cell>
          <cell r="C109" t="str">
            <v>LeLink - Tasa Fija USD Link</v>
          </cell>
          <cell r="D109">
            <v>46.999999999999552</v>
          </cell>
          <cell r="E109">
            <v>1511.86801786</v>
          </cell>
          <cell r="F109">
            <v>1512.4074718899999</v>
          </cell>
          <cell r="G109">
            <v>1509.7487176</v>
          </cell>
          <cell r="H109">
            <v>1509.8441895000001</v>
          </cell>
          <cell r="I109">
            <v>1510.4829224299999</v>
          </cell>
          <cell r="J109">
            <v>1507.7800651099999</v>
          </cell>
          <cell r="K109">
            <v>1510.0003593399999</v>
          </cell>
          <cell r="L109">
            <v>1510.3867922300001</v>
          </cell>
          <cell r="M109">
            <v>1506.36603313</v>
          </cell>
        </row>
        <row r="110">
          <cell r="A110"/>
          <cell r="B110"/>
          <cell r="C110"/>
          <cell r="D110"/>
        </row>
        <row r="111">
          <cell r="A111" t="str">
            <v>Bonos Soberanos Dólar Linked - TAMAR</v>
          </cell>
          <cell r="B111"/>
          <cell r="C111"/>
          <cell r="D111"/>
        </row>
        <row r="112">
          <cell r="A112"/>
          <cell r="B112"/>
          <cell r="C112"/>
          <cell r="D112"/>
        </row>
        <row r="113">
          <cell r="A113" t="str">
            <v>TMVE8</v>
          </cell>
          <cell r="B113" t="str">
            <v>TMVE8ARS</v>
          </cell>
          <cell r="C113" t="str">
            <v>TMVE8 - Z-Spread D</v>
          </cell>
          <cell r="D113">
            <v>470.99999999999648</v>
          </cell>
          <cell r="E113">
            <v>1424.30875844</v>
          </cell>
          <cell r="F113">
            <v>1429.9763461299999</v>
          </cell>
          <cell r="G113">
            <v>1432.3469475899999</v>
          </cell>
          <cell r="H113">
            <v>1435.04689403</v>
          </cell>
          <cell r="I113">
            <v>1436.22734943</v>
          </cell>
          <cell r="J113">
            <v>1438.3300213800001</v>
          </cell>
          <cell r="K113">
            <v>1437.2083255699999</v>
          </cell>
          <cell r="L113">
            <v>1436.15407448</v>
          </cell>
          <cell r="M113">
            <v>1435.2872485299999</v>
          </cell>
        </row>
        <row r="114">
          <cell r="A114"/>
          <cell r="B114"/>
          <cell r="C114"/>
          <cell r="D114"/>
        </row>
        <row r="115">
          <cell r="A115" t="str">
            <v>Letras provinciales Cer</v>
          </cell>
          <cell r="B115"/>
          <cell r="C115"/>
          <cell r="D115"/>
        </row>
        <row r="116">
          <cell r="A116"/>
          <cell r="B116"/>
          <cell r="C116"/>
          <cell r="D116"/>
        </row>
        <row r="117">
          <cell r="A117" t="str">
            <v>COY27</v>
          </cell>
          <cell r="B117" t="str">
            <v>COY27ARS</v>
          </cell>
          <cell r="C117" t="str">
            <v>Subsoberano Tier 1 - Tasa Fija Pesos CER</v>
          </cell>
          <cell r="D117">
            <v>173.4782682109491</v>
          </cell>
          <cell r="E117">
            <v>2.3338340500000001</v>
          </cell>
          <cell r="F117">
            <v>2.3259488899999998</v>
          </cell>
          <cell r="G117">
            <v>2.3315078699999998</v>
          </cell>
          <cell r="H117">
            <v>2.3344347499999998</v>
          </cell>
          <cell r="I117">
            <v>2.3320940299999999</v>
          </cell>
          <cell r="J117">
            <v>2.3380614300000002</v>
          </cell>
          <cell r="K117">
            <v>2.3396211299999998</v>
          </cell>
          <cell r="L117">
            <v>2.3437330799999998</v>
          </cell>
          <cell r="M117">
            <v>2.3443107699999999</v>
          </cell>
        </row>
        <row r="118">
          <cell r="A118"/>
          <cell r="B118"/>
          <cell r="C118"/>
          <cell r="D118"/>
        </row>
        <row r="119">
          <cell r="A119" t="str">
            <v>Letras provinciales Tamar</v>
          </cell>
          <cell r="B119"/>
          <cell r="C119"/>
          <cell r="D119"/>
        </row>
        <row r="120">
          <cell r="A120"/>
          <cell r="B120"/>
          <cell r="C120"/>
          <cell r="D120"/>
        </row>
        <row r="121">
          <cell r="A121" t="str">
            <v>CO2D7</v>
          </cell>
          <cell r="B121" t="str">
            <v>CO2D7ARS</v>
          </cell>
          <cell r="C121" t="str">
            <v>Subsoberano Tier 1 - TAMAR TP</v>
          </cell>
          <cell r="D121">
            <v>323.2586488013614</v>
          </cell>
          <cell r="E121">
            <v>1.0227225099999999</v>
          </cell>
          <cell r="F121">
            <v>1.0260071500000001</v>
          </cell>
          <cell r="G121">
            <v>1.01698055</v>
          </cell>
          <cell r="H121">
            <v>1.02274519</v>
          </cell>
          <cell r="I121">
            <v>1.02170926</v>
          </cell>
          <cell r="J121">
            <v>0.99186079000000005</v>
          </cell>
          <cell r="K121">
            <v>0.99622913000000002</v>
          </cell>
          <cell r="L121">
            <v>1.00682308</v>
          </cell>
          <cell r="M121">
            <v>1.011112</v>
          </cell>
        </row>
        <row r="122">
          <cell r="A122"/>
          <cell r="B122"/>
          <cell r="C122"/>
          <cell r="D122"/>
        </row>
        <row r="123">
          <cell r="A123" t="str">
            <v>Letras provinciales Hard USD</v>
          </cell>
          <cell r="B123"/>
          <cell r="C123"/>
          <cell r="D123"/>
        </row>
        <row r="124">
          <cell r="A124"/>
          <cell r="B124"/>
          <cell r="C124"/>
          <cell r="D124"/>
        </row>
        <row r="125">
          <cell r="A125" t="str">
            <v>SJO5D</v>
          </cell>
          <cell r="B125" t="str">
            <v>SJO5DUSM</v>
          </cell>
          <cell r="C125" t="str">
            <v>SJO35 - Z-Spread NY</v>
          </cell>
          <cell r="D125">
            <v>2106.1746276449308</v>
          </cell>
          <cell r="G125">
            <v>1.1023022099999999</v>
          </cell>
          <cell r="H125">
            <v>1.04622444</v>
          </cell>
          <cell r="I125">
            <v>1.0140185100000001</v>
          </cell>
          <cell r="J125">
            <v>1.0249420899999999</v>
          </cell>
          <cell r="K125">
            <v>1.0304920399999999</v>
          </cell>
          <cell r="L125">
            <v>1.0218382500000001</v>
          </cell>
          <cell r="M125">
            <v>1.0340084899999999</v>
          </cell>
        </row>
        <row r="126">
          <cell r="A126"/>
          <cell r="B126"/>
          <cell r="C126"/>
          <cell r="D126"/>
        </row>
        <row r="127">
          <cell r="A127" t="str">
            <v>SJO35</v>
          </cell>
          <cell r="B127" t="str">
            <v>SJO35ARS</v>
          </cell>
          <cell r="C127" t="str">
            <v>SJO35S - Z-Spread NY Pesos</v>
          </cell>
          <cell r="D127">
            <v>2081.4523070528257</v>
          </cell>
          <cell r="E127">
            <v>1602.24</v>
          </cell>
          <cell r="F127">
            <v>1593.98653448</v>
          </cell>
          <cell r="G127">
            <v>1700.9780062100001</v>
          </cell>
          <cell r="H127">
            <v>1612.52767939</v>
          </cell>
          <cell r="I127">
            <v>1560.5110013399999</v>
          </cell>
          <cell r="J127">
            <v>1574.9981769000001</v>
          </cell>
          <cell r="K127">
            <v>1599.93038828</v>
          </cell>
          <cell r="L127">
            <v>1589.6180757499999</v>
          </cell>
          <cell r="M127">
            <v>1589.1344104899999</v>
          </cell>
        </row>
        <row r="128">
          <cell r="A128"/>
          <cell r="B128"/>
          <cell r="C128"/>
          <cell r="D128"/>
        </row>
        <row r="129">
          <cell r="A129" t="str">
            <v>Obligaciones Negociables Baldar</v>
          </cell>
          <cell r="B129"/>
          <cell r="C129"/>
          <cell r="D129"/>
        </row>
        <row r="130">
          <cell r="A130"/>
          <cell r="B130"/>
          <cell r="C130"/>
          <cell r="D130"/>
        </row>
        <row r="131">
          <cell r="A131" t="str">
            <v>CH9BO</v>
          </cell>
          <cell r="B131" t="str">
            <v>CH9BOARS</v>
          </cell>
          <cell r="C131" t="e">
            <v>#N/A</v>
          </cell>
          <cell r="D131" t="e">
            <v>#N/A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>
            <v>1.0000000000000001E-9</v>
          </cell>
          <cell r="J131">
            <v>1.0000000000000001E-9</v>
          </cell>
          <cell r="K131">
            <v>1.0000000000000001E-9</v>
          </cell>
          <cell r="L131">
            <v>1.0000000000000001E-9</v>
          </cell>
          <cell r="M131">
            <v>1.0000000000000001E-9</v>
          </cell>
        </row>
        <row r="132">
          <cell r="A132" t="str">
            <v>DRSEO</v>
          </cell>
          <cell r="B132" t="str">
            <v>DRSEOARS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</row>
        <row r="133">
          <cell r="A133" t="str">
            <v>DRDCO</v>
          </cell>
          <cell r="B133" t="str">
            <v>DRDCOARS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</row>
        <row r="134">
          <cell r="A134"/>
          <cell r="B134"/>
          <cell r="C134"/>
          <cell r="D134"/>
        </row>
        <row r="135">
          <cell r="A135" t="str">
            <v>Obligaciones Negociables Tamar</v>
          </cell>
          <cell r="B135"/>
          <cell r="C135"/>
          <cell r="D135"/>
        </row>
        <row r="136">
          <cell r="A136"/>
          <cell r="B136"/>
          <cell r="C136"/>
          <cell r="D136"/>
        </row>
        <row r="137">
          <cell r="A137" t="str">
            <v>IP11P</v>
          </cell>
          <cell r="B137" t="str">
            <v>IP11PARS</v>
          </cell>
          <cell r="C137" t="str">
            <v>ON PyME Gar - TAMAR ON</v>
          </cell>
          <cell r="D137">
            <v>98.678908262391303</v>
          </cell>
          <cell r="E137">
            <v>0.71808508000000004</v>
          </cell>
          <cell r="F137">
            <v>0.71523113000000005</v>
          </cell>
          <cell r="G137">
            <v>0.71874519999999997</v>
          </cell>
          <cell r="H137">
            <v>0.71817998000000005</v>
          </cell>
          <cell r="I137">
            <v>0.71899506000000002</v>
          </cell>
          <cell r="J137">
            <v>0.72105215</v>
          </cell>
          <cell r="K137">
            <v>0.72309064999999995</v>
          </cell>
          <cell r="L137">
            <v>0.72347819999999996</v>
          </cell>
          <cell r="M137">
            <v>0.72350983999999996</v>
          </cell>
        </row>
        <row r="138">
          <cell r="A138" t="str">
            <v>LMS1P</v>
          </cell>
          <cell r="B138" t="str">
            <v>LMS1PARS</v>
          </cell>
          <cell r="C138" t="str">
            <v>ON PyME Gar - TAMAR ON</v>
          </cell>
          <cell r="D138">
            <v>138.66614941611584</v>
          </cell>
          <cell r="E138">
            <v>0.52160766999999997</v>
          </cell>
          <cell r="F138">
            <v>0.51853890000000002</v>
          </cell>
          <cell r="G138">
            <v>0.52190336000000004</v>
          </cell>
          <cell r="H138">
            <v>0.52124252999999998</v>
          </cell>
          <cell r="I138">
            <v>0.52196189000000004</v>
          </cell>
          <cell r="J138">
            <v>0.52385554000000001</v>
          </cell>
          <cell r="K138">
            <v>0.52544088</v>
          </cell>
          <cell r="L138">
            <v>0.52572383</v>
          </cell>
          <cell r="M138">
            <v>0.52565543000000003</v>
          </cell>
        </row>
        <row r="139">
          <cell r="A139" t="str">
            <v>PES1L</v>
          </cell>
          <cell r="B139" t="str">
            <v>PES1LARS</v>
          </cell>
          <cell r="C139" t="str">
            <v>ON PyME Gar - TAMAR ON</v>
          </cell>
          <cell r="D139">
            <v>205.55120973898482</v>
          </cell>
          <cell r="E139">
            <v>0.7521023</v>
          </cell>
          <cell r="F139">
            <v>0.74612075</v>
          </cell>
          <cell r="G139">
            <v>0.75260033000000004</v>
          </cell>
          <cell r="H139">
            <v>0.75124062000000003</v>
          </cell>
          <cell r="I139">
            <v>0.75268805000000005</v>
          </cell>
          <cell r="J139">
            <v>0.75585504999999997</v>
          </cell>
          <cell r="K139">
            <v>0.75814601000000004</v>
          </cell>
          <cell r="L139">
            <v>0.75859759000000004</v>
          </cell>
          <cell r="M139">
            <v>0.75848504000000005</v>
          </cell>
        </row>
        <row r="140">
          <cell r="A140" t="str">
            <v>FSS1L</v>
          </cell>
          <cell r="B140" t="str">
            <v>FSS1LARS</v>
          </cell>
          <cell r="C140" t="str">
            <v>ON PyME Gar - TAMAR ON</v>
          </cell>
          <cell r="D140">
            <v>212.34485004343605</v>
          </cell>
          <cell r="E140">
            <v>0.78897684000000001</v>
          </cell>
          <cell r="F140">
            <v>0.78292457000000004</v>
          </cell>
          <cell r="G140">
            <v>0.78961627000000001</v>
          </cell>
          <cell r="H140">
            <v>0.78826306999999995</v>
          </cell>
          <cell r="I140">
            <v>0.78977379000000003</v>
          </cell>
          <cell r="J140">
            <v>0.79301580999999999</v>
          </cell>
          <cell r="K140">
            <v>0.79536052000000002</v>
          </cell>
          <cell r="L140">
            <v>0.79584991999999999</v>
          </cell>
          <cell r="M140">
            <v>0.79578269999999995</v>
          </cell>
        </row>
        <row r="141">
          <cell r="A141" t="str">
            <v>DJS1L</v>
          </cell>
          <cell r="B141" t="str">
            <v>DJS1LARS</v>
          </cell>
          <cell r="C141" t="str">
            <v>ON PyME Gar - TAMAR ON</v>
          </cell>
          <cell r="D141">
            <v>294.38916437224503</v>
          </cell>
          <cell r="E141">
            <v>0.76595769999999996</v>
          </cell>
          <cell r="F141">
            <v>0.75894262999999995</v>
          </cell>
          <cell r="G141">
            <v>0.76669666999999997</v>
          </cell>
          <cell r="H141">
            <v>0.76519387000000005</v>
          </cell>
          <cell r="I141">
            <v>0.76689638000000004</v>
          </cell>
          <cell r="J141">
            <v>0.77054040999999995</v>
          </cell>
          <cell r="K141">
            <v>0.77279876999999997</v>
          </cell>
          <cell r="L141">
            <v>0.77332666999999999</v>
          </cell>
          <cell r="M141">
            <v>0.77325524999999995</v>
          </cell>
        </row>
        <row r="142">
          <cell r="A142" t="str">
            <v>CZ11L</v>
          </cell>
          <cell r="B142" t="str">
            <v>CZ11LARS</v>
          </cell>
          <cell r="C142" t="str">
            <v>ON PyME Gar - TAMAR ON</v>
          </cell>
          <cell r="D142">
            <v>280.18393545776394</v>
          </cell>
          <cell r="E142">
            <v>1.0455109300000001</v>
          </cell>
          <cell r="F142">
            <v>1.0361494200000001</v>
          </cell>
          <cell r="G142">
            <v>1.0464652000000001</v>
          </cell>
          <cell r="H142">
            <v>1.04443251</v>
          </cell>
          <cell r="I142">
            <v>1.04670609</v>
          </cell>
          <cell r="J142">
            <v>1.0515786</v>
          </cell>
          <cell r="K142">
            <v>1.05467384</v>
          </cell>
          <cell r="L142">
            <v>1.0553835</v>
          </cell>
          <cell r="M142">
            <v>1.05528574</v>
          </cell>
        </row>
        <row r="143">
          <cell r="A143" t="str">
            <v>AKS1L</v>
          </cell>
          <cell r="B143" t="str">
            <v>AKS1LARS</v>
          </cell>
          <cell r="C143" t="str">
            <v>ON PyME Gar - TAMAR ON</v>
          </cell>
          <cell r="D143">
            <v>369.24118083782588</v>
          </cell>
          <cell r="E143">
            <v>1.0219939199999999</v>
          </cell>
          <cell r="F143">
            <v>1.01080331</v>
          </cell>
          <cell r="G143">
            <v>1.02332494</v>
          </cell>
          <cell r="H143">
            <v>1.0208458499999999</v>
          </cell>
          <cell r="I143">
            <v>1.02373424</v>
          </cell>
          <cell r="J143">
            <v>1.0290141399999999</v>
          </cell>
          <cell r="K143">
            <v>1.0319159499999999</v>
          </cell>
          <cell r="L143">
            <v>1.03270832</v>
          </cell>
          <cell r="M143">
            <v>1.03269403</v>
          </cell>
        </row>
        <row r="144">
          <cell r="A144" t="str">
            <v>SQS1L</v>
          </cell>
          <cell r="B144" t="str">
            <v>SQS1LARS</v>
          </cell>
          <cell r="C144" t="str">
            <v>ON PyME Gar - TAMAR ON</v>
          </cell>
          <cell r="D144">
            <v>400.61808889256884</v>
          </cell>
          <cell r="E144">
            <v>1.0293646999999999</v>
          </cell>
          <cell r="F144">
            <v>1.02192248</v>
          </cell>
          <cell r="G144">
            <v>1.0312315599999999</v>
          </cell>
          <cell r="H144">
            <v>1.030219</v>
          </cell>
          <cell r="I144">
            <v>1.03202543</v>
          </cell>
          <cell r="J144">
            <v>1.03695198</v>
          </cell>
          <cell r="K144">
            <v>1.0395643299999999</v>
          </cell>
          <cell r="L144">
            <v>1.0404317000000001</v>
          </cell>
          <cell r="M144">
            <v>1.04066057</v>
          </cell>
        </row>
        <row r="145">
          <cell r="A145" t="str">
            <v>CHS1L</v>
          </cell>
          <cell r="B145" t="str">
            <v>CHS1LARS</v>
          </cell>
          <cell r="C145" t="str">
            <v>ON PyME Gar - TAMAR ON</v>
          </cell>
          <cell r="D145">
            <v>464.40355546863259</v>
          </cell>
          <cell r="E145">
            <v>1.02627929</v>
          </cell>
          <cell r="F145">
            <v>1.02032057</v>
          </cell>
          <cell r="G145">
            <v>1.02880861</v>
          </cell>
          <cell r="H145">
            <v>1.0284679999999999</v>
          </cell>
          <cell r="I145">
            <v>1.0299946600000001</v>
          </cell>
          <cell r="J145">
            <v>1.03477409</v>
          </cell>
          <cell r="K145">
            <v>1.0370515600000001</v>
          </cell>
          <cell r="L145">
            <v>1.0380264100000001</v>
          </cell>
          <cell r="M145">
            <v>1.0385156</v>
          </cell>
        </row>
        <row r="146">
          <cell r="A146" t="str">
            <v>GES2L</v>
          </cell>
          <cell r="B146" t="str">
            <v>GES2LARS</v>
          </cell>
          <cell r="C146" t="str">
            <v>ON PyME Gar - TAMAR ON</v>
          </cell>
          <cell r="D146">
            <v>518.37587860866415</v>
          </cell>
          <cell r="I146">
            <v>1.00554499</v>
          </cell>
          <cell r="J146">
            <v>1.010122</v>
          </cell>
          <cell r="K146">
            <v>1.0120881399999999</v>
          </cell>
          <cell r="L146">
            <v>1.01313042</v>
          </cell>
          <cell r="M146">
            <v>1.0138199000000001</v>
          </cell>
        </row>
        <row r="147">
          <cell r="A147" t="str">
            <v>AKS2L</v>
          </cell>
          <cell r="B147" t="str">
            <v>AKS2LARS</v>
          </cell>
          <cell r="C147" t="str">
            <v>ON PyME Gar - TAMAR ON</v>
          </cell>
          <cell r="D147">
            <v>523.30948865269511</v>
          </cell>
          <cell r="E147">
            <v>1.0091040099999999</v>
          </cell>
          <cell r="F147">
            <v>1.0069321499999999</v>
          </cell>
          <cell r="G147">
            <v>1.01203431</v>
          </cell>
          <cell r="H147">
            <v>1.0132026000000001</v>
          </cell>
          <cell r="I147">
            <v>1.01349636</v>
          </cell>
          <cell r="J147">
            <v>1.0180764099999999</v>
          </cell>
          <cell r="K147">
            <v>1.02002554</v>
          </cell>
          <cell r="L147">
            <v>1.0210932500000001</v>
          </cell>
          <cell r="M147">
            <v>1.02183008</v>
          </cell>
        </row>
        <row r="148">
          <cell r="A148" t="str">
            <v>BF38O</v>
          </cell>
          <cell r="B148" t="str">
            <v>BF38OARS</v>
          </cell>
          <cell r="C148" t="str">
            <v>ON Tier 1 - TAMAR ON</v>
          </cell>
          <cell r="D148">
            <v>36.999999999989548</v>
          </cell>
          <cell r="E148">
            <v>1.0346086999999999</v>
          </cell>
          <cell r="F148">
            <v>1.0363554500000001</v>
          </cell>
          <cell r="G148">
            <v>1.03643098</v>
          </cell>
          <cell r="H148">
            <v>1.0368934599999999</v>
          </cell>
          <cell r="I148">
            <v>1.0375213999999999</v>
          </cell>
          <cell r="J148">
            <v>1.0388948899999999</v>
          </cell>
          <cell r="K148">
            <v>1.04207531</v>
          </cell>
          <cell r="L148">
            <v>1.0427479399999999</v>
          </cell>
          <cell r="M148">
            <v>1.0431640799999999</v>
          </cell>
        </row>
        <row r="149">
          <cell r="A149" t="str">
            <v>SXC5O</v>
          </cell>
          <cell r="B149" t="str">
            <v>SXC5OARS</v>
          </cell>
          <cell r="C149" t="str">
            <v>ON Tier 1 - TAMAR ON</v>
          </cell>
          <cell r="D149">
            <v>34.999999999983899</v>
          </cell>
          <cell r="E149">
            <v>1.03354773</v>
          </cell>
          <cell r="F149">
            <v>1.0353106599999999</v>
          </cell>
          <cell r="G149">
            <v>1.035398</v>
          </cell>
          <cell r="H149">
            <v>1.03587132</v>
          </cell>
          <cell r="I149">
            <v>1.0364935099999999</v>
          </cell>
          <cell r="J149">
            <v>1.03784159</v>
          </cell>
          <cell r="K149">
            <v>1.0410052400000001</v>
          </cell>
          <cell r="L149">
            <v>1.0416804399999999</v>
          </cell>
          <cell r="M149">
            <v>1.04211338</v>
          </cell>
        </row>
        <row r="150">
          <cell r="A150" t="str">
            <v>RC3CO</v>
          </cell>
          <cell r="B150" t="str">
            <v>RC3COARS</v>
          </cell>
          <cell r="C150" t="str">
            <v>ON Tier 1 - TAMAR ON</v>
          </cell>
          <cell r="D150">
            <v>62.000000000003595</v>
          </cell>
          <cell r="E150">
            <v>1.01507806</v>
          </cell>
          <cell r="F150">
            <v>1.0165147699999999</v>
          </cell>
          <cell r="G150">
            <v>1.01526088</v>
          </cell>
          <cell r="H150">
            <v>1.0167046399999999</v>
          </cell>
          <cell r="I150">
            <v>1.0174083300000001</v>
          </cell>
          <cell r="J150">
            <v>1.0190145799999999</v>
          </cell>
          <cell r="K150">
            <v>1.02228757</v>
          </cell>
          <cell r="L150">
            <v>1.0229330299999999</v>
          </cell>
          <cell r="M150">
            <v>1.0231831199999999</v>
          </cell>
        </row>
        <row r="151">
          <cell r="A151" t="str">
            <v>RC4CO</v>
          </cell>
          <cell r="B151" t="str">
            <v>RC4COARS</v>
          </cell>
          <cell r="C151" t="str">
            <v>ON Tier 1 - TAMAR ON</v>
          </cell>
          <cell r="D151">
            <v>128.03772628027295</v>
          </cell>
          <cell r="E151">
            <v>1.0321267199999999</v>
          </cell>
          <cell r="F151">
            <v>1.0328105299999999</v>
          </cell>
          <cell r="G151">
            <v>1.0329555800000001</v>
          </cell>
          <cell r="H151">
            <v>1.0325072799999999</v>
          </cell>
          <cell r="I151">
            <v>1.0326</v>
          </cell>
          <cell r="J151">
            <v>1.0357502300000001</v>
          </cell>
          <cell r="K151">
            <v>1.0392977299999999</v>
          </cell>
          <cell r="L151">
            <v>1.0399309699999999</v>
          </cell>
          <cell r="M151">
            <v>1.0398908</v>
          </cell>
        </row>
        <row r="152">
          <cell r="A152" t="str">
            <v>SXC3O</v>
          </cell>
          <cell r="B152" t="str">
            <v>SXC3OARS</v>
          </cell>
          <cell r="C152" t="str">
            <v>ON Tier 1 - TAMAR ON</v>
          </cell>
          <cell r="D152">
            <v>126.08758697711946</v>
          </cell>
          <cell r="E152">
            <v>1.0340499700000001</v>
          </cell>
          <cell r="F152">
            <v>1.03475772</v>
          </cell>
          <cell r="G152">
            <v>1.0348984400000001</v>
          </cell>
          <cell r="H152">
            <v>1.03447578</v>
          </cell>
          <cell r="I152">
            <v>1.0357742599999999</v>
          </cell>
          <cell r="J152">
            <v>1.03770162195961</v>
          </cell>
          <cell r="K152">
            <v>1.04125154</v>
          </cell>
          <cell r="L152">
            <v>1.0418843600000001</v>
          </cell>
          <cell r="M152">
            <v>1.0418474499999999</v>
          </cell>
        </row>
        <row r="153">
          <cell r="A153" t="str">
            <v>BF41O</v>
          </cell>
          <cell r="B153" t="str">
            <v>BF41OARS</v>
          </cell>
          <cell r="C153" t="str">
            <v>ON Tier 1 - TAMAR ON</v>
          </cell>
          <cell r="D153">
            <v>135.23061597068889</v>
          </cell>
          <cell r="E153">
            <v>1.0248740000000001</v>
          </cell>
          <cell r="F153">
            <v>1.02548766</v>
          </cell>
          <cell r="G153">
            <v>1.0256691600000001</v>
          </cell>
          <cell r="H153">
            <v>1.02515906</v>
          </cell>
          <cell r="I153">
            <v>1.0265475500000001</v>
          </cell>
          <cell r="J153">
            <v>1.0284676500000001</v>
          </cell>
          <cell r="K153">
            <v>1.0320016299999999</v>
          </cell>
          <cell r="L153">
            <v>1.0326270399999999</v>
          </cell>
          <cell r="M153">
            <v>1.03256036</v>
          </cell>
        </row>
        <row r="154">
          <cell r="A154" t="str">
            <v>ICC5O</v>
          </cell>
          <cell r="B154" t="str">
            <v>ICC5OARS</v>
          </cell>
          <cell r="C154" t="str">
            <v>ON Tier 1 - TAMAR ON</v>
          </cell>
          <cell r="D154">
            <v>142.24078536770546</v>
          </cell>
          <cell r="E154">
            <v>1.0195099599999999</v>
          </cell>
          <cell r="F154">
            <v>1.02005539</v>
          </cell>
          <cell r="G154">
            <v>1.0202642099999999</v>
          </cell>
          <cell r="H154">
            <v>1.0196801200000001</v>
          </cell>
          <cell r="I154">
            <v>1.0211388299999999</v>
          </cell>
          <cell r="J154">
            <v>1.0238</v>
          </cell>
          <cell r="K154">
            <v>1.02657624</v>
          </cell>
          <cell r="L154">
            <v>1.02720042</v>
          </cell>
          <cell r="M154">
            <v>1.0249474700000001</v>
          </cell>
        </row>
        <row r="155">
          <cell r="A155" t="str">
            <v>BNCXO</v>
          </cell>
          <cell r="B155" t="str">
            <v>BNCXOARS</v>
          </cell>
          <cell r="C155" t="str">
            <v>ON Tier 1 - TAMAR ON</v>
          </cell>
          <cell r="D155">
            <v>178.94832988854944</v>
          </cell>
          <cell r="E155">
            <v>1.0506826199999999</v>
          </cell>
          <cell r="F155">
            <v>1.0510702300000001</v>
          </cell>
          <cell r="G155">
            <v>1.0514526</v>
          </cell>
          <cell r="H155">
            <v>1.0504746899999999</v>
          </cell>
          <cell r="I155">
            <v>1.0524849999999999</v>
          </cell>
          <cell r="J155">
            <v>1.05428879</v>
          </cell>
          <cell r="K155">
            <v>1.05789022</v>
          </cell>
          <cell r="L155">
            <v>1.0585499</v>
          </cell>
          <cell r="M155">
            <v>1.05843607</v>
          </cell>
        </row>
        <row r="156">
          <cell r="A156" t="str">
            <v>NZC1O</v>
          </cell>
          <cell r="B156" t="str">
            <v>NZC1OARS</v>
          </cell>
          <cell r="C156" t="str">
            <v>ON Tier 1 - TAMAR ON</v>
          </cell>
          <cell r="D156">
            <v>191.48601263830318</v>
          </cell>
          <cell r="E156">
            <v>1.0470906900000001</v>
          </cell>
          <cell r="F156">
            <v>1.04725717</v>
          </cell>
          <cell r="G156">
            <v>1.0478449599999999</v>
          </cell>
          <cell r="H156">
            <v>1.0449999999999999</v>
          </cell>
          <cell r="I156">
            <v>1.0490999999999999</v>
          </cell>
          <cell r="J156">
            <v>1.0506594600000001</v>
          </cell>
          <cell r="K156">
            <v>1.0528</v>
          </cell>
          <cell r="L156">
            <v>1.05490405</v>
          </cell>
          <cell r="M156">
            <v>1.05477927</v>
          </cell>
        </row>
        <row r="157">
          <cell r="A157" t="str">
            <v>SXC6O</v>
          </cell>
          <cell r="B157" t="str">
            <v>SXC6OARS</v>
          </cell>
          <cell r="C157" t="str">
            <v>ON Tier 1 - TAMAR ON</v>
          </cell>
          <cell r="D157">
            <v>199.09705674593593</v>
          </cell>
          <cell r="E157">
            <v>1.03323871</v>
          </cell>
          <cell r="F157">
            <v>1.03360279</v>
          </cell>
          <cell r="G157">
            <v>1.0339817</v>
          </cell>
          <cell r="H157">
            <v>1.03285022</v>
          </cell>
          <cell r="I157">
            <v>1.0350642800000001</v>
          </cell>
          <cell r="J157">
            <v>1.0367554999999999</v>
          </cell>
          <cell r="K157">
            <v>1.0402834999999999</v>
          </cell>
          <cell r="L157">
            <v>1.0409401199999999</v>
          </cell>
          <cell r="M157">
            <v>1.0408089199999999</v>
          </cell>
        </row>
        <row r="158">
          <cell r="A158" t="str">
            <v>BF46O</v>
          </cell>
          <cell r="B158" t="str">
            <v>BF46OARS</v>
          </cell>
          <cell r="C158" t="str">
            <v>ON Tier 1 - TAMAR ON</v>
          </cell>
          <cell r="D158">
            <v>202.23493623420987</v>
          </cell>
          <cell r="E158">
            <v>1.0324945999999999</v>
          </cell>
          <cell r="F158">
            <v>1.03286174</v>
          </cell>
          <cell r="G158">
            <v>1.0332386</v>
          </cell>
          <cell r="H158">
            <v>1.03208626</v>
          </cell>
          <cell r="I158">
            <v>1.0343351199999999</v>
          </cell>
          <cell r="J158">
            <v>1.0360115700000001</v>
          </cell>
          <cell r="K158">
            <v>1.03953439</v>
          </cell>
          <cell r="L158">
            <v>1.0401907500000001</v>
          </cell>
          <cell r="M158">
            <v>1.0400550900000001</v>
          </cell>
        </row>
        <row r="159">
          <cell r="A159" t="str">
            <v>BF47O</v>
          </cell>
          <cell r="B159" t="str">
            <v>BF47OARS</v>
          </cell>
          <cell r="C159" t="str">
            <v>ON Tier 1 - TAMAR ON</v>
          </cell>
          <cell r="D159">
            <v>221.99731097934679</v>
          </cell>
          <cell r="E159">
            <v>1.0167578799999999</v>
          </cell>
          <cell r="F159">
            <v>1.017188</v>
          </cell>
          <cell r="G159">
            <v>1.0175097099999999</v>
          </cell>
          <cell r="H159">
            <v>1.0162259899999999</v>
          </cell>
          <cell r="I159">
            <v>1.0186659300000001</v>
          </cell>
          <cell r="J159">
            <v>1.0201949100000001</v>
          </cell>
          <cell r="K159">
            <v>1.0263965799999999</v>
          </cell>
          <cell r="L159">
            <v>1.0242925300000001</v>
          </cell>
          <cell r="M159">
            <v>1.0241639899999999</v>
          </cell>
        </row>
        <row r="160">
          <cell r="A160" t="str">
            <v>BYY1O</v>
          </cell>
          <cell r="B160" t="str">
            <v>BYY1OARS</v>
          </cell>
          <cell r="C160" t="str">
            <v>ON Tier 1 - TAMAR ON</v>
          </cell>
          <cell r="D160">
            <v>219.02126935621931</v>
          </cell>
          <cell r="E160">
            <v>1.0204169700000001</v>
          </cell>
          <cell r="F160">
            <v>1.0215998500000001</v>
          </cell>
          <cell r="G160">
            <v>1.02117098</v>
          </cell>
          <cell r="H160">
            <v>1.0199084700000001</v>
          </cell>
          <cell r="I160">
            <v>1.02232514</v>
          </cell>
          <cell r="J160">
            <v>1.0238800699999999</v>
          </cell>
          <cell r="K160">
            <v>1.0273345899999999</v>
          </cell>
          <cell r="L160">
            <v>1.02799375</v>
          </cell>
          <cell r="M160">
            <v>1.02785967</v>
          </cell>
        </row>
        <row r="161">
          <cell r="A161" t="str">
            <v>ICC7O</v>
          </cell>
          <cell r="B161" t="str">
            <v>ICC7OARS</v>
          </cell>
          <cell r="C161" t="str">
            <v>ON Tier 1 - TAMAR ON</v>
          </cell>
          <cell r="D161">
            <v>228.99923106114207</v>
          </cell>
          <cell r="E161">
            <v>1.0113224000000001</v>
          </cell>
          <cell r="F161">
            <v>1.01179408</v>
          </cell>
          <cell r="G161">
            <v>1.01208711</v>
          </cell>
          <cell r="H161">
            <v>1.0107678200000001</v>
          </cell>
          <cell r="I161">
            <v>1.01327382</v>
          </cell>
          <cell r="J161">
            <v>1.0147453900000001</v>
          </cell>
          <cell r="K161">
            <v>1.01814881</v>
          </cell>
          <cell r="L161">
            <v>1.0188102699999999</v>
          </cell>
          <cell r="M161">
            <v>1.0186833900000001</v>
          </cell>
        </row>
        <row r="162">
          <cell r="A162" t="str">
            <v>SXC8O</v>
          </cell>
          <cell r="B162" t="str">
            <v>SXC8OARS</v>
          </cell>
          <cell r="C162" t="str">
            <v>ON Tier 1 - TAMAR ON</v>
          </cell>
          <cell r="D162">
            <v>279.42711580574212</v>
          </cell>
          <cell r="E162">
            <v>1.0350553899999999</v>
          </cell>
          <cell r="F162">
            <v>1.0365893900000001</v>
          </cell>
          <cell r="G162">
            <v>1.0361638900000001</v>
          </cell>
          <cell r="H162">
            <v>1.0346907700000001</v>
          </cell>
          <cell r="I162">
            <v>1.03775387</v>
          </cell>
          <cell r="J162">
            <v>1.0386363300000001</v>
          </cell>
          <cell r="K162">
            <v>1.04189156</v>
          </cell>
          <cell r="L162">
            <v>1.04262736</v>
          </cell>
          <cell r="M162">
            <v>1.04262557</v>
          </cell>
        </row>
        <row r="163">
          <cell r="A163" t="str">
            <v>BNCYO</v>
          </cell>
          <cell r="B163" t="str">
            <v>BNCYOARS</v>
          </cell>
          <cell r="C163" t="str">
            <v>ON Tier 1 - TAMAR ON</v>
          </cell>
          <cell r="D163">
            <v>234.98901652451551</v>
          </cell>
          <cell r="E163">
            <v>1.00674938</v>
          </cell>
          <cell r="F163">
            <v>1.0072638300000001</v>
          </cell>
          <cell r="G163">
            <v>1.0075251700000001</v>
          </cell>
          <cell r="H163">
            <v>1.0061761499999999</v>
          </cell>
          <cell r="I163">
            <v>1.0087365500000001</v>
          </cell>
          <cell r="J163">
            <v>1.01015685</v>
          </cell>
          <cell r="K163">
            <v>1.0135312599999999</v>
          </cell>
          <cell r="L163">
            <v>1.01419393</v>
          </cell>
          <cell r="M163">
            <v>1.01407077</v>
          </cell>
        </row>
        <row r="164">
          <cell r="A164" t="str">
            <v>NZC4O</v>
          </cell>
          <cell r="B164" t="str">
            <v>NZC4OARS</v>
          </cell>
          <cell r="C164" t="str">
            <v>ON Tier 1 - TAMAR ON</v>
          </cell>
          <cell r="D164">
            <v>255.9639383056296</v>
          </cell>
          <cell r="E164">
            <v>1.0578316800000001</v>
          </cell>
          <cell r="F164">
            <v>1.0589999999999999</v>
          </cell>
          <cell r="G164">
            <v>1.05882571</v>
          </cell>
          <cell r="H164">
            <v>1.0574222900000001</v>
          </cell>
          <cell r="I164">
            <v>1.0602251</v>
          </cell>
          <cell r="J164">
            <v>1.0615025600000001</v>
          </cell>
          <cell r="K164">
            <v>1.06495874</v>
          </cell>
          <cell r="L164">
            <v>0.99809844000000003</v>
          </cell>
          <cell r="M164">
            <v>0.99909999999999999</v>
          </cell>
        </row>
        <row r="165">
          <cell r="A165" t="str">
            <v>PWC1O</v>
          </cell>
          <cell r="B165" t="str">
            <v>PWC1OARS</v>
          </cell>
          <cell r="C165" t="str">
            <v>ON Tier 1 - TAMAR ON</v>
          </cell>
          <cell r="D165">
            <v>303.72537378867696</v>
          </cell>
          <cell r="E165">
            <v>1.01324481</v>
          </cell>
          <cell r="F165">
            <v>1.0150165</v>
          </cell>
          <cell r="G165">
            <v>1.0167444699999999</v>
          </cell>
          <cell r="H165">
            <v>1.0130270400000001</v>
          </cell>
          <cell r="I165">
            <v>1.01619806</v>
          </cell>
          <cell r="J165">
            <v>1.0167948899999999</v>
          </cell>
          <cell r="K165">
            <v>1.0184</v>
          </cell>
          <cell r="L165">
            <v>1.0206278499999999</v>
          </cell>
          <cell r="M165">
            <v>1.02066981</v>
          </cell>
        </row>
        <row r="166">
          <cell r="A166" t="str">
            <v>T661O</v>
          </cell>
          <cell r="B166" t="str">
            <v>T661OARS</v>
          </cell>
          <cell r="C166" t="str">
            <v>ON Tier 2 - TAMAR ON</v>
          </cell>
          <cell r="D166">
            <v>46.999999999984944</v>
          </cell>
          <cell r="E166">
            <v>1.0286640499999999</v>
          </cell>
          <cell r="F166">
            <v>1.0309073099999999</v>
          </cell>
          <cell r="G166">
            <v>1.0311821800000001</v>
          </cell>
          <cell r="H166">
            <v>1.0351999999999999</v>
          </cell>
          <cell r="I166">
            <v>1.0330999999999999</v>
          </cell>
          <cell r="J166">
            <v>1.03376025</v>
          </cell>
          <cell r="K166">
            <v>1.0368820999999999</v>
          </cell>
          <cell r="L166">
            <v>1.0376017399999999</v>
          </cell>
          <cell r="M166">
            <v>1.03810056</v>
          </cell>
        </row>
        <row r="167">
          <cell r="A167" t="str">
            <v>VWCDO</v>
          </cell>
          <cell r="B167" t="str">
            <v>VWCDOARS</v>
          </cell>
          <cell r="C167" t="str">
            <v>ON Tier 2 - TAMAR ON</v>
          </cell>
          <cell r="D167">
            <v>58.000000000025146</v>
          </cell>
          <cell r="E167">
            <v>1.0193679</v>
          </cell>
          <cell r="F167">
            <v>1.0215833599999999</v>
          </cell>
          <cell r="G167">
            <v>1.0218798499999999</v>
          </cell>
          <cell r="H167">
            <v>1.0221662</v>
          </cell>
          <cell r="I167">
            <v>1.0232391000000001</v>
          </cell>
          <cell r="J167">
            <v>1.0244594300000001</v>
          </cell>
          <cell r="K167">
            <v>1.0276504900000001</v>
          </cell>
          <cell r="L167">
            <v>1.0283616799999999</v>
          </cell>
          <cell r="M167">
            <v>1.0288109400000001</v>
          </cell>
        </row>
        <row r="168">
          <cell r="A168" t="str">
            <v>PS35O</v>
          </cell>
          <cell r="B168" t="str">
            <v>PS35OARS</v>
          </cell>
          <cell r="C168" t="str">
            <v>ON Tier 2 - TAMAR ON</v>
          </cell>
          <cell r="D168">
            <v>67.999999999973099</v>
          </cell>
          <cell r="E168">
            <v>1.0128486400000001</v>
          </cell>
          <cell r="F168">
            <v>1.01503195</v>
          </cell>
          <cell r="G168">
            <v>1.01535994</v>
          </cell>
          <cell r="H168">
            <v>1.01555551</v>
          </cell>
          <cell r="I168">
            <v>1.0167351200000001</v>
          </cell>
          <cell r="J168">
            <v>1.0179764099999999</v>
          </cell>
          <cell r="K168">
            <v>1.02118164</v>
          </cell>
          <cell r="L168">
            <v>1.0218905899999999</v>
          </cell>
          <cell r="M168">
            <v>1.0223061499999999</v>
          </cell>
        </row>
        <row r="169">
          <cell r="A169" t="str">
            <v>T671O</v>
          </cell>
          <cell r="B169" t="str">
            <v>T671OARS</v>
          </cell>
          <cell r="C169" t="str">
            <v>ON Tier 2 - TAMAR ON</v>
          </cell>
          <cell r="D169">
            <v>204.19775845676571</v>
          </cell>
          <cell r="E169">
            <v>1.0354251400000001</v>
          </cell>
          <cell r="F169">
            <v>1.0379893099999999</v>
          </cell>
          <cell r="G169">
            <v>1.03937971</v>
          </cell>
          <cell r="H169">
            <v>1.0403</v>
          </cell>
          <cell r="I169">
            <v>1.0410048300000001</v>
          </cell>
          <cell r="J169">
            <v>1.04221304</v>
          </cell>
          <cell r="K169">
            <v>1.0454083599999999</v>
          </cell>
          <cell r="L169">
            <v>1.0462758299999999</v>
          </cell>
          <cell r="M169">
            <v>1.0467737100000001</v>
          </cell>
        </row>
        <row r="170">
          <cell r="A170" t="str">
            <v>DEC3O</v>
          </cell>
          <cell r="B170" t="str">
            <v>DEC3OARS</v>
          </cell>
          <cell r="C170" t="str">
            <v>ON Tier 3 - TAMAR ON</v>
          </cell>
          <cell r="D170">
            <v>245.39100726945276</v>
          </cell>
          <cell r="E170">
            <v>1.0714999999999999</v>
          </cell>
          <cell r="F170">
            <v>0.99983690999999997</v>
          </cell>
          <cell r="G170">
            <v>1.0017117</v>
          </cell>
          <cell r="H170">
            <v>1.00201685</v>
          </cell>
          <cell r="I170">
            <v>1.00281606</v>
          </cell>
          <cell r="J170">
            <v>1.0061947499999999</v>
          </cell>
          <cell r="K170">
            <v>1.0088706300000001</v>
          </cell>
          <cell r="L170">
            <v>1.00978598</v>
          </cell>
          <cell r="M170">
            <v>1.0104558699999999</v>
          </cell>
        </row>
        <row r="171">
          <cell r="A171" t="str">
            <v>PVC6O</v>
          </cell>
          <cell r="B171" t="str">
            <v>PVC6OARS</v>
          </cell>
          <cell r="C171" t="str">
            <v>ON Tier 2 - TAMAR ON</v>
          </cell>
          <cell r="D171">
            <v>219.66816800279443</v>
          </cell>
          <cell r="E171">
            <v>1.0182649399999999</v>
          </cell>
          <cell r="F171">
            <v>1.02098409</v>
          </cell>
          <cell r="G171">
            <v>1.0189999999999999</v>
          </cell>
          <cell r="H171">
            <v>1.0226999999999999</v>
          </cell>
          <cell r="I171">
            <v>1.0248675899999999</v>
          </cell>
          <cell r="J171">
            <v>1.0245</v>
          </cell>
          <cell r="K171">
            <v>1.0282337800000001</v>
          </cell>
          <cell r="L171">
            <v>1.0291127200000001</v>
          </cell>
          <cell r="M171">
            <v>1.0296504200000001</v>
          </cell>
        </row>
        <row r="172">
          <cell r="A172" t="str">
            <v>DHSLO</v>
          </cell>
          <cell r="B172" t="str">
            <v>DHSLOARS</v>
          </cell>
          <cell r="C172" t="str">
            <v>ON Tier 3 - TAMAR ON</v>
          </cell>
          <cell r="D172">
            <v>208.15359589992642</v>
          </cell>
          <cell r="E172">
            <v>1.0223244499999999</v>
          </cell>
          <cell r="F172">
            <v>1.0240561800000001</v>
          </cell>
          <cell r="G172">
            <v>1.02549713</v>
          </cell>
          <cell r="H172">
            <v>1.0257971299999999</v>
          </cell>
          <cell r="I172">
            <v>1.02648826</v>
          </cell>
          <cell r="J172">
            <v>1.0299164599999999</v>
          </cell>
          <cell r="K172">
            <v>1.0328738399999999</v>
          </cell>
          <cell r="L172">
            <v>1.0337551899999999</v>
          </cell>
          <cell r="M172">
            <v>1.0343106</v>
          </cell>
        </row>
        <row r="173">
          <cell r="A173"/>
          <cell r="B173"/>
          <cell r="C173"/>
          <cell r="D173"/>
        </row>
        <row r="174">
          <cell r="A174" t="str">
            <v>Obligaciones Negociables Tasa Fija - Tamar</v>
          </cell>
          <cell r="B174"/>
          <cell r="C174"/>
          <cell r="D174"/>
        </row>
        <row r="175">
          <cell r="A175"/>
          <cell r="B175"/>
          <cell r="C175"/>
          <cell r="D175"/>
        </row>
        <row r="176">
          <cell r="A176" t="str">
            <v>DHSNO</v>
          </cell>
          <cell r="B176" t="str">
            <v>DHSNOARS</v>
          </cell>
          <cell r="C176" t="str">
            <v>ON Tier 3 - TAMAR ON</v>
          </cell>
          <cell r="D176">
            <v>271.93917877975082</v>
          </cell>
          <cell r="E176">
            <v>1.02919688</v>
          </cell>
          <cell r="F176">
            <v>1.03228487</v>
          </cell>
          <cell r="G176">
            <v>1.0333645</v>
          </cell>
          <cell r="H176">
            <v>1.0338503800000001</v>
          </cell>
          <cell r="I176">
            <v>1.03472264</v>
          </cell>
          <cell r="J176">
            <v>1.0380088999999999</v>
          </cell>
          <cell r="K176">
            <v>1.0405096700000001</v>
          </cell>
          <cell r="L176">
            <v>1.04151094</v>
          </cell>
          <cell r="M176">
            <v>1.0423825200000001</v>
          </cell>
        </row>
        <row r="177">
          <cell r="A177"/>
          <cell r="B177"/>
          <cell r="C177"/>
          <cell r="D177"/>
        </row>
        <row r="178">
          <cell r="A178" t="str">
            <v>Obligaciones Negociables UVA</v>
          </cell>
          <cell r="B178"/>
          <cell r="C178"/>
          <cell r="D178"/>
        </row>
        <row r="179">
          <cell r="A179"/>
          <cell r="B179"/>
          <cell r="C179"/>
          <cell r="D179"/>
        </row>
        <row r="180">
          <cell r="A180" t="str">
            <v>SNSDP</v>
          </cell>
          <cell r="B180" t="str">
            <v>SNSDPARS</v>
          </cell>
          <cell r="C180" t="str">
            <v>ON Tier 3 UVA - Tasa Fija Pesos CER</v>
          </cell>
          <cell r="D180">
            <v>19.00000000000075</v>
          </cell>
          <cell r="E180">
            <v>723.55365147999998</v>
          </cell>
          <cell r="F180">
            <v>723.44951637999998</v>
          </cell>
          <cell r="G180">
            <v>724.97597323000002</v>
          </cell>
          <cell r="H180">
            <v>725.34345769000004</v>
          </cell>
          <cell r="I180">
            <v>725.67830426</v>
          </cell>
          <cell r="J180">
            <v>726.26108864000003</v>
          </cell>
          <cell r="K180">
            <v>726.84871115999999</v>
          </cell>
          <cell r="L180">
            <v>728.29265477000001</v>
          </cell>
          <cell r="M180">
            <v>728.78515178999999</v>
          </cell>
        </row>
        <row r="181">
          <cell r="A181" t="str">
            <v>NZC3O</v>
          </cell>
          <cell r="B181" t="str">
            <v>NZC3OARS</v>
          </cell>
          <cell r="C181" t="str">
            <v>ON Tier 1 UVA - Tasa Fija Pesos CER</v>
          </cell>
          <cell r="D181">
            <v>378.55115769227484</v>
          </cell>
          <cell r="E181">
            <v>2103.6409136299999</v>
          </cell>
          <cell r="F181">
            <v>2092.7225803699998</v>
          </cell>
          <cell r="G181">
            <v>2102.48224914</v>
          </cell>
          <cell r="H181">
            <v>2100</v>
          </cell>
          <cell r="I181">
            <v>2104.2178866499999</v>
          </cell>
          <cell r="J181">
            <v>2107.7250192000001</v>
          </cell>
          <cell r="K181">
            <v>2110.07355736</v>
          </cell>
          <cell r="L181">
            <v>2116.3930080199998</v>
          </cell>
          <cell r="M181">
            <v>2113.8288562500002</v>
          </cell>
        </row>
        <row r="182">
          <cell r="A182" t="str">
            <v>COC5O</v>
          </cell>
          <cell r="B182" t="str">
            <v>COC5OARS</v>
          </cell>
          <cell r="C182" t="str">
            <v>ON Tier 2 UVA - Tasa Fija Pesos CER</v>
          </cell>
          <cell r="D182">
            <v>458.61602945015932</v>
          </cell>
          <cell r="E182">
            <v>2128.6916099499999</v>
          </cell>
          <cell r="F182">
            <v>2117.3650971100001</v>
          </cell>
          <cell r="G182">
            <v>2125.54284981</v>
          </cell>
          <cell r="H182">
            <v>2137.9085052300002</v>
          </cell>
          <cell r="I182">
            <v>2130.7596506700002</v>
          </cell>
          <cell r="J182">
            <v>2134.2656509200001</v>
          </cell>
          <cell r="K182">
            <v>2137.3212829700001</v>
          </cell>
          <cell r="L182">
            <v>2141.0043724500001</v>
          </cell>
          <cell r="M182">
            <v>2140.5396022999998</v>
          </cell>
        </row>
        <row r="183">
          <cell r="A183" t="str">
            <v>MRCTO</v>
          </cell>
          <cell r="B183" t="str">
            <v>MRCTOARS</v>
          </cell>
          <cell r="C183" t="e">
            <v>#N/A</v>
          </cell>
          <cell r="D183" t="e">
            <v>#N/A</v>
          </cell>
          <cell r="E183">
            <v>433.22868</v>
          </cell>
          <cell r="F183">
            <v>433.22868</v>
          </cell>
          <cell r="G183">
            <v>433.22868</v>
          </cell>
          <cell r="H183">
            <v>433.22868</v>
          </cell>
          <cell r="I183">
            <v>433.22868</v>
          </cell>
          <cell r="J183">
            <v>433.22868</v>
          </cell>
          <cell r="K183">
            <v>433.22868</v>
          </cell>
          <cell r="L183">
            <v>433.22868</v>
          </cell>
          <cell r="M183">
            <v>433.22868</v>
          </cell>
        </row>
        <row r="184">
          <cell r="A184"/>
          <cell r="B184"/>
          <cell r="C184"/>
          <cell r="D184"/>
        </row>
        <row r="185">
          <cell r="A185" t="str">
            <v>Obligaciones Negociables Hard USD - Ley Argentina</v>
          </cell>
          <cell r="B185"/>
          <cell r="C185"/>
          <cell r="D185"/>
        </row>
        <row r="186">
          <cell r="A186"/>
          <cell r="B186"/>
          <cell r="C186"/>
          <cell r="D186"/>
        </row>
        <row r="187">
          <cell r="A187" t="str">
            <v>VE2LD</v>
          </cell>
          <cell r="B187" t="str">
            <v>VE2LDUSM</v>
          </cell>
          <cell r="C187" t="str">
            <v>ON PyME Gar - Tasa Fija USD Ley Argentina ON</v>
          </cell>
          <cell r="D187">
            <v>446.21353648452856</v>
          </cell>
          <cell r="E187">
            <v>0.99113883000000003</v>
          </cell>
          <cell r="F187">
            <v>0.99204508999999996</v>
          </cell>
          <cell r="G187">
            <v>0.99317151999999997</v>
          </cell>
          <cell r="H187">
            <v>0.99515142999999995</v>
          </cell>
          <cell r="I187">
            <v>0.99340978999999996</v>
          </cell>
          <cell r="J187">
            <v>0.99551067000000004</v>
          </cell>
          <cell r="K187">
            <v>0.99532651000000005</v>
          </cell>
          <cell r="L187">
            <v>0.99514579999999997</v>
          </cell>
          <cell r="M187">
            <v>0.99501465</v>
          </cell>
        </row>
        <row r="188">
          <cell r="A188" t="str">
            <v>NA1LD</v>
          </cell>
          <cell r="B188" t="str">
            <v>NA1LDUSM</v>
          </cell>
          <cell r="C188" t="str">
            <v>ON PyME Gar - Tasa Fija USD Ley Argentina ON</v>
          </cell>
          <cell r="D188">
            <v>519.25560729696656</v>
          </cell>
          <cell r="E188">
            <v>0.98080634</v>
          </cell>
          <cell r="F188">
            <v>0.98171090999999999</v>
          </cell>
          <cell r="G188">
            <v>0.98260438999999999</v>
          </cell>
          <cell r="H188">
            <v>0.98541597999999997</v>
          </cell>
          <cell r="I188">
            <v>0.96913205000000002</v>
          </cell>
          <cell r="J188">
            <v>0.97153392999999999</v>
          </cell>
          <cell r="K188">
            <v>0.97193826000000005</v>
          </cell>
          <cell r="L188">
            <v>0.97171328999999995</v>
          </cell>
          <cell r="M188">
            <v>0.97134748000000004</v>
          </cell>
        </row>
        <row r="189">
          <cell r="A189" t="str">
            <v>OR1LD</v>
          </cell>
          <cell r="B189" t="str">
            <v>OR1LDUSM</v>
          </cell>
          <cell r="C189" t="str">
            <v>ON PyME Gar - Tasa Fija USD Ley Argentina ON</v>
          </cell>
          <cell r="D189">
            <v>542.40779935762646</v>
          </cell>
          <cell r="E189">
            <v>0.97944111</v>
          </cell>
          <cell r="F189">
            <v>0.98000485999999998</v>
          </cell>
          <cell r="G189">
            <v>0.98089614000000003</v>
          </cell>
          <cell r="H189">
            <v>0.98348972999999995</v>
          </cell>
          <cell r="I189">
            <v>0.98108645000000005</v>
          </cell>
          <cell r="J189">
            <v>0.98358643999999995</v>
          </cell>
          <cell r="K189">
            <v>0.98437527000000002</v>
          </cell>
          <cell r="L189">
            <v>0.98406587999999995</v>
          </cell>
          <cell r="M189">
            <v>0.98376483000000003</v>
          </cell>
        </row>
        <row r="190">
          <cell r="A190" t="str">
            <v>BYCWD</v>
          </cell>
          <cell r="B190" t="str">
            <v>BYCWDUSM</v>
          </cell>
          <cell r="C190" t="str">
            <v>ON Tier 1 - Tasa Fija USD Ley Argentina ON</v>
          </cell>
          <cell r="D190">
            <v>46.999999999999552</v>
          </cell>
          <cell r="E190">
            <v>1.0299957399999999</v>
          </cell>
          <cell r="F190">
            <v>1.02979592</v>
          </cell>
          <cell r="G190">
            <v>1.03089795</v>
          </cell>
          <cell r="H190">
            <v>1.0290202900000001</v>
          </cell>
          <cell r="I190">
            <v>1.03033945</v>
          </cell>
          <cell r="J190">
            <v>1.0304717400000001</v>
          </cell>
          <cell r="K190">
            <v>1.02938018</v>
          </cell>
          <cell r="L190">
            <v>1.0293151300000001</v>
          </cell>
          <cell r="M190">
            <v>1.0299484400000001</v>
          </cell>
        </row>
        <row r="191">
          <cell r="A191" t="str">
            <v>BYCXD</v>
          </cell>
          <cell r="B191" t="str">
            <v>BYCXDUSM</v>
          </cell>
          <cell r="C191" t="str">
            <v>ON Tier 1 - Tasa Fija USD Ley Argentina ON</v>
          </cell>
          <cell r="D191">
            <v>77.00000000001495</v>
          </cell>
          <cell r="E191">
            <v>1.0236177799999999</v>
          </cell>
          <cell r="F191">
            <v>1.02336585</v>
          </cell>
          <cell r="G191">
            <v>1.02486644</v>
          </cell>
          <cell r="H191">
            <v>1.0223867</v>
          </cell>
          <cell r="I191">
            <v>1.0241078800000001</v>
          </cell>
          <cell r="J191">
            <v>1.0243262900000001</v>
          </cell>
          <cell r="K191">
            <v>1.0226824400000001</v>
          </cell>
          <cell r="L191">
            <v>1.0225602499999999</v>
          </cell>
          <cell r="M191">
            <v>1.0234306500000001</v>
          </cell>
        </row>
        <row r="192">
          <cell r="A192" t="str">
            <v>YM41D</v>
          </cell>
          <cell r="B192" t="str">
            <v>YM41DUSM</v>
          </cell>
          <cell r="C192" t="str">
            <v>YM41O - Z-Spread D</v>
          </cell>
          <cell r="D192">
            <v>85.999999999994756</v>
          </cell>
          <cell r="E192">
            <v>1.0180864599999999</v>
          </cell>
          <cell r="F192">
            <v>1.0179984</v>
          </cell>
          <cell r="G192">
            <v>1.0196343999999999</v>
          </cell>
          <cell r="H192">
            <v>1.01713951</v>
          </cell>
          <cell r="I192">
            <v>1.0038541999999999</v>
          </cell>
          <cell r="J192">
            <v>1.0041617199999999</v>
          </cell>
          <cell r="K192">
            <v>1.0026690599999999</v>
          </cell>
          <cell r="L192">
            <v>1.00259959</v>
          </cell>
          <cell r="M192">
            <v>1.0035715000000001</v>
          </cell>
        </row>
        <row r="193">
          <cell r="A193" t="str">
            <v>YM37D</v>
          </cell>
          <cell r="B193" t="str">
            <v>YM37DUSM</v>
          </cell>
          <cell r="C193" t="str">
            <v>YM37O - Z-Spread D</v>
          </cell>
          <cell r="D193">
            <v>200.45314631313241</v>
          </cell>
          <cell r="E193">
            <v>1.0331373800000001</v>
          </cell>
          <cell r="F193">
            <v>1.033153</v>
          </cell>
          <cell r="G193">
            <v>1.0284476199999999</v>
          </cell>
          <cell r="H193">
            <v>1.0258129300000001</v>
          </cell>
          <cell r="I193">
            <v>1.02755532</v>
          </cell>
          <cell r="J193">
            <v>1.0283320199999999</v>
          </cell>
          <cell r="K193">
            <v>1.02580739</v>
          </cell>
          <cell r="L193">
            <v>1.0369999999999999</v>
          </cell>
          <cell r="M193">
            <v>1.0299739699999999</v>
          </cell>
        </row>
        <row r="194">
          <cell r="A194" t="str">
            <v>YFCMD</v>
          </cell>
          <cell r="B194" t="str">
            <v>YFCMDUSM</v>
          </cell>
          <cell r="C194" t="str">
            <v>YFCMO - Z-Spread D</v>
          </cell>
          <cell r="D194">
            <v>213.77662079094637</v>
          </cell>
          <cell r="E194">
            <v>1.02409723</v>
          </cell>
          <cell r="F194">
            <v>1.0242175600000001</v>
          </cell>
          <cell r="G194">
            <v>1.0249999999999999</v>
          </cell>
          <cell r="H194">
            <v>1.02251274</v>
          </cell>
          <cell r="I194">
            <v>1.0241290300000001</v>
          </cell>
          <cell r="J194">
            <v>1.0249599</v>
          </cell>
          <cell r="K194">
            <v>1.02238531</v>
          </cell>
          <cell r="L194">
            <v>1.0221838000000001</v>
          </cell>
          <cell r="M194">
            <v>1.0232400699999999</v>
          </cell>
        </row>
        <row r="195">
          <cell r="A195" t="str">
            <v>PFC2D</v>
          </cell>
          <cell r="B195" t="str">
            <v>PFC2DUSM</v>
          </cell>
          <cell r="C195" t="str">
            <v>ON Tier 1 - Tasa Fija USD Ley Argentina ON</v>
          </cell>
          <cell r="D195">
            <v>266.71864442042738</v>
          </cell>
          <cell r="E195">
            <v>1.04216442</v>
          </cell>
          <cell r="F195">
            <v>1.0425093700000001</v>
          </cell>
          <cell r="G195">
            <v>1.0446612799999999</v>
          </cell>
          <cell r="H195">
            <v>1.04301804</v>
          </cell>
          <cell r="I195">
            <v>1.0440063900000001</v>
          </cell>
          <cell r="J195">
            <v>1.0451225900000001</v>
          </cell>
          <cell r="K195">
            <v>1.04252696</v>
          </cell>
          <cell r="L195">
            <v>1.0423038600000001</v>
          </cell>
          <cell r="M195">
            <v>1.04314967</v>
          </cell>
        </row>
        <row r="196">
          <cell r="A196" t="str">
            <v>YM38D</v>
          </cell>
          <cell r="B196" t="str">
            <v>YM38DUSM</v>
          </cell>
          <cell r="C196" t="str">
            <v>YM38O - Z-Spread D</v>
          </cell>
          <cell r="D196">
            <v>271.26528333607246</v>
          </cell>
          <cell r="E196">
            <v>1.03931116</v>
          </cell>
          <cell r="F196">
            <v>1.0450259500000001</v>
          </cell>
          <cell r="G196">
            <v>1.04250563</v>
          </cell>
          <cell r="H196">
            <v>1.04095147</v>
          </cell>
          <cell r="I196">
            <v>1.0522016700000001</v>
          </cell>
          <cell r="J196">
            <v>1.0532565899999999</v>
          </cell>
          <cell r="K196">
            <v>1.0434844299999999</v>
          </cell>
          <cell r="L196">
            <v>1.0470015800000001</v>
          </cell>
          <cell r="M196">
            <v>1.0477477399999999</v>
          </cell>
        </row>
        <row r="197">
          <cell r="A197" t="str">
            <v>PN38D</v>
          </cell>
          <cell r="B197" t="str">
            <v>PN38DUSM</v>
          </cell>
          <cell r="C197" t="str">
            <v>ON Tier 1 - Tasa Fija USD Ley Argentina ON</v>
          </cell>
          <cell r="D197">
            <v>295.32434524400321</v>
          </cell>
          <cell r="E197">
            <v>1.0302065600000001</v>
          </cell>
          <cell r="F197">
            <v>1.0306934400000001</v>
          </cell>
          <cell r="G197">
            <v>1.0327355300000001</v>
          </cell>
          <cell r="H197">
            <v>1.03164239</v>
          </cell>
          <cell r="I197">
            <v>1.0322182</v>
          </cell>
          <cell r="J197">
            <v>1.0334821657822</v>
          </cell>
          <cell r="K197">
            <v>1.0310423900000001</v>
          </cell>
          <cell r="L197">
            <v>1.0308263799999999</v>
          </cell>
          <cell r="M197">
            <v>1.0315222900000001</v>
          </cell>
        </row>
        <row r="198">
          <cell r="A198" t="str">
            <v>BYZ1D</v>
          </cell>
          <cell r="B198" t="str">
            <v>BYZ1DUSM</v>
          </cell>
          <cell r="C198" t="str">
            <v>ON Tier 1 - Tasa Fija USD Ley Argentina ON</v>
          </cell>
          <cell r="D198">
            <v>289.05682976755514</v>
          </cell>
          <cell r="E198">
            <v>1.00010971</v>
          </cell>
          <cell r="F198">
            <v>1.00054771</v>
          </cell>
          <cell r="G198">
            <v>1.0025637700000001</v>
          </cell>
          <cell r="H198">
            <v>1.0013563400000001</v>
          </cell>
          <cell r="I198">
            <v>1.0020248</v>
          </cell>
          <cell r="J198">
            <v>1.0032154799999999</v>
          </cell>
          <cell r="K198">
            <v>1.0007961999999999</v>
          </cell>
          <cell r="L198">
            <v>1.0005840699999999</v>
          </cell>
          <cell r="M198">
            <v>1.0013007599999999</v>
          </cell>
        </row>
        <row r="199">
          <cell r="A199" t="str">
            <v>BF40D</v>
          </cell>
          <cell r="B199" t="str">
            <v>BF40DUSM</v>
          </cell>
          <cell r="C199" t="str">
            <v>ON Tier 1 - Tasa Fija USD Ley Argentina ON</v>
          </cell>
          <cell r="D199">
            <v>312.61924116822973</v>
          </cell>
          <cell r="E199">
            <v>1.0128525399999999</v>
          </cell>
          <cell r="F199">
            <v>1.01341814</v>
          </cell>
          <cell r="G199">
            <v>1.01536432</v>
          </cell>
          <cell r="H199">
            <v>1.0146260899999999</v>
          </cell>
          <cell r="I199">
            <v>1.0149381099999999</v>
          </cell>
          <cell r="J199">
            <v>1.01627764</v>
          </cell>
          <cell r="K199">
            <v>1.0139727599999999</v>
          </cell>
          <cell r="L199">
            <v>1.0137636800000001</v>
          </cell>
          <cell r="M199">
            <v>1.0143572599999999</v>
          </cell>
        </row>
        <row r="200">
          <cell r="A200" t="str">
            <v>PN34D</v>
          </cell>
          <cell r="B200" t="str">
            <v>PN34DUSM</v>
          </cell>
          <cell r="C200" t="str">
            <v>ON Tier 1 - Tasa Fija USD Ley Argentina ON</v>
          </cell>
          <cell r="D200">
            <v>343.63883472040902</v>
          </cell>
          <cell r="K200">
            <v>1.0089548100000001</v>
          </cell>
          <cell r="L200">
            <v>1.0087545099999999</v>
          </cell>
          <cell r="M200">
            <v>1.0091613800000001</v>
          </cell>
        </row>
        <row r="201">
          <cell r="A201" t="str">
            <v>TTCBD</v>
          </cell>
          <cell r="B201" t="str">
            <v>TTCBDUSM</v>
          </cell>
          <cell r="C201" t="str">
            <v>ON Tier 1 - Tasa Fija USD Ley Argentina ON</v>
          </cell>
          <cell r="D201">
            <v>352.07981151924236</v>
          </cell>
          <cell r="E201">
            <v>1.05135538</v>
          </cell>
          <cell r="F201">
            <v>1.05217706</v>
          </cell>
          <cell r="G201">
            <v>1.0538913700000001</v>
          </cell>
          <cell r="H201">
            <v>1.0542554900000001</v>
          </cell>
          <cell r="I201">
            <v>1.0537333</v>
          </cell>
          <cell r="J201">
            <v>1.0553754099999999</v>
          </cell>
          <cell r="K201">
            <v>1.0534601800000001</v>
          </cell>
          <cell r="L201">
            <v>1.0532644099999999</v>
          </cell>
          <cell r="M201">
            <v>1.05355172</v>
          </cell>
        </row>
        <row r="202">
          <cell r="A202" t="str">
            <v>TTC8D</v>
          </cell>
          <cell r="B202" t="str">
            <v>TTC8DUSM</v>
          </cell>
          <cell r="C202" t="str">
            <v>ON Tier 1 - Tasa Fija USD Ley Argentina ON</v>
          </cell>
          <cell r="D202">
            <v>362.84843024905672</v>
          </cell>
          <cell r="E202">
            <v>1.02783063</v>
          </cell>
          <cell r="F202">
            <v>1.0286767400000001</v>
          </cell>
          <cell r="G202">
            <v>1.03032605</v>
          </cell>
          <cell r="H202">
            <v>1.03085746</v>
          </cell>
          <cell r="I202">
            <v>1.0295000000000001</v>
          </cell>
          <cell r="J202">
            <v>1.0285</v>
          </cell>
          <cell r="K202">
            <v>1.0300509099999999</v>
          </cell>
          <cell r="L202">
            <v>1.0298588</v>
          </cell>
          <cell r="M202">
            <v>1.0300940999999999</v>
          </cell>
        </row>
        <row r="203">
          <cell r="A203" t="str">
            <v>PLC1D</v>
          </cell>
          <cell r="B203" t="str">
            <v>PLC1DUSM</v>
          </cell>
          <cell r="C203" t="str">
            <v>ON Tier 1 - Tasa Fija USD Ley Argentina ON</v>
          </cell>
          <cell r="D203">
            <v>446.63391375339518</v>
          </cell>
          <cell r="E203">
            <v>1.0402360100000001</v>
          </cell>
          <cell r="F203">
            <v>1.04142325</v>
          </cell>
          <cell r="G203">
            <v>1.0425399399999999</v>
          </cell>
          <cell r="H203">
            <v>1.04107466</v>
          </cell>
          <cell r="I203">
            <v>1.0428911000000001</v>
          </cell>
          <cell r="J203">
            <v>1.0450770899999999</v>
          </cell>
          <cell r="K203">
            <v>1.0442113200000001</v>
          </cell>
          <cell r="L203">
            <v>1.044028</v>
          </cell>
          <cell r="M203">
            <v>1.0436826800000001</v>
          </cell>
        </row>
        <row r="204">
          <cell r="A204" t="str">
            <v>PLC3D</v>
          </cell>
          <cell r="B204" t="str">
            <v>PLC3DUSM</v>
          </cell>
          <cell r="C204" t="str">
            <v>ON Tier 1 - Tasa Fija USD Ley Argentina ON</v>
          </cell>
          <cell r="D204">
            <v>537.28115315284754</v>
          </cell>
          <cell r="K204">
            <v>1.04875889</v>
          </cell>
          <cell r="L204">
            <v>1.0400070299999999</v>
          </cell>
          <cell r="M204">
            <v>1.0476852999999999</v>
          </cell>
        </row>
        <row r="205">
          <cell r="A205" t="str">
            <v>OLC5D</v>
          </cell>
          <cell r="B205" t="str">
            <v>OLC5DUSM</v>
          </cell>
          <cell r="C205" t="str">
            <v>ON Tier 1 - Tasa Fija USD Ley Argentina ON</v>
          </cell>
          <cell r="D205">
            <v>567.69678101023737</v>
          </cell>
          <cell r="E205">
            <v>1.0668849600000001</v>
          </cell>
          <cell r="F205">
            <v>1.06621207</v>
          </cell>
          <cell r="G205">
            <v>1.06661892</v>
          </cell>
          <cell r="H205">
            <v>1.07157999</v>
          </cell>
          <cell r="I205">
            <v>1.06741347</v>
          </cell>
          <cell r="J205">
            <v>1.07034399</v>
          </cell>
          <cell r="K205">
            <v>1.07109784</v>
          </cell>
          <cell r="L205">
            <v>1.0708510099999999</v>
          </cell>
          <cell r="M205">
            <v>1.0698075899999999</v>
          </cell>
        </row>
        <row r="206">
          <cell r="A206" t="str">
            <v>BF44D</v>
          </cell>
          <cell r="B206" t="str">
            <v>BF44DUSM</v>
          </cell>
          <cell r="C206" t="str">
            <v>ON Tier 1 - Tasa Fija USD Ley Argentina ON</v>
          </cell>
          <cell r="D206">
            <v>545.7098565965922</v>
          </cell>
          <cell r="E206">
            <v>1.0161841899999999</v>
          </cell>
          <cell r="F206">
            <v>1.0174886700000001</v>
          </cell>
          <cell r="G206">
            <v>1.0179952000000001</v>
          </cell>
          <cell r="H206">
            <v>1.02242934</v>
          </cell>
          <cell r="I206">
            <v>1.0187228100000001</v>
          </cell>
          <cell r="J206">
            <v>1.0214082600000001</v>
          </cell>
          <cell r="K206">
            <v>1.0217988899999999</v>
          </cell>
          <cell r="L206">
            <v>1.02158723</v>
          </cell>
          <cell r="M206">
            <v>1.0206825399999999</v>
          </cell>
        </row>
        <row r="207">
          <cell r="A207" t="str">
            <v>YM40D</v>
          </cell>
          <cell r="B207" t="str">
            <v>YM40DUSM</v>
          </cell>
          <cell r="C207" t="str">
            <v>YM40O - Z-Spread D</v>
          </cell>
          <cell r="D207">
            <v>639.79781280413545</v>
          </cell>
          <cell r="E207">
            <v>1.04382982</v>
          </cell>
          <cell r="F207">
            <v>1.0449212800000001</v>
          </cell>
          <cell r="G207">
            <v>1.0450103799999999</v>
          </cell>
          <cell r="H207">
            <v>1.0507281799999999</v>
          </cell>
          <cell r="I207">
            <v>1.0458546500000001</v>
          </cell>
          <cell r="J207">
            <v>1.0490919400000001</v>
          </cell>
          <cell r="K207">
            <v>1.05077029</v>
          </cell>
          <cell r="L207">
            <v>1.05044348</v>
          </cell>
          <cell r="M207">
            <v>1.04916962</v>
          </cell>
        </row>
        <row r="208">
          <cell r="A208" t="str">
            <v>YMCYD</v>
          </cell>
          <cell r="B208" t="str">
            <v>YMCYDUSM</v>
          </cell>
          <cell r="C208" t="str">
            <v>YMCYO - Z-Spread D</v>
          </cell>
          <cell r="D208">
            <v>687.95151937043818</v>
          </cell>
          <cell r="E208">
            <v>1.04353568</v>
          </cell>
          <cell r="F208">
            <v>1.04424736</v>
          </cell>
          <cell r="G208">
            <v>1.0441799599999999</v>
          </cell>
          <cell r="H208">
            <v>1.0501627200000001</v>
          </cell>
          <cell r="I208">
            <v>1.04496217</v>
          </cell>
          <cell r="J208">
            <v>1.04836025</v>
          </cell>
          <cell r="K208">
            <v>1.0341349</v>
          </cell>
          <cell r="L208">
            <v>1.0245205799999999</v>
          </cell>
          <cell r="M208">
            <v>1.0230878699999999</v>
          </cell>
        </row>
        <row r="209">
          <cell r="A209" t="str">
            <v>YMCZD</v>
          </cell>
          <cell r="B209" t="str">
            <v>YMCZDUSM</v>
          </cell>
          <cell r="C209" t="str">
            <v>YMCZO - Z-Spread D</v>
          </cell>
          <cell r="D209">
            <v>692.07818842625272</v>
          </cell>
          <cell r="E209">
            <v>1.0889047599999999</v>
          </cell>
          <cell r="F209">
            <v>1.0896962800000001</v>
          </cell>
          <cell r="G209">
            <v>1.0896006899999999</v>
          </cell>
          <cell r="H209">
            <v>1.0957470499999999</v>
          </cell>
          <cell r="I209">
            <v>1.09035448</v>
          </cell>
          <cell r="J209">
            <v>1.0938335100000001</v>
          </cell>
          <cell r="K209">
            <v>1.0680000000000001</v>
          </cell>
          <cell r="L209">
            <v>1.06718476</v>
          </cell>
          <cell r="M209">
            <v>1.0657199500000001</v>
          </cell>
        </row>
        <row r="210">
          <cell r="A210" t="str">
            <v>GN47D</v>
          </cell>
          <cell r="B210" t="str">
            <v>GN47DUSM</v>
          </cell>
          <cell r="C210" t="str">
            <v>ON Tier 1 - Tasa Fija USD Ley Argentina ON</v>
          </cell>
          <cell r="D210">
            <v>682.72840064239722</v>
          </cell>
          <cell r="E210">
            <v>1.0342038</v>
          </cell>
          <cell r="F210">
            <v>1.0350470199999999</v>
          </cell>
          <cell r="G210">
            <v>1.0349657299999999</v>
          </cell>
          <cell r="H210">
            <v>1.04095593</v>
          </cell>
          <cell r="I210">
            <v>1.03576669</v>
          </cell>
          <cell r="J210">
            <v>1.0391764800000001</v>
          </cell>
          <cell r="K210">
            <v>1.0414880200000001</v>
          </cell>
          <cell r="L210">
            <v>1.0410913799999999</v>
          </cell>
          <cell r="M210">
            <v>1.03973067</v>
          </cell>
        </row>
        <row r="211">
          <cell r="A211" t="str">
            <v>YFCLD</v>
          </cell>
          <cell r="B211" t="str">
            <v>YFCLDUSM</v>
          </cell>
          <cell r="C211" t="str">
            <v>YFCLO - Z-Spread D</v>
          </cell>
          <cell r="D211">
            <v>718.55463434637318</v>
          </cell>
          <cell r="E211">
            <v>1.03629237</v>
          </cell>
          <cell r="F211">
            <v>1.03688589</v>
          </cell>
          <cell r="G211">
            <v>1.03676313</v>
          </cell>
          <cell r="H211">
            <v>1.04279341</v>
          </cell>
          <cell r="I211">
            <v>1.03745245</v>
          </cell>
          <cell r="J211">
            <v>1.04101098</v>
          </cell>
          <cell r="K211">
            <v>1.0436467899999999</v>
          </cell>
          <cell r="L211">
            <v>1.0431683700000001</v>
          </cell>
          <cell r="M211">
            <v>1.04179154</v>
          </cell>
        </row>
        <row r="212">
          <cell r="A212" t="str">
            <v>YFCOD</v>
          </cell>
          <cell r="B212" t="str">
            <v>YFCODUSM</v>
          </cell>
          <cell r="C212" t="str">
            <v>YFCOO - Z-Spread D</v>
          </cell>
          <cell r="D212">
            <v>741.28482260306214</v>
          </cell>
          <cell r="E212">
            <v>1.0266490100000001</v>
          </cell>
          <cell r="F212">
            <v>1.02709202</v>
          </cell>
          <cell r="G212">
            <v>1.0269571099999999</v>
          </cell>
          <cell r="H212">
            <v>1.03293112</v>
          </cell>
          <cell r="I212">
            <v>1.02758131</v>
          </cell>
          <cell r="J212">
            <v>1.0312072400000001</v>
          </cell>
          <cell r="K212">
            <v>1.03409839</v>
          </cell>
          <cell r="L212">
            <v>1.03358211</v>
          </cell>
          <cell r="M212">
            <v>1.0322310400000001</v>
          </cell>
        </row>
        <row r="213">
          <cell r="A213" t="str">
            <v>YM42D</v>
          </cell>
          <cell r="B213" t="str">
            <v>YM42DUSM</v>
          </cell>
          <cell r="C213" t="str">
            <v>YM42O - Z-Spread D</v>
          </cell>
          <cell r="D213">
            <v>797.03581359722193</v>
          </cell>
          <cell r="E213">
            <v>1.04541909</v>
          </cell>
          <cell r="F213">
            <v>1.0450488899999999</v>
          </cell>
          <cell r="G213">
            <v>1.0449710999999999</v>
          </cell>
          <cell r="H213">
            <v>1.0435886000000001</v>
          </cell>
          <cell r="I213">
            <v>1.04497474</v>
          </cell>
          <cell r="J213">
            <v>1.0425423899999999</v>
          </cell>
          <cell r="K213">
            <v>1.0464037799999999</v>
          </cell>
          <cell r="L213">
            <v>1.0489861</v>
          </cell>
          <cell r="M213">
            <v>1.0481399199999999</v>
          </cell>
        </row>
        <row r="214">
          <cell r="A214" t="str">
            <v>PLC6D</v>
          </cell>
          <cell r="B214" t="str">
            <v>PLC6DUSM</v>
          </cell>
          <cell r="C214" t="str">
            <v>ON Tier 1 - Tasa Fija USD Ley Argentina ON</v>
          </cell>
          <cell r="D214">
            <v>787.14181908321518</v>
          </cell>
          <cell r="E214">
            <v>1.0532517299999999</v>
          </cell>
          <cell r="F214">
            <v>1.05302604</v>
          </cell>
          <cell r="G214">
            <v>1.05294201</v>
          </cell>
          <cell r="H214">
            <v>1.04697906</v>
          </cell>
          <cell r="I214">
            <v>1.0440670999999999</v>
          </cell>
          <cell r="J214">
            <v>1.0570734399999999</v>
          </cell>
          <cell r="K214">
            <v>1.06068564</v>
          </cell>
          <cell r="L214">
            <v>1.0599897</v>
          </cell>
          <cell r="M214">
            <v>1.05878662</v>
          </cell>
        </row>
        <row r="215">
          <cell r="A215" t="str">
            <v>TLCUD</v>
          </cell>
          <cell r="B215" t="str">
            <v>TLCUDUSM</v>
          </cell>
          <cell r="C215" t="str">
            <v>ON Tier 1 - Tasa Fija USD Ley Argentina ON</v>
          </cell>
          <cell r="D215">
            <v>818.05048169040913</v>
          </cell>
          <cell r="E215">
            <v>1.0192978100000001</v>
          </cell>
          <cell r="F215">
            <v>1.01900594</v>
          </cell>
          <cell r="G215">
            <v>1.0189089200000001</v>
          </cell>
          <cell r="H215">
            <v>1.0099935600000001</v>
          </cell>
          <cell r="I215">
            <v>1.01914259</v>
          </cell>
          <cell r="J215">
            <v>1.0230263500000001</v>
          </cell>
          <cell r="K215">
            <v>1.0267153600000001</v>
          </cell>
          <cell r="L215">
            <v>1.02600146</v>
          </cell>
          <cell r="M215">
            <v>1.02480635</v>
          </cell>
        </row>
        <row r="216">
          <cell r="A216" t="str">
            <v>OLC6D</v>
          </cell>
          <cell r="B216" t="str">
            <v>OLC6DUSM</v>
          </cell>
          <cell r="C216" t="str">
            <v>ON Tier 1 - Tasa Fija USD Ley Argentina ON</v>
          </cell>
          <cell r="D216">
            <v>873.27023191577484</v>
          </cell>
          <cell r="E216">
            <v>1.0630294199999999</v>
          </cell>
          <cell r="F216">
            <v>1.0529999999999999</v>
          </cell>
          <cell r="G216">
            <v>1.0618194299999999</v>
          </cell>
          <cell r="H216">
            <v>1.06601206</v>
          </cell>
          <cell r="I216">
            <v>1.0613335100000001</v>
          </cell>
          <cell r="J216">
            <v>1.0655010899999999</v>
          </cell>
          <cell r="K216">
            <v>1.06991203</v>
          </cell>
          <cell r="L216">
            <v>1.0688995999999999</v>
          </cell>
          <cell r="M216">
            <v>1.06812244</v>
          </cell>
        </row>
        <row r="217">
          <cell r="A217" t="str">
            <v>OLC7D</v>
          </cell>
          <cell r="B217" t="str">
            <v>OLC7DUSM</v>
          </cell>
          <cell r="C217" t="str">
            <v>ON Tier 1 - Tasa Fija USD Ley Argentina ON</v>
          </cell>
          <cell r="D217">
            <v>1110.2282268663723</v>
          </cell>
          <cell r="E217">
            <v>1.03550556</v>
          </cell>
          <cell r="F217">
            <v>1.0292486000000001</v>
          </cell>
          <cell r="G217">
            <v>1.0315415100000001</v>
          </cell>
          <cell r="H217">
            <v>1.0288302300000001</v>
          </cell>
          <cell r="I217">
            <v>1.02754615</v>
          </cell>
          <cell r="J217">
            <v>1.03197925</v>
          </cell>
          <cell r="K217">
            <v>1.0374047500000001</v>
          </cell>
          <cell r="L217">
            <v>1.03522421</v>
          </cell>
          <cell r="M217">
            <v>1.0370165499999999</v>
          </cell>
        </row>
        <row r="218">
          <cell r="A218" t="str">
            <v>HJCFD</v>
          </cell>
          <cell r="B218" t="str">
            <v>HJCFDUSM</v>
          </cell>
          <cell r="C218" t="str">
            <v>ON Tier 1 - Tasa Fija USD Ley Argentina ON</v>
          </cell>
          <cell r="D218">
            <v>6.9999999999997007</v>
          </cell>
          <cell r="E218">
            <v>1.0244042</v>
          </cell>
          <cell r="F218">
            <v>1.0243819300000001</v>
          </cell>
          <cell r="G218">
            <v>1.02475278</v>
          </cell>
          <cell r="H218">
            <v>1.02417406</v>
          </cell>
          <cell r="I218">
            <v>1.02461084</v>
          </cell>
          <cell r="J218">
            <v>1.02465899</v>
          </cell>
          <cell r="K218">
            <v>1.02651732</v>
          </cell>
          <cell r="L218">
            <v>1.0245947500000001</v>
          </cell>
          <cell r="M218">
            <v>1.0247494100000001</v>
          </cell>
        </row>
        <row r="219">
          <cell r="A219" t="str">
            <v>T672D</v>
          </cell>
          <cell r="B219" t="str">
            <v>T672DUSM</v>
          </cell>
          <cell r="C219" t="str">
            <v>ON Tier 2 - Tasa Fija USD Ley Argentina ON</v>
          </cell>
          <cell r="D219">
            <v>129.88021971110535</v>
          </cell>
          <cell r="E219">
            <v>1.00818863</v>
          </cell>
          <cell r="F219">
            <v>1.0075808900000001</v>
          </cell>
          <cell r="G219">
            <v>1.00862455</v>
          </cell>
          <cell r="H219">
            <v>1.0070171699999999</v>
          </cell>
          <cell r="I219">
            <v>1.0086703699999999</v>
          </cell>
          <cell r="J219">
            <v>1.0071214399999999</v>
          </cell>
          <cell r="K219">
            <v>1.00460952</v>
          </cell>
          <cell r="L219">
            <v>1.00491715</v>
          </cell>
          <cell r="M219">
            <v>1.0074080599999999</v>
          </cell>
        </row>
        <row r="220">
          <cell r="A220" t="str">
            <v>CS48D</v>
          </cell>
          <cell r="B220" t="str">
            <v>CS48DUSM</v>
          </cell>
          <cell r="C220" t="str">
            <v>ON Tier 1 - Tasa Fija USD Ley Argentina ON</v>
          </cell>
          <cell r="D220">
            <v>596.0457344668481</v>
          </cell>
          <cell r="E220">
            <v>1.06123265</v>
          </cell>
          <cell r="F220">
            <v>1.0624878499999999</v>
          </cell>
          <cell r="G220">
            <v>1.0627684500000001</v>
          </cell>
          <cell r="H220">
            <v>1.06809098</v>
          </cell>
          <cell r="I220">
            <v>1.0636031399999999</v>
          </cell>
          <cell r="J220">
            <v>1.0666727300000001</v>
          </cell>
          <cell r="K220">
            <v>1.0677807399999999</v>
          </cell>
          <cell r="L220">
            <v>1.06750634</v>
          </cell>
          <cell r="M220">
            <v>1.06635708</v>
          </cell>
        </row>
        <row r="221">
          <cell r="A221" t="str">
            <v>CS47D</v>
          </cell>
          <cell r="B221" t="str">
            <v>CS47DUSM</v>
          </cell>
          <cell r="C221" t="str">
            <v>ON Tier 1 - Tasa Fija USD Ley Argentina ON</v>
          </cell>
          <cell r="D221">
            <v>704.29064394460465</v>
          </cell>
          <cell r="E221">
            <v>1.0525541199999999</v>
          </cell>
          <cell r="F221">
            <v>1.0532269400000001</v>
          </cell>
          <cell r="G221">
            <v>1.0531277999999999</v>
          </cell>
          <cell r="H221">
            <v>1.0591814900000001</v>
          </cell>
          <cell r="I221">
            <v>1.0538573099999999</v>
          </cell>
          <cell r="J221">
            <v>1.0574148800000001</v>
          </cell>
          <cell r="K221">
            <v>1.0600239300000001</v>
          </cell>
          <cell r="L221">
            <v>1.0595677999999999</v>
          </cell>
          <cell r="M221">
            <v>1.05819804</v>
          </cell>
        </row>
        <row r="222">
          <cell r="A222" t="str">
            <v>ZZC1D</v>
          </cell>
          <cell r="B222" t="str">
            <v>ZZC1DUSM</v>
          </cell>
          <cell r="C222" t="str">
            <v>ON Tier 2 - Tasa Fija USD Ley Argentina ON</v>
          </cell>
          <cell r="D222">
            <v>130.99999999996675</v>
          </cell>
          <cell r="E222">
            <v>1.02287522</v>
          </cell>
          <cell r="F222">
            <v>1.02225381</v>
          </cell>
          <cell r="G222">
            <v>1.02331704</v>
          </cell>
          <cell r="H222">
            <v>1.02168097</v>
          </cell>
          <cell r="I222">
            <v>1.0200009000000001</v>
          </cell>
          <cell r="J222">
            <v>1.02527601</v>
          </cell>
          <cell r="K222">
            <v>1.01921073</v>
          </cell>
          <cell r="L222">
            <v>1.0195247999999999</v>
          </cell>
          <cell r="M222">
            <v>1.02207044</v>
          </cell>
        </row>
        <row r="223">
          <cell r="A223" t="str">
            <v>BVCUD</v>
          </cell>
          <cell r="B223" t="str">
            <v>BVCUDUSM</v>
          </cell>
          <cell r="C223" t="str">
            <v>ON Tier 3 - Tasa Fija USD Ley Argentina ON</v>
          </cell>
          <cell r="D223">
            <v>200.98083331353422</v>
          </cell>
          <cell r="E223">
            <v>0.99991865000000002</v>
          </cell>
          <cell r="F223">
            <v>0.99933355999999995</v>
          </cell>
          <cell r="G223">
            <v>1.00201742</v>
          </cell>
          <cell r="H223">
            <v>0.99772961999999998</v>
          </cell>
          <cell r="I223">
            <v>0.99891722999999999</v>
          </cell>
          <cell r="J223">
            <v>0.99668593000000005</v>
          </cell>
          <cell r="K223">
            <v>0.99370274000000003</v>
          </cell>
          <cell r="L223">
            <v>0.99423132000000003</v>
          </cell>
          <cell r="M223">
            <v>0.99744323999999995</v>
          </cell>
        </row>
        <row r="224">
          <cell r="A224" t="str">
            <v>JNC6D</v>
          </cell>
          <cell r="B224" t="str">
            <v>JNC6DUSM</v>
          </cell>
          <cell r="C224" t="str">
            <v>ON Tier 3 - Tasa Fija USD Ley Argentina ON</v>
          </cell>
          <cell r="D224">
            <v>347.24239114672775</v>
          </cell>
          <cell r="E224">
            <v>1.0657813199999999</v>
          </cell>
          <cell r="F224">
            <v>1.0202246100000001</v>
          </cell>
          <cell r="G224">
            <v>1.0228976400000001</v>
          </cell>
          <cell r="H224">
            <v>1.01982671</v>
          </cell>
          <cell r="I224">
            <v>1.01865625</v>
          </cell>
          <cell r="J224">
            <v>1.0149877700000001</v>
          </cell>
          <cell r="K224">
            <v>1.0119717699999999</v>
          </cell>
          <cell r="L224">
            <v>1.01300762</v>
          </cell>
          <cell r="M224">
            <v>1.01714434</v>
          </cell>
        </row>
        <row r="225">
          <cell r="A225" t="str">
            <v>HVS1D</v>
          </cell>
          <cell r="B225" t="str">
            <v>HVS1DUSM</v>
          </cell>
          <cell r="C225" t="str">
            <v>ON Tier 3 - Tasa Fija USD Ley Argentina ON</v>
          </cell>
          <cell r="D225">
            <v>595.37858274938367</v>
          </cell>
          <cell r="E225">
            <v>1.03539245</v>
          </cell>
          <cell r="F225">
            <v>1.03445484</v>
          </cell>
          <cell r="G225">
            <v>1.0361845300000001</v>
          </cell>
          <cell r="H225">
            <v>1.0359480700000001</v>
          </cell>
          <cell r="I225">
            <v>1.0080814499999999</v>
          </cell>
          <cell r="J225">
            <v>1.00214566</v>
          </cell>
          <cell r="K225">
            <v>1.0012081500000001</v>
          </cell>
          <cell r="L225">
            <v>1.00297619</v>
          </cell>
          <cell r="M225">
            <v>1.00822021</v>
          </cell>
        </row>
        <row r="226">
          <cell r="A226" t="str">
            <v>TGCHD</v>
          </cell>
          <cell r="B226" t="str">
            <v>TGCHDUSM</v>
          </cell>
          <cell r="C226" t="str">
            <v>-</v>
          </cell>
          <cell r="D226" t="str">
            <v>-</v>
          </cell>
          <cell r="E226">
            <v>9.9999999999999995E-8</v>
          </cell>
          <cell r="F226">
            <v>9.9999999999999995E-8</v>
          </cell>
          <cell r="G226">
            <v>9.9999999999999995E-8</v>
          </cell>
          <cell r="H226">
            <v>9.9999999999999995E-8</v>
          </cell>
          <cell r="I226">
            <v>9.9999999999999995E-8</v>
          </cell>
          <cell r="J226">
            <v>9.9999999999999995E-8</v>
          </cell>
          <cell r="K226">
            <v>9.9999999999999995E-8</v>
          </cell>
          <cell r="L226">
            <v>9.9999999999999995E-8</v>
          </cell>
          <cell r="M226">
            <v>9.9999999999999995E-8</v>
          </cell>
        </row>
        <row r="227">
          <cell r="A227"/>
          <cell r="B227"/>
          <cell r="C227"/>
          <cell r="D227"/>
        </row>
        <row r="228">
          <cell r="A228" t="str">
            <v>VES2L</v>
          </cell>
          <cell r="B228" t="str">
            <v>VES2LARS</v>
          </cell>
          <cell r="C228" t="str">
            <v>ON PyME Gar - Tasa Fija USD Ley Argentina ON Pesos</v>
          </cell>
          <cell r="D228">
            <v>449.13147745461697</v>
          </cell>
          <cell r="E228">
            <v>1589.6213874600001</v>
          </cell>
          <cell r="F228">
            <v>1571.1390366799999</v>
          </cell>
          <cell r="G228">
            <v>1569.0590856399999</v>
          </cell>
          <cell r="H228">
            <v>1570.5571625</v>
          </cell>
          <cell r="I228">
            <v>1566.41363948</v>
          </cell>
          <cell r="J228">
            <v>1570.09792055</v>
          </cell>
          <cell r="K228">
            <v>1572.6172695099999</v>
          </cell>
          <cell r="L228">
            <v>1564.0058809899999</v>
          </cell>
          <cell r="M228">
            <v>1572.3514012400001</v>
          </cell>
        </row>
        <row r="229">
          <cell r="A229" t="str">
            <v>NAS1L</v>
          </cell>
          <cell r="B229" t="str">
            <v>NAS1LARS</v>
          </cell>
          <cell r="C229" t="str">
            <v>ON PyME Gar - Tasa Fija USD Ley Argentina ON Pesos</v>
          </cell>
          <cell r="D229">
            <v>522.11271365642847</v>
          </cell>
          <cell r="E229">
            <v>1581.8627743</v>
          </cell>
          <cell r="F229">
            <v>1561.53567714</v>
          </cell>
          <cell r="G229">
            <v>1558.6434773399999</v>
          </cell>
          <cell r="H229">
            <v>1558.5538278399999</v>
          </cell>
          <cell r="I229">
            <v>1533.7911797500001</v>
          </cell>
          <cell r="J229">
            <v>1537.70015033</v>
          </cell>
          <cell r="K229">
            <v>1541.16344104</v>
          </cell>
          <cell r="L229">
            <v>1532.01550789</v>
          </cell>
          <cell r="M229">
            <v>1541.5381066299999</v>
          </cell>
        </row>
        <row r="230">
          <cell r="A230" t="str">
            <v>ORS1L</v>
          </cell>
          <cell r="B230" t="str">
            <v>ORS1LARS</v>
          </cell>
          <cell r="C230" t="str">
            <v>ON PyME Gar - Tasa Fija USD Ley Argentina ON Pesos</v>
          </cell>
          <cell r="D230">
            <v>546.88143279819485</v>
          </cell>
          <cell r="E230">
            <v>1581.74236737</v>
          </cell>
          <cell r="F230">
            <v>1562.2884938100001</v>
          </cell>
          <cell r="G230">
            <v>1558.9508228</v>
          </cell>
          <cell r="H230">
            <v>1557.32087007</v>
          </cell>
          <cell r="I230">
            <v>1554.7113826299999</v>
          </cell>
          <cell r="J230">
            <v>1558.59577786</v>
          </cell>
          <cell r="K230">
            <v>1562.8968092800001</v>
          </cell>
          <cell r="L230">
            <v>1553.90771924</v>
          </cell>
          <cell r="M230">
            <v>1563.08569878</v>
          </cell>
        </row>
        <row r="231">
          <cell r="A231" t="str">
            <v>BYCWO</v>
          </cell>
          <cell r="B231" t="str">
            <v>BYCWOARS</v>
          </cell>
          <cell r="C231" t="str">
            <v>ON Tier 1 - Tasa Fija USD Ley Argentina ON Pesos</v>
          </cell>
          <cell r="D231">
            <v>46.999999999999552</v>
          </cell>
          <cell r="E231">
            <v>1593.84753759</v>
          </cell>
          <cell r="F231">
            <v>1591.32889166</v>
          </cell>
          <cell r="G231">
            <v>1585.5632502399999</v>
          </cell>
          <cell r="H231">
            <v>1589.8227555200001</v>
          </cell>
          <cell r="I231">
            <v>1590</v>
          </cell>
          <cell r="J231">
            <v>1587.2879229099999</v>
          </cell>
          <cell r="K231">
            <v>1587.2032682199999</v>
          </cell>
          <cell r="L231">
            <v>1590</v>
          </cell>
          <cell r="M231">
            <v>1593</v>
          </cell>
        </row>
        <row r="232">
          <cell r="A232" t="str">
            <v>BYCXO</v>
          </cell>
          <cell r="B232" t="str">
            <v>BYCXOARS</v>
          </cell>
          <cell r="C232" t="str">
            <v>ON Tier 1 - Tasa Fija USD Ley Argentina ON Pesos</v>
          </cell>
          <cell r="D232">
            <v>77.000000000000355</v>
          </cell>
          <cell r="E232">
            <v>1582.8437832100001</v>
          </cell>
          <cell r="F232">
            <v>1579.845534</v>
          </cell>
          <cell r="G232">
            <v>1576.2930617100001</v>
          </cell>
          <cell r="H232">
            <v>1581.1626472099999</v>
          </cell>
          <cell r="I232">
            <v>1577.1745145100001</v>
          </cell>
          <cell r="J232">
            <v>1578.3765257800001</v>
          </cell>
          <cell r="K232">
            <v>1578.0458618600001</v>
          </cell>
          <cell r="L232">
            <v>1575.6165328300001</v>
          </cell>
          <cell r="M232">
            <v>1573.7283206100001</v>
          </cell>
        </row>
        <row r="233">
          <cell r="A233" t="str">
            <v>YM41O</v>
          </cell>
          <cell r="B233" t="str">
            <v>YM41OARS</v>
          </cell>
          <cell r="C233" t="str">
            <v>YM41OS - Z-Spread D</v>
          </cell>
          <cell r="D233">
            <v>85.999999999998394</v>
          </cell>
          <cell r="E233">
            <v>1572.6245428499999</v>
          </cell>
          <cell r="F233">
            <v>1569.7952258299999</v>
          </cell>
          <cell r="G233">
            <v>1566.8252226899999</v>
          </cell>
          <cell r="H233">
            <v>1571.91043633</v>
          </cell>
          <cell r="I233">
            <v>1544.64850172</v>
          </cell>
          <cell r="J233">
            <v>1546.04570201</v>
          </cell>
          <cell r="K233">
            <v>1546.1208074199999</v>
          </cell>
          <cell r="L233">
            <v>1543.58743314</v>
          </cell>
          <cell r="M233">
            <v>1542.1488781200001</v>
          </cell>
        </row>
        <row r="234">
          <cell r="A234" t="str">
            <v>YM37O</v>
          </cell>
          <cell r="B234" t="str">
            <v>YM37OARS</v>
          </cell>
          <cell r="C234" t="str">
            <v>YM37OS - Z-Spread D</v>
          </cell>
          <cell r="D234">
            <v>200.44804977649684</v>
          </cell>
          <cell r="E234">
            <v>1603.5790878299999</v>
          </cell>
          <cell r="F234">
            <v>1595.69718487</v>
          </cell>
          <cell r="G234">
            <v>1579.20247965</v>
          </cell>
          <cell r="H234">
            <v>1585.23790631</v>
          </cell>
          <cell r="I234">
            <v>1579.6271023100001</v>
          </cell>
          <cell r="J234">
            <v>1582.1680028200001</v>
          </cell>
          <cell r="K234">
            <v>1581.8304173199999</v>
          </cell>
          <cell r="L234">
            <v>1576.2065465000001</v>
          </cell>
          <cell r="M234">
            <v>1578.6353365699999</v>
          </cell>
        </row>
        <row r="235">
          <cell r="A235" t="str">
            <v>YFCMO</v>
          </cell>
          <cell r="B235" t="str">
            <v>YFMCOARS</v>
          </cell>
          <cell r="C235" t="str">
            <v>YFCMOS - Z-Spread D</v>
          </cell>
          <cell r="D235">
            <v>213.79721710152475</v>
          </cell>
          <cell r="E235">
            <v>1589.8210102400001</v>
          </cell>
          <cell r="F235">
            <v>1581.4318760399999</v>
          </cell>
          <cell r="G235">
            <v>1582.77526076</v>
          </cell>
          <cell r="H235">
            <v>1588.88499903</v>
          </cell>
          <cell r="I235">
            <v>1583.0998314000001</v>
          </cell>
          <cell r="J235">
            <v>1585.7053665999999</v>
          </cell>
          <cell r="K235">
            <v>1585.1699118199999</v>
          </cell>
          <cell r="L235">
            <v>1579.1791371899999</v>
          </cell>
          <cell r="M235">
            <v>1582.0127234700001</v>
          </cell>
        </row>
        <row r="236">
          <cell r="A236" t="str">
            <v>PFC2O</v>
          </cell>
          <cell r="B236" t="str">
            <v>PFC2OARS</v>
          </cell>
          <cell r="C236" t="str">
            <v>ON Tier 1 - Tasa Fija USD Ley Argentina ON Pesos</v>
          </cell>
          <cell r="D236">
            <v>266.73461046269318</v>
          </cell>
          <cell r="E236">
            <v>1617.1912061999999</v>
          </cell>
          <cell r="F236">
            <v>1605.7820060700001</v>
          </cell>
          <cell r="G236">
            <v>1607.43779804</v>
          </cell>
          <cell r="H236">
            <v>1613.4554167900001</v>
          </cell>
          <cell r="I236">
            <v>1607.3298696500001</v>
          </cell>
          <cell r="J236">
            <v>1610.3897997399999</v>
          </cell>
          <cell r="K236">
            <v>1610.08607385</v>
          </cell>
          <cell r="L236">
            <v>1602.9202170200001</v>
          </cell>
          <cell r="M236">
            <v>1607.58785642</v>
          </cell>
        </row>
        <row r="237">
          <cell r="A237" t="str">
            <v>YM38O</v>
          </cell>
          <cell r="B237" t="str">
            <v>YM38OARS</v>
          </cell>
          <cell r="C237" t="str">
            <v>YM38OS - Z-Spread D</v>
          </cell>
          <cell r="D237">
            <v>271.30995723257746</v>
          </cell>
          <cell r="E237">
            <v>1610.9802152699999</v>
          </cell>
          <cell r="F237">
            <v>1599.3799065000001</v>
          </cell>
          <cell r="G237">
            <v>1600.91193802</v>
          </cell>
          <cell r="H237">
            <v>1606.8511534199999</v>
          </cell>
          <cell r="I237">
            <v>1600.80987759</v>
          </cell>
          <cell r="J237">
            <v>1603.9109276700001</v>
          </cell>
          <cell r="K237">
            <v>1603.4267971300001</v>
          </cell>
          <cell r="L237">
            <v>1613.6031400899999</v>
          </cell>
          <cell r="M237">
            <v>1618.30855948</v>
          </cell>
        </row>
        <row r="238">
          <cell r="A238" t="str">
            <v>PN38O</v>
          </cell>
          <cell r="B238" t="str">
            <v>PN38OARS</v>
          </cell>
          <cell r="C238" t="str">
            <v>ON Tier 1 - Tasa Fija USD Ley Argentina ON Pesos</v>
          </cell>
          <cell r="D238">
            <v>295.33801172835445</v>
          </cell>
          <cell r="E238">
            <v>1600.5248176800001</v>
          </cell>
          <cell r="F238">
            <v>1587.6712687700001</v>
          </cell>
          <cell r="G238">
            <v>1589.2644872343201</v>
          </cell>
          <cell r="H238">
            <v>1595.00870439</v>
          </cell>
          <cell r="I238">
            <v>1588.8957056500001</v>
          </cell>
          <cell r="J238">
            <v>1592.1239153363999</v>
          </cell>
          <cell r="K238">
            <v>1592.0164938600001</v>
          </cell>
          <cell r="L238">
            <v>1584.4094779899999</v>
          </cell>
          <cell r="M238">
            <v>1589.9483668299999</v>
          </cell>
        </row>
        <row r="239">
          <cell r="A239" t="str">
            <v>BYZ1O</v>
          </cell>
          <cell r="B239" t="str">
            <v>BYZ1OARS</v>
          </cell>
          <cell r="C239" t="str">
            <v>ON Tier 1 - Tasa Fija USD Ley Argentina ON Pesos</v>
          </cell>
          <cell r="D239">
            <v>289.06418115994569</v>
          </cell>
          <cell r="E239">
            <v>1553.2793050400001</v>
          </cell>
          <cell r="F239">
            <v>1541.15861238</v>
          </cell>
          <cell r="G239">
            <v>1552</v>
          </cell>
          <cell r="H239">
            <v>1548.4442557299999</v>
          </cell>
          <cell r="I239">
            <v>1542.49757015</v>
          </cell>
          <cell r="J239">
            <v>1545.59515584</v>
          </cell>
          <cell r="K239">
            <v>1545.4317134999999</v>
          </cell>
          <cell r="L239">
            <v>1538.14060485</v>
          </cell>
          <cell r="M239">
            <v>1543.3297003</v>
          </cell>
        </row>
        <row r="240">
          <cell r="A240" t="str">
            <v>BF40O</v>
          </cell>
          <cell r="B240" t="str">
            <v>BF40OARS</v>
          </cell>
          <cell r="C240" t="str">
            <v>ON Tier 1 - Tasa Fija USD Ley Argentina ON Pesos</v>
          </cell>
          <cell r="D240">
            <v>312.62939701895408</v>
          </cell>
          <cell r="E240">
            <v>1574.7375969899999</v>
          </cell>
          <cell r="F240">
            <v>1561.1590964300001</v>
          </cell>
          <cell r="G240">
            <v>1562.6434384300001</v>
          </cell>
          <cell r="H240">
            <v>1568.1369837</v>
          </cell>
          <cell r="I240">
            <v>1562.1150560799999</v>
          </cell>
          <cell r="J240">
            <v>1565.4036416599999</v>
          </cell>
          <cell r="K240">
            <v>1565.42903761</v>
          </cell>
          <cell r="L240">
            <v>1557.6550982199999</v>
          </cell>
          <cell r="M240">
            <v>1563.6383714399999</v>
          </cell>
        </row>
        <row r="241">
          <cell r="A241" t="str">
            <v>PN34O</v>
          </cell>
          <cell r="B241" t="str">
            <v>PN34OARS</v>
          </cell>
          <cell r="C241" t="str">
            <v>ON Tier 1 - Tasa Fija USD Ley Argentina ON Pesos</v>
          </cell>
          <cell r="D241">
            <v>343.6484910813902</v>
          </cell>
          <cell r="K241">
            <v>1557.17200774</v>
          </cell>
          <cell r="L241">
            <v>1548.9641290300001</v>
          </cell>
          <cell r="M241">
            <v>1555.8354700100001</v>
          </cell>
        </row>
        <row r="242">
          <cell r="A242" t="str">
            <v>TTCBO</v>
          </cell>
          <cell r="B242" t="str">
            <v>TTCBOARS</v>
          </cell>
          <cell r="C242" t="str">
            <v>ON Tier 1 - Tasa Fija USD Ley Argentina ON Pesos</v>
          </cell>
          <cell r="D242">
            <v>352.13853300412484</v>
          </cell>
          <cell r="E242">
            <v>1638.22840182</v>
          </cell>
          <cell r="F242">
            <v>1621.7122307499999</v>
          </cell>
          <cell r="G242">
            <v>1622.2759556000001</v>
          </cell>
          <cell r="H242">
            <v>1627.2204992100001</v>
          </cell>
          <cell r="I242">
            <v>1621.21368865</v>
          </cell>
          <cell r="J242">
            <v>1624.8230209200001</v>
          </cell>
          <cell r="K242">
            <v>1625.3605705699999</v>
          </cell>
          <cell r="L242">
            <v>1616.7872359099999</v>
          </cell>
          <cell r="M242">
            <v>1624.1603766600001</v>
          </cell>
        </row>
        <row r="243">
          <cell r="A243" t="str">
            <v>TTC8O</v>
          </cell>
          <cell r="B243" t="str">
            <v>TTC8OARS</v>
          </cell>
          <cell r="C243" t="str">
            <v>ON Tier 1 - Tasa Fija USD Ley Argentina ON Pesos</v>
          </cell>
          <cell r="D243">
            <v>362.89356163703621</v>
          </cell>
          <cell r="E243">
            <v>1602.2077906699999</v>
          </cell>
          <cell r="F243">
            <v>1585.52793189</v>
          </cell>
          <cell r="G243">
            <v>1586.07073231</v>
          </cell>
          <cell r="H243">
            <v>1590.8064347899999</v>
          </cell>
          <cell r="I243">
            <v>1584.9273299500001</v>
          </cell>
          <cell r="J243">
            <v>1593.8977585499999</v>
          </cell>
          <cell r="K243">
            <v>1589.13616226</v>
          </cell>
          <cell r="L243">
            <v>1580.5696693800001</v>
          </cell>
          <cell r="M243">
            <v>1588.09962023</v>
          </cell>
        </row>
        <row r="244">
          <cell r="A244" t="str">
            <v>PLC1O</v>
          </cell>
          <cell r="B244" t="str">
            <v>PLC1OARS</v>
          </cell>
          <cell r="C244" t="str">
            <v>ON Tier 1 - Tasa Fija USD Ley Argentina ON Pesos</v>
          </cell>
          <cell r="D244">
            <v>446.71087240177883</v>
          </cell>
          <cell r="E244">
            <v>1628.0819616900001</v>
          </cell>
          <cell r="F244">
            <v>1606.9195712000001</v>
          </cell>
          <cell r="G244">
            <v>1605.6136465300001</v>
          </cell>
          <cell r="H244">
            <v>1608.58071004</v>
          </cell>
          <cell r="I244">
            <v>1603.3074176099999</v>
          </cell>
          <cell r="J244">
            <v>1607.32173863</v>
          </cell>
          <cell r="K244">
            <v>1609.1137593999999</v>
          </cell>
          <cell r="L244">
            <v>1599.5166593199999</v>
          </cell>
          <cell r="M244">
            <v>1609.2516972999999</v>
          </cell>
        </row>
        <row r="245">
          <cell r="A245" t="str">
            <v>PLC3O</v>
          </cell>
          <cell r="B245" t="str">
            <v>PLC3OARS</v>
          </cell>
          <cell r="C245" t="str">
            <v>ON Tier 1 - Tasa Fija USD Ley Argentina ON Pesos</v>
          </cell>
          <cell r="D245">
            <v>537.35731335049263</v>
          </cell>
          <cell r="K245">
            <v>1614.38383684</v>
          </cell>
          <cell r="L245">
            <v>1592.24587494</v>
          </cell>
          <cell r="M245">
            <v>1597.3028627000001</v>
          </cell>
        </row>
        <row r="246">
          <cell r="A246" t="str">
            <v>OLC5O</v>
          </cell>
          <cell r="B246" t="str">
            <v>OLC5OARS</v>
          </cell>
          <cell r="C246" t="str">
            <v>ON Tier 1 - Tasa Fija USD Ley Argentina ON Pesos</v>
          </cell>
          <cell r="D246">
            <v>567.81533257735464</v>
          </cell>
          <cell r="E246">
            <v>1674.29084491</v>
          </cell>
          <cell r="F246">
            <v>1648.27086433</v>
          </cell>
          <cell r="G246">
            <v>1643.9408052199999</v>
          </cell>
          <cell r="H246">
            <v>1643.28284179</v>
          </cell>
          <cell r="I246">
            <v>1639.5799583200001</v>
          </cell>
          <cell r="J246">
            <v>1644.0527758600001</v>
          </cell>
          <cell r="K246">
            <v>1648.09433057</v>
          </cell>
          <cell r="L246">
            <v>1637.4361258599999</v>
          </cell>
          <cell r="M246">
            <v>1649.5526216400001</v>
          </cell>
        </row>
        <row r="247">
          <cell r="A247" t="str">
            <v>BF44O</v>
          </cell>
          <cell r="B247" t="str">
            <v>BF44OARS</v>
          </cell>
          <cell r="C247" t="str">
            <v>ON Tier 1 - Tasa Fija USD Ley Argentina ON Pesos</v>
          </cell>
          <cell r="D247">
            <v>545.79587213881916</v>
          </cell>
          <cell r="E247">
            <v>1596.7345164999999</v>
          </cell>
          <cell r="F247">
            <v>1572.29085364</v>
          </cell>
          <cell r="G247">
            <v>1568.75351252</v>
          </cell>
          <cell r="H247">
            <v>1565</v>
          </cell>
          <cell r="I247">
            <v>1564.99849034</v>
          </cell>
          <cell r="J247">
            <v>1569.2415217499999</v>
          </cell>
          <cell r="K247">
            <v>1572.62179745</v>
          </cell>
          <cell r="L247">
            <v>1562.48606786</v>
          </cell>
          <cell r="M247">
            <v>1573.8652325800001</v>
          </cell>
        </row>
        <row r="248">
          <cell r="A248" t="str">
            <v>YM40O</v>
          </cell>
          <cell r="B248" t="str">
            <v>YM40OARS</v>
          </cell>
          <cell r="C248" t="str">
            <v>YM40OS - Z-Spread D</v>
          </cell>
          <cell r="D248">
            <v>639.93856073810184</v>
          </cell>
          <cell r="E248">
            <v>1644.8657392099999</v>
          </cell>
          <cell r="F248">
            <v>1618.01866978</v>
          </cell>
          <cell r="G248">
            <v>1612.2498867100001</v>
          </cell>
          <cell r="H248">
            <v>1609.06652891</v>
          </cell>
          <cell r="I248">
            <v>1606.68550198</v>
          </cell>
          <cell r="J248">
            <v>1611.2143617900001</v>
          </cell>
          <cell r="K248">
            <v>1616.62513139</v>
          </cell>
          <cell r="L248">
            <v>1605.8938536799999</v>
          </cell>
          <cell r="M248">
            <v>1618.53126084</v>
          </cell>
        </row>
        <row r="249">
          <cell r="A249" t="str">
            <v>YMCYO</v>
          </cell>
          <cell r="B249" t="str">
            <v>YMCYOARS</v>
          </cell>
          <cell r="C249" t="str">
            <v>YMCYOS - Z-Spread D</v>
          </cell>
          <cell r="D249">
            <v>687.91548092171286</v>
          </cell>
          <cell r="E249">
            <v>1619.86037031</v>
          </cell>
          <cell r="F249">
            <v>1593.2814982899999</v>
          </cell>
          <cell r="G249">
            <v>1586.77105656</v>
          </cell>
          <cell r="H249">
            <v>1582.10029356</v>
          </cell>
          <cell r="I249">
            <v>1580.5890508099999</v>
          </cell>
          <cell r="J249">
            <v>1585.0835577600001</v>
          </cell>
          <cell r="K249">
            <v>1566.10335562</v>
          </cell>
          <cell r="L249">
            <v>1555.5539013099999</v>
          </cell>
          <cell r="M249">
            <v>1568.2006222099999</v>
          </cell>
        </row>
        <row r="250">
          <cell r="A250" t="str">
            <v>YMCZO</v>
          </cell>
          <cell r="B250" t="str">
            <v>YMCZOARS</v>
          </cell>
          <cell r="C250" t="str">
            <v>YMCZOS - Z-Spread D</v>
          </cell>
          <cell r="D250">
            <v>691.50546186273914</v>
          </cell>
          <cell r="E250">
            <v>1671.0018396999999</v>
          </cell>
          <cell r="F250">
            <v>1643.88953343</v>
          </cell>
          <cell r="G250">
            <v>1637.11268182</v>
          </cell>
          <cell r="H250">
            <v>1632.3814242599999</v>
          </cell>
          <cell r="I250">
            <v>1630.7990294399999</v>
          </cell>
          <cell r="J250">
            <v>1635.3697594600001</v>
          </cell>
          <cell r="K250">
            <v>1587.6582575299999</v>
          </cell>
          <cell r="L250">
            <v>1576.89196167</v>
          </cell>
          <cell r="M250">
            <v>1589.7948576199999</v>
          </cell>
        </row>
        <row r="251">
          <cell r="A251" t="str">
            <v>GN47O</v>
          </cell>
          <cell r="B251" t="str">
            <v>GN47OARS</v>
          </cell>
          <cell r="C251" t="str">
            <v>ON Tier 1 - Tasa Fija USD Ley Argentina ON Pesos</v>
          </cell>
          <cell r="D251">
            <v>682.89033933589178</v>
          </cell>
          <cell r="E251">
            <v>1629.8960677499999</v>
          </cell>
          <cell r="F251">
            <v>1603.2012575700001</v>
          </cell>
          <cell r="G251">
            <v>1596.43641994</v>
          </cell>
          <cell r="H251">
            <v>1591.4188763699999</v>
          </cell>
          <cell r="I251">
            <v>1590.0621865999999</v>
          </cell>
          <cell r="J251">
            <v>1594.56678029</v>
          </cell>
          <cell r="K251">
            <v>1600.97335896</v>
          </cell>
          <cell r="L251">
            <v>1590.3859474400001</v>
          </cell>
          <cell r="M251">
            <v>1603.01082253</v>
          </cell>
        </row>
        <row r="252">
          <cell r="A252" t="str">
            <v>YFCLO</v>
          </cell>
          <cell r="B252" t="str">
            <v>YFCLOARS</v>
          </cell>
          <cell r="C252" t="str">
            <v>YFCLOS - Z-Spread D</v>
          </cell>
          <cell r="D252">
            <v>718.50409441189606</v>
          </cell>
          <cell r="E252">
            <v>1623.77354044</v>
          </cell>
          <cell r="F252">
            <v>1597.22177571</v>
          </cell>
          <cell r="G252">
            <v>1590.1485265199999</v>
          </cell>
          <cell r="H252">
            <v>1583.87518026</v>
          </cell>
          <cell r="I252">
            <v>1583.15994572</v>
          </cell>
          <cell r="J252">
            <v>1587.7096449799999</v>
          </cell>
          <cell r="K252">
            <v>1594.7996908499999</v>
          </cell>
          <cell r="L252">
            <v>1584.15074018</v>
          </cell>
          <cell r="M252">
            <v>1596.8834261300001</v>
          </cell>
        </row>
        <row r="253">
          <cell r="A253" t="str">
            <v>YFCOO</v>
          </cell>
          <cell r="B253" t="str">
            <v>YFCOOARS</v>
          </cell>
          <cell r="C253" t="str">
            <v>YFCOOS - Z-Spread D</v>
          </cell>
          <cell r="D253">
            <v>741.39808090044914</v>
          </cell>
          <cell r="E253">
            <v>1616.84042765</v>
          </cell>
          <cell r="F253">
            <v>1590.56025342</v>
          </cell>
          <cell r="G253">
            <v>1583.25398154</v>
          </cell>
          <cell r="H253">
            <v>1576.1084887300001</v>
          </cell>
          <cell r="I253">
            <v>1575.8636891799999</v>
          </cell>
          <cell r="J253">
            <v>1580.4203780600001</v>
          </cell>
          <cell r="K253">
            <v>1587.98111081</v>
          </cell>
          <cell r="L253">
            <v>1577.3578955200001</v>
          </cell>
          <cell r="M253">
            <v>1590.06847911</v>
          </cell>
        </row>
        <row r="254">
          <cell r="A254" t="str">
            <v>YM42O</v>
          </cell>
          <cell r="B254" t="str">
            <v>YM42OARS</v>
          </cell>
          <cell r="C254" t="str">
            <v>YM42OS - Z-Spread D</v>
          </cell>
          <cell r="D254">
            <v>796.90937060236195</v>
          </cell>
          <cell r="E254">
            <v>1622.97247285</v>
          </cell>
          <cell r="F254">
            <v>1598.4968874900001</v>
          </cell>
          <cell r="G254">
            <v>1590.6065177099999</v>
          </cell>
          <cell r="H254">
            <v>1607.79062643</v>
          </cell>
          <cell r="I254">
            <v>1608.9932767400001</v>
          </cell>
          <cell r="J254">
            <v>1609.1002353399999</v>
          </cell>
          <cell r="K254">
            <v>1611.62042827</v>
          </cell>
          <cell r="L254">
            <v>1614.86155555</v>
          </cell>
          <cell r="M254">
            <v>1604.9330380399999</v>
          </cell>
        </row>
        <row r="255">
          <cell r="A255" t="str">
            <v>PLC6O</v>
          </cell>
          <cell r="B255" t="str">
            <v>PLC6OARS</v>
          </cell>
          <cell r="C255" t="str">
            <v>ON Tier 1 - Tasa Fija USD Ley Argentina ON Pesos</v>
          </cell>
          <cell r="D255">
            <v>787.3839276887461</v>
          </cell>
          <cell r="E255">
            <v>1658.45442417</v>
          </cell>
          <cell r="F255">
            <v>1633.5630490399999</v>
          </cell>
          <cell r="G255">
            <v>1625.43638483</v>
          </cell>
          <cell r="H255">
            <v>1607.9378317999999</v>
          </cell>
          <cell r="I255">
            <v>1616.72664594</v>
          </cell>
          <cell r="J255">
            <v>1606.1000065400001</v>
          </cell>
          <cell r="K255">
            <v>1630.4853282300001</v>
          </cell>
          <cell r="L255">
            <v>1619.9688255599999</v>
          </cell>
          <cell r="M255">
            <v>1632.26641307</v>
          </cell>
        </row>
        <row r="256">
          <cell r="A256" t="str">
            <v>TLCUO</v>
          </cell>
          <cell r="B256" t="str">
            <v>TLCUOARS</v>
          </cell>
          <cell r="C256" t="str">
            <v>ON Tier 1 - Tasa Fija USD Ley Argentina ON Pesos</v>
          </cell>
          <cell r="D256">
            <v>818.19583749687217</v>
          </cell>
          <cell r="E256">
            <v>1605.6847841599999</v>
          </cell>
          <cell r="F256">
            <v>1581.0605143499999</v>
          </cell>
          <cell r="G256">
            <v>1573.1586073999999</v>
          </cell>
          <cell r="H256">
            <v>1562.8050278000001</v>
          </cell>
          <cell r="I256">
            <v>1564.30083203</v>
          </cell>
          <cell r="J256">
            <v>1568.87340341</v>
          </cell>
          <cell r="K256">
            <v>1578.1784350200001</v>
          </cell>
          <cell r="L256">
            <v>1567.7044049399999</v>
          </cell>
          <cell r="M256">
            <v>1580.0703430399999</v>
          </cell>
        </row>
        <row r="257">
          <cell r="A257" t="str">
            <v>OLC6O</v>
          </cell>
          <cell r="B257" t="str">
            <v>OLC6OARS</v>
          </cell>
          <cell r="C257" t="str">
            <v>ON Tier 1 - Tasa Fija USD Ley Argentina ON Pesos</v>
          </cell>
          <cell r="D257">
            <v>873.53363234439564</v>
          </cell>
          <cell r="E257">
            <v>1670.0148806499999</v>
          </cell>
          <cell r="F257">
            <v>1648.34855748</v>
          </cell>
          <cell r="G257">
            <v>1640.17430558</v>
          </cell>
          <cell r="H257">
            <v>1619.9754</v>
          </cell>
          <cell r="I257">
            <v>1629.53837021</v>
          </cell>
          <cell r="J257">
            <v>1634.17976757</v>
          </cell>
          <cell r="K257">
            <v>1645.61052442</v>
          </cell>
          <cell r="L257">
            <v>1635.2485359</v>
          </cell>
          <cell r="M257">
            <v>1646.7632024899999</v>
          </cell>
        </row>
        <row r="258">
          <cell r="A258" t="str">
            <v>OLC7O</v>
          </cell>
          <cell r="B258" t="str">
            <v>OLC7OARS</v>
          </cell>
          <cell r="C258" t="str">
            <v>ON Tier 1 - Tasa Fija USD Ley Argentina ON Pesos</v>
          </cell>
          <cell r="D258">
            <v>1110.5819073662105</v>
          </cell>
          <cell r="E258">
            <v>1603.29266925</v>
          </cell>
          <cell r="F258">
            <v>1600.13369326</v>
          </cell>
          <cell r="G258">
            <v>1596.26089531</v>
          </cell>
          <cell r="H258">
            <v>1570.42588916</v>
          </cell>
          <cell r="I258">
            <v>1580.5783606499999</v>
          </cell>
          <cell r="J258">
            <v>1584.9109669300001</v>
          </cell>
          <cell r="K258">
            <v>1602.3793254300001</v>
          </cell>
          <cell r="L258">
            <v>1593.7775105600001</v>
          </cell>
          <cell r="M258">
            <v>1599.5777023999999</v>
          </cell>
        </row>
        <row r="259">
          <cell r="A259" t="str">
            <v>HJCFO</v>
          </cell>
          <cell r="B259" t="str">
            <v>HJCFOARS</v>
          </cell>
          <cell r="C259" t="str">
            <v>ON Tier 1 - Tasa Fija USD Ley Argentina ON Pesos</v>
          </cell>
          <cell r="D259">
            <v>6.9999999999997007</v>
          </cell>
          <cell r="E259">
            <v>1587.99161344</v>
          </cell>
          <cell r="F259">
            <v>1585.5821753299999</v>
          </cell>
          <cell r="G259">
            <v>1576.15546328</v>
          </cell>
          <cell r="H259">
            <v>1579.3163969</v>
          </cell>
          <cell r="I259">
            <v>1576.9869661499999</v>
          </cell>
          <cell r="J259">
            <v>1577.26114824</v>
          </cell>
          <cell r="K259">
            <v>1577.6299126199999</v>
          </cell>
          <cell r="L259">
            <v>1577.52759842</v>
          </cell>
          <cell r="M259">
            <v>1573.38653568</v>
          </cell>
        </row>
        <row r="260">
          <cell r="A260" t="str">
            <v>T672O</v>
          </cell>
          <cell r="B260" t="str">
            <v>T672OARS</v>
          </cell>
          <cell r="C260" t="str">
            <v>ON Tier 2 - Tasa Fija USD Ley Argentina ON Pesos</v>
          </cell>
          <cell r="D260">
            <v>129.88275399757799</v>
          </cell>
          <cell r="E260">
            <v>1561.4803315900001</v>
          </cell>
          <cell r="F260">
            <v>1557.1164236899999</v>
          </cell>
          <cell r="G260">
            <v>1556.3901340499999</v>
          </cell>
          <cell r="H260">
            <v>1562.0222529299999</v>
          </cell>
          <cell r="I260">
            <v>1552.22668015</v>
          </cell>
          <cell r="J260">
            <v>1556.63236155</v>
          </cell>
          <cell r="K260">
            <v>1555.4193542800001</v>
          </cell>
          <cell r="L260">
            <v>1551.6059846400001</v>
          </cell>
          <cell r="M260">
            <v>1551.6063739000001</v>
          </cell>
        </row>
        <row r="261">
          <cell r="A261" t="str">
            <v>CS48O</v>
          </cell>
          <cell r="B261" t="str">
            <v>CS48OARS</v>
          </cell>
          <cell r="C261" t="str">
            <v>ON Tier 1 - Tasa Fija USD Ley Argentina ON Pesos</v>
          </cell>
          <cell r="D261">
            <v>596.16090591906072</v>
          </cell>
          <cell r="E261">
            <v>1669.7825632300001</v>
          </cell>
          <cell r="F261">
            <v>1643.18606608</v>
          </cell>
          <cell r="G261">
            <v>1638.3029377800001</v>
          </cell>
          <cell r="H261">
            <v>1636.7164423900001</v>
          </cell>
          <cell r="I261">
            <v>1633.4700242700001</v>
          </cell>
          <cell r="J261">
            <v>1638.0004776400001</v>
          </cell>
          <cell r="K261">
            <v>1642.5717865399999</v>
          </cell>
          <cell r="L261">
            <v>1631.7964967099999</v>
          </cell>
          <cell r="M261">
            <v>1644.2466402699999</v>
          </cell>
        </row>
        <row r="262">
          <cell r="A262" t="str">
            <v>CS47O</v>
          </cell>
          <cell r="B262" t="str">
            <v>CS47OARS</v>
          </cell>
          <cell r="C262" t="str">
            <v>ON Tier 1 - Tasa Fija USD Ley Argentina ON Pesos</v>
          </cell>
          <cell r="D262">
            <v>704.46783970349634</v>
          </cell>
          <cell r="E262">
            <v>1658.7572551400001</v>
          </cell>
          <cell r="F262">
            <v>1631.8646662000001</v>
          </cell>
          <cell r="G262">
            <v>1624.7038505400001</v>
          </cell>
          <cell r="H262">
            <v>1618.6653146599999</v>
          </cell>
          <cell r="I262">
            <v>1617.7806622400001</v>
          </cell>
          <cell r="J262">
            <v>1622.3781504999999</v>
          </cell>
          <cell r="K262">
            <v>1629.411247</v>
          </cell>
          <cell r="L262">
            <v>1618.65256905</v>
          </cell>
          <cell r="M262">
            <v>1631.4691969099999</v>
          </cell>
        </row>
        <row r="263">
          <cell r="A263" t="str">
            <v>ZZC1O</v>
          </cell>
          <cell r="B263" t="str">
            <v>ZZC1OARS</v>
          </cell>
          <cell r="C263" t="str">
            <v>ON Tier 2 - Tasa Fija USD Ley Argentina ON Pesos</v>
          </cell>
          <cell r="D263">
            <v>130.9999999999996</v>
          </cell>
          <cell r="E263">
            <v>1584.22705802</v>
          </cell>
          <cell r="F263">
            <v>1579.77258418</v>
          </cell>
          <cell r="G263">
            <v>1579.10415893</v>
          </cell>
          <cell r="H263">
            <v>1584.8381204</v>
          </cell>
          <cell r="I263">
            <v>1574.83649788</v>
          </cell>
          <cell r="J263">
            <v>1579.34107395</v>
          </cell>
          <cell r="K263">
            <v>1578.0953824000001</v>
          </cell>
          <cell r="L263">
            <v>1574.1928343500001</v>
          </cell>
          <cell r="M263">
            <v>1574.23095754</v>
          </cell>
        </row>
        <row r="264">
          <cell r="A264" t="str">
            <v>BVCUO</v>
          </cell>
          <cell r="B264" t="str">
            <v>BVCUOARS</v>
          </cell>
          <cell r="C264" t="str">
            <v>ON Tier 3 - Tasa Fija USD Ley Argentina ON Pesos</v>
          </cell>
          <cell r="D264">
            <v>200.9898305728417</v>
          </cell>
          <cell r="E264">
            <v>1548.4795726499999</v>
          </cell>
          <cell r="F264">
            <v>1541.2328789799999</v>
          </cell>
          <cell r="G264">
            <v>1542.4767875099999</v>
          </cell>
          <cell r="H264">
            <v>1548.5257720499999</v>
          </cell>
          <cell r="I264">
            <v>1535.5025552899999</v>
          </cell>
          <cell r="J264">
            <v>1541.9034042999999</v>
          </cell>
          <cell r="K264">
            <v>1540.39297364</v>
          </cell>
          <cell r="L264">
            <v>1534.9628493299999</v>
          </cell>
          <cell r="M264">
            <v>1537.41154106</v>
          </cell>
        </row>
        <row r="265">
          <cell r="A265" t="str">
            <v>JNC6O</v>
          </cell>
          <cell r="B265" t="str">
            <v>JNC6OARS</v>
          </cell>
          <cell r="C265" t="str">
            <v>ON Tier 3 - Tasa Fija USD Ley Argentina ON Pesos</v>
          </cell>
          <cell r="D265">
            <v>347.26370261867282</v>
          </cell>
          <cell r="E265">
            <v>1660.33916316</v>
          </cell>
          <cell r="F265">
            <v>1575.0394042299999</v>
          </cell>
          <cell r="G265">
            <v>1576.21888014</v>
          </cell>
          <cell r="H265">
            <v>1581.4036267399999</v>
          </cell>
          <cell r="I265">
            <v>1562.3470036799999</v>
          </cell>
          <cell r="J265">
            <v>1572.67948787</v>
          </cell>
          <cell r="K265">
            <v>1571.0483220599999</v>
          </cell>
          <cell r="L265">
            <v>1562.8571523799999</v>
          </cell>
          <cell r="M265">
            <v>1570.0112305</v>
          </cell>
        </row>
        <row r="266">
          <cell r="A266" t="str">
            <v>HVS1O</v>
          </cell>
          <cell r="B266" t="str">
            <v>HVS1OARS</v>
          </cell>
          <cell r="C266" t="str">
            <v>ON Tier 3 - Tasa Fija USD Ley Argentina ON Pesos</v>
          </cell>
          <cell r="D266">
            <v>595.53454848667536</v>
          </cell>
          <cell r="E266">
            <v>1630.0334043299999</v>
          </cell>
          <cell r="F266">
            <v>1604.85789264</v>
          </cell>
          <cell r="G266">
            <v>1600.1499308699999</v>
          </cell>
          <cell r="H266">
            <v>1598.8688047099999</v>
          </cell>
          <cell r="I266">
            <v>1539.70190164</v>
          </cell>
          <cell r="J266">
            <v>1555.3921494900001</v>
          </cell>
          <cell r="K266">
            <v>1555.9700282599999</v>
          </cell>
          <cell r="L266">
            <v>1545.8633847900001</v>
          </cell>
          <cell r="M266">
            <v>1557.805728</v>
          </cell>
        </row>
        <row r="267">
          <cell r="A267"/>
          <cell r="B267"/>
          <cell r="C267"/>
          <cell r="D267"/>
        </row>
        <row r="268">
          <cell r="A268" t="str">
            <v>Obligaciones Negociables Hard USD - Ley Extranjera</v>
          </cell>
          <cell r="B268"/>
          <cell r="C268">
            <v>0</v>
          </cell>
          <cell r="D268">
            <v>0</v>
          </cell>
        </row>
        <row r="269">
          <cell r="A269"/>
          <cell r="B269"/>
          <cell r="C269"/>
          <cell r="D269"/>
        </row>
        <row r="270">
          <cell r="A270" t="str">
            <v>PNDCD</v>
          </cell>
          <cell r="B270" t="str">
            <v>PNDCDUSM</v>
          </cell>
          <cell r="C270" t="str">
            <v>ON Tier 1 - Tasa Fija USD Ley Extranjera ON</v>
          </cell>
          <cell r="D270">
            <v>105.85255619865269</v>
          </cell>
          <cell r="E270">
            <v>0.43057962</v>
          </cell>
          <cell r="F270">
            <v>0.43079339999999999</v>
          </cell>
          <cell r="G270">
            <v>0.43039648000000003</v>
          </cell>
          <cell r="H270">
            <v>0.43064734999999998</v>
          </cell>
          <cell r="I270">
            <v>0.43072081000000001</v>
          </cell>
          <cell r="J270">
            <v>0.43113478999999999</v>
          </cell>
          <cell r="K270">
            <v>0.43099886999999998</v>
          </cell>
          <cell r="L270">
            <v>0.43084436999999998</v>
          </cell>
          <cell r="M270">
            <v>0.43164021000000002</v>
          </cell>
        </row>
        <row r="271">
          <cell r="A271" t="str">
            <v>YCAMD</v>
          </cell>
          <cell r="B271" t="str">
            <v>YCAMDUSM</v>
          </cell>
          <cell r="C271" t="str">
            <v>ON Tier 1 - Tasa Fija USD Ley Extranjera ON</v>
          </cell>
          <cell r="D271">
            <v>274.17145972072507</v>
          </cell>
          <cell r="E271">
            <v>1.07503807</v>
          </cell>
          <cell r="F271">
            <v>1.0768749500000001</v>
          </cell>
          <cell r="G271">
            <v>1.0748651499999999</v>
          </cell>
          <cell r="H271">
            <v>1.0765618100000001</v>
          </cell>
          <cell r="I271">
            <v>1.0771994899999999</v>
          </cell>
          <cell r="J271">
            <v>1.0797998099999999</v>
          </cell>
          <cell r="K271">
            <v>1.08003118</v>
          </cell>
          <cell r="L271">
            <v>1.0793749699999999</v>
          </cell>
          <cell r="M271">
            <v>1.08439069</v>
          </cell>
        </row>
        <row r="272">
          <cell r="A272" t="str">
            <v>YMCID</v>
          </cell>
          <cell r="B272" t="str">
            <v>YMCICUSC</v>
          </cell>
          <cell r="C272" t="str">
            <v>ON Tier 1 - Tasa Fija USD Ley Extranjera ON</v>
          </cell>
          <cell r="D272">
            <v>506.971486905603</v>
          </cell>
          <cell r="E272">
            <v>0.94788333999999996</v>
          </cell>
          <cell r="F272">
            <v>0.94382655999999998</v>
          </cell>
          <cell r="G272">
            <v>0.94779880000000005</v>
          </cell>
          <cell r="H272">
            <v>0.93765714</v>
          </cell>
          <cell r="I272">
            <v>0.94502184</v>
          </cell>
          <cell r="J272">
            <v>0.95358843000000004</v>
          </cell>
          <cell r="K272">
            <v>0.95394294000000002</v>
          </cell>
          <cell r="L272">
            <v>0.95326432000000005</v>
          </cell>
          <cell r="M272">
            <v>0.95414409</v>
          </cell>
        </row>
        <row r="273">
          <cell r="A273" t="str">
            <v>AER4D</v>
          </cell>
          <cell r="B273" t="str">
            <v>AER4DUSM</v>
          </cell>
          <cell r="C273" t="str">
            <v>ON Tier 1 - Tasa Fija USD Ley Extranjera ON</v>
          </cell>
          <cell r="D273">
            <v>504.63288611733492</v>
          </cell>
          <cell r="E273">
            <v>0.76529959000000003</v>
          </cell>
          <cell r="F273">
            <v>0.76705151999999999</v>
          </cell>
          <cell r="G273">
            <v>0.76524217999999999</v>
          </cell>
          <cell r="H273">
            <v>0.76705263000000001</v>
          </cell>
          <cell r="I273">
            <v>0.76763658999999995</v>
          </cell>
          <cell r="J273">
            <v>0.77007181000000002</v>
          </cell>
          <cell r="K273">
            <v>0.77038994000000005</v>
          </cell>
          <cell r="L273">
            <v>0.76981931000000003</v>
          </cell>
          <cell r="M273">
            <v>0.77459822</v>
          </cell>
        </row>
        <row r="274">
          <cell r="A274" t="str">
            <v>YMCUD</v>
          </cell>
          <cell r="B274" t="str">
            <v>YMCUDUSM</v>
          </cell>
          <cell r="C274" t="str">
            <v>ON Tier 1 - Tasa Fija USD Ley Extranjera ON</v>
          </cell>
          <cell r="D274">
            <v>752.99400779409223</v>
          </cell>
          <cell r="E274">
            <v>1.00402499</v>
          </cell>
          <cell r="F274">
            <v>1.00648195</v>
          </cell>
          <cell r="G274">
            <v>1.00401118</v>
          </cell>
          <cell r="H274">
            <v>1.00696154</v>
          </cell>
          <cell r="I274">
            <v>1.00774491</v>
          </cell>
          <cell r="J274">
            <v>1.01126267</v>
          </cell>
          <cell r="K274">
            <v>1.0117200399999999</v>
          </cell>
          <cell r="L274">
            <v>1.01100031</v>
          </cell>
          <cell r="M274">
            <v>1.0179880699999999</v>
          </cell>
        </row>
        <row r="275">
          <cell r="A275" t="str">
            <v>BYCHD</v>
          </cell>
          <cell r="B275" t="str">
            <v>BYCHDUSM</v>
          </cell>
          <cell r="C275" t="str">
            <v>ON Tier 1 - Tasa Fija USD Ley Extranjera ON</v>
          </cell>
          <cell r="D275">
            <v>689.0720120232296</v>
          </cell>
          <cell r="E275">
            <v>1.1128201900000001</v>
          </cell>
          <cell r="F275">
            <v>1.1160159300000001</v>
          </cell>
          <cell r="G275">
            <v>1.1128526999999999</v>
          </cell>
          <cell r="H275">
            <v>1.1162198999999999</v>
          </cell>
          <cell r="I275">
            <v>1.1172740000000001</v>
          </cell>
          <cell r="J275">
            <v>1.1001094600000001</v>
          </cell>
          <cell r="K275">
            <v>1.08359951</v>
          </cell>
          <cell r="L275">
            <v>1.0826337399999999</v>
          </cell>
          <cell r="M275">
            <v>1.0912477937510801</v>
          </cell>
        </row>
        <row r="276">
          <cell r="A276" t="str">
            <v>YMC1D</v>
          </cell>
          <cell r="B276" t="str">
            <v>YMC1CUSC</v>
          </cell>
          <cell r="C276" t="str">
            <v>ON Tier 1 - Tasa Fija USD Ley Extranjera ON</v>
          </cell>
          <cell r="D276">
            <v>887.50246587124911</v>
          </cell>
          <cell r="E276">
            <v>1.1056076100000001</v>
          </cell>
          <cell r="F276">
            <v>1.1089559099999999</v>
          </cell>
          <cell r="G276">
            <v>1.1056827600000001</v>
          </cell>
          <cell r="H276">
            <v>1.10963429</v>
          </cell>
          <cell r="I276">
            <v>1.1106999399999999</v>
          </cell>
          <cell r="J276">
            <v>1.11537017</v>
          </cell>
          <cell r="K276">
            <v>1.1161095299999999</v>
          </cell>
          <cell r="L276">
            <v>1.1151493100000001</v>
          </cell>
          <cell r="M276">
            <v>1.1244573099999999</v>
          </cell>
        </row>
        <row r="277">
          <cell r="A277" t="str">
            <v>ARC1D</v>
          </cell>
          <cell r="B277" t="str">
            <v>ARC1DUSM</v>
          </cell>
          <cell r="C277" t="str">
            <v>ON Tier 1 - Tasa Fija USD Ley Extranjera ON</v>
          </cell>
          <cell r="D277">
            <v>911.73786083619689</v>
          </cell>
          <cell r="E277">
            <v>1.06359541</v>
          </cell>
          <cell r="F277">
            <v>1.0663430899999999</v>
          </cell>
          <cell r="G277">
            <v>1.0636326700000001</v>
          </cell>
          <cell r="H277">
            <v>1.0671877700000001</v>
          </cell>
          <cell r="I277">
            <v>1.0680417799999999</v>
          </cell>
          <cell r="J277">
            <v>1.0720358400000001</v>
          </cell>
          <cell r="K277">
            <v>1.07256431</v>
          </cell>
          <cell r="L277">
            <v>1.0718163199999999</v>
          </cell>
          <cell r="M277">
            <v>1.0798014300000001</v>
          </cell>
        </row>
        <row r="278">
          <cell r="A278" t="str">
            <v>TTCDD</v>
          </cell>
          <cell r="B278" t="str">
            <v>TTCDDUSM</v>
          </cell>
          <cell r="C278" t="str">
            <v>ON Tier 1 - Tasa Fija USD Ley Extranjera ON</v>
          </cell>
          <cell r="D278">
            <v>1266.6888618512821</v>
          </cell>
          <cell r="E278">
            <v>1.07980225</v>
          </cell>
          <cell r="F278">
            <v>1.07908044</v>
          </cell>
          <cell r="G278">
            <v>1.0804749199999999</v>
          </cell>
          <cell r="H278">
            <v>1.0877171800000001</v>
          </cell>
          <cell r="I278">
            <v>1.08719162</v>
          </cell>
          <cell r="J278">
            <v>1.08600257</v>
          </cell>
          <cell r="K278">
            <v>1.0859527499999999</v>
          </cell>
          <cell r="L278">
            <v>1.0885</v>
          </cell>
          <cell r="M278">
            <v>1.0900512</v>
          </cell>
        </row>
        <row r="279">
          <cell r="A279" t="str">
            <v>YMCXD</v>
          </cell>
          <cell r="B279" t="str">
            <v>YMCXDUSM</v>
          </cell>
          <cell r="C279" t="str">
            <v>ON Tier 1 - Tasa Fija USD Ley Extranjera ON</v>
          </cell>
          <cell r="D279">
            <v>1343.5796205706263</v>
          </cell>
          <cell r="E279">
            <v>1.0848704899999999</v>
          </cell>
          <cell r="F279">
            <v>1.0829392499999999</v>
          </cell>
          <cell r="G279">
            <v>1.0803037799999999</v>
          </cell>
          <cell r="H279">
            <v>1.0825350199999999</v>
          </cell>
          <cell r="I279">
            <v>1.0800758399999999</v>
          </cell>
          <cell r="J279">
            <v>1.08540773</v>
          </cell>
          <cell r="K279">
            <v>1.0864257100000001</v>
          </cell>
          <cell r="L279">
            <v>1.0868810600000001</v>
          </cell>
          <cell r="M279">
            <v>1.0890453</v>
          </cell>
        </row>
        <row r="280">
          <cell r="A280" t="str">
            <v>PNXCD</v>
          </cell>
          <cell r="B280" t="str">
            <v>PNXCDUSM</v>
          </cell>
          <cell r="C280" t="str">
            <v>ON Tier 1 - Tasa Fija USD Ley Extranjera ON</v>
          </cell>
          <cell r="D280">
            <v>1368.8345855558412</v>
          </cell>
          <cell r="E280">
            <v>1.13060614</v>
          </cell>
          <cell r="F280">
            <v>1.1012413000000001</v>
          </cell>
          <cell r="G280">
            <v>1.0986557100000001</v>
          </cell>
          <cell r="H280">
            <v>1.1033381799999999</v>
          </cell>
          <cell r="I280">
            <v>1.10410605</v>
          </cell>
          <cell r="J280">
            <v>1.1084886300000001</v>
          </cell>
          <cell r="K280">
            <v>1.1089723300000001</v>
          </cell>
          <cell r="L280">
            <v>1.1084459099999999</v>
          </cell>
          <cell r="M280">
            <v>1.11737555</v>
          </cell>
        </row>
        <row r="281">
          <cell r="A281" t="str">
            <v>PLC5D</v>
          </cell>
          <cell r="B281" t="str">
            <v>PLC5DUSM</v>
          </cell>
          <cell r="C281" t="str">
            <v>ON Tier 1 - Tasa Fija USD Ley Extranjera ON</v>
          </cell>
          <cell r="D281">
            <v>1399.3671940514755</v>
          </cell>
          <cell r="E281">
            <v>1.0818354400000001</v>
          </cell>
          <cell r="F281">
            <v>1.08195051</v>
          </cell>
          <cell r="G281">
            <v>1.0830703100000001</v>
          </cell>
          <cell r="H281">
            <v>1.0842600099999999</v>
          </cell>
          <cell r="I281">
            <v>1.08153996</v>
          </cell>
          <cell r="J281">
            <v>1.08424305</v>
          </cell>
          <cell r="K281">
            <v>1.0860360600000001</v>
          </cell>
          <cell r="L281">
            <v>1.09001697</v>
          </cell>
          <cell r="M281">
            <v>1.0946808400000001</v>
          </cell>
        </row>
        <row r="282">
          <cell r="A282" t="str">
            <v>TSC3D</v>
          </cell>
          <cell r="B282" t="str">
            <v>TSC3CUSC</v>
          </cell>
          <cell r="C282" t="str">
            <v>ON Tier 1 - Tasa Fija USD Ley Extranjera ON</v>
          </cell>
          <cell r="D282">
            <v>1456.4777605318122</v>
          </cell>
          <cell r="E282">
            <v>1.0945</v>
          </cell>
          <cell r="F282">
            <v>1.07820738</v>
          </cell>
          <cell r="G282">
            <v>1.07571146</v>
          </cell>
          <cell r="H282">
            <v>1.0804950799999999</v>
          </cell>
          <cell r="I282">
            <v>1.0812279600000001</v>
          </cell>
          <cell r="J282">
            <v>1.1085</v>
          </cell>
          <cell r="K282">
            <v>1.0860431399999999</v>
          </cell>
          <cell r="L282">
            <v>1.085574</v>
          </cell>
          <cell r="M282">
            <v>1.09446431</v>
          </cell>
        </row>
        <row r="283">
          <cell r="A283" t="str">
            <v>YFCJD</v>
          </cell>
          <cell r="B283" t="str">
            <v>YFCJDUSM</v>
          </cell>
          <cell r="C283" t="str">
            <v>ON Tier 1 - Tasa Fija USD Ley Extranjera ON</v>
          </cell>
          <cell r="D283">
            <v>1496.240084431126</v>
          </cell>
          <cell r="E283">
            <v>1.07142794</v>
          </cell>
          <cell r="F283">
            <v>1.07059989</v>
          </cell>
          <cell r="G283">
            <v>1.06832141</v>
          </cell>
          <cell r="H283">
            <v>1.07304556</v>
          </cell>
          <cell r="I283">
            <v>1.0800075200000001</v>
          </cell>
          <cell r="J283">
            <v>1.07785551</v>
          </cell>
          <cell r="K283">
            <v>1.08000217</v>
          </cell>
          <cell r="L283">
            <v>1.08450118</v>
          </cell>
          <cell r="M283">
            <v>1.0864000300000001</v>
          </cell>
        </row>
        <row r="284">
          <cell r="A284" t="str">
            <v>MGCMD</v>
          </cell>
          <cell r="B284" t="str">
            <v>MGCMDUSM</v>
          </cell>
          <cell r="C284" t="str">
            <v>ON Tier 1 - Tasa Fija USD Ley Extranjera ON</v>
          </cell>
          <cell r="D284">
            <v>1516.1052167164967</v>
          </cell>
          <cell r="E284">
            <v>1.0589999999999999</v>
          </cell>
          <cell r="F284">
            <v>1.0650404600000001</v>
          </cell>
          <cell r="G284">
            <v>1.03980527</v>
          </cell>
          <cell r="H284">
            <v>1.0445403799999999</v>
          </cell>
          <cell r="I284">
            <v>1.04522797</v>
          </cell>
          <cell r="J284">
            <v>1.0725</v>
          </cell>
          <cell r="K284">
            <v>1.0814249499999999</v>
          </cell>
          <cell r="L284">
            <v>1.0917025899999999</v>
          </cell>
          <cell r="M284">
            <v>1.0825</v>
          </cell>
        </row>
        <row r="285">
          <cell r="A285" t="str">
            <v>TTCAD</v>
          </cell>
          <cell r="B285" t="str">
            <v>TTCADUSM</v>
          </cell>
          <cell r="C285" t="str">
            <v>ON Tier 1 - Tasa Fija USD Ley Extranjera ON</v>
          </cell>
          <cell r="D285">
            <v>1599.4223831904208</v>
          </cell>
          <cell r="E285">
            <v>1.04852463</v>
          </cell>
          <cell r="F285">
            <v>1.0496383199999999</v>
          </cell>
          <cell r="G285">
            <v>1.0332718299999999</v>
          </cell>
          <cell r="H285">
            <v>1.0449999999999999</v>
          </cell>
          <cell r="I285">
            <v>1.0472302099999999</v>
          </cell>
          <cell r="J285">
            <v>1.0500576500000001</v>
          </cell>
          <cell r="K285">
            <v>1.04305099</v>
          </cell>
          <cell r="L285">
            <v>1.04833964</v>
          </cell>
          <cell r="M285">
            <v>1.05109439</v>
          </cell>
        </row>
        <row r="286">
          <cell r="A286" t="str">
            <v>PLC4D</v>
          </cell>
          <cell r="B286" t="str">
            <v>PLC4DUSM</v>
          </cell>
          <cell r="C286" t="str">
            <v>ON Tier 1 - Tasa Fija USD Ley Extranjera ON</v>
          </cell>
          <cell r="D286">
            <v>1642.9587562418074</v>
          </cell>
          <cell r="E286">
            <v>1.0817199099999999</v>
          </cell>
          <cell r="F286">
            <v>1.0909373499999999</v>
          </cell>
          <cell r="G286">
            <v>1.0905</v>
          </cell>
          <cell r="H286">
            <v>1.0909203300000001</v>
          </cell>
          <cell r="I286">
            <v>1.0944942200000001</v>
          </cell>
          <cell r="J286">
            <v>1.0971138899999999</v>
          </cell>
          <cell r="K286">
            <v>1.09553441</v>
          </cell>
          <cell r="L286">
            <v>1.10598888</v>
          </cell>
          <cell r="M286">
            <v>1.10145662</v>
          </cell>
        </row>
        <row r="287">
          <cell r="A287" t="str">
            <v>VSCVD</v>
          </cell>
          <cell r="B287" t="str">
            <v>VSCVDUSM</v>
          </cell>
          <cell r="C287" t="str">
            <v>ON Tier 1 - Tasa Fija USD Ley Extranjera ON</v>
          </cell>
          <cell r="D287">
            <v>1651.2873774677064</v>
          </cell>
          <cell r="E287">
            <v>1.0974999999999999</v>
          </cell>
          <cell r="F287">
            <v>1.1037914200000001</v>
          </cell>
          <cell r="G287">
            <v>1.10845766</v>
          </cell>
          <cell r="H287">
            <v>1.10596129</v>
          </cell>
          <cell r="I287">
            <v>1.1074784200000001</v>
          </cell>
          <cell r="J287">
            <v>1.1093973399999999</v>
          </cell>
          <cell r="K287">
            <v>1.10941227</v>
          </cell>
          <cell r="L287">
            <v>1.10997543</v>
          </cell>
          <cell r="M287">
            <v>1.10985983</v>
          </cell>
        </row>
        <row r="288">
          <cell r="A288" t="str">
            <v>YM34D</v>
          </cell>
          <cell r="B288" t="str">
            <v>YMCICUSC</v>
          </cell>
          <cell r="C288" t="str">
            <v>ON Tier 1 - Tasa Fija USD Ley Extranjera ON</v>
          </cell>
          <cell r="D288">
            <v>1830.3248611328665</v>
          </cell>
          <cell r="E288">
            <v>1.0625699500000001</v>
          </cell>
          <cell r="F288">
            <v>1.0623716299999999</v>
          </cell>
          <cell r="G288">
            <v>1.0688041399999999</v>
          </cell>
          <cell r="H288">
            <v>1.0660977700000001</v>
          </cell>
          <cell r="I288">
            <v>1.0679434400000001</v>
          </cell>
          <cell r="J288">
            <v>1.0734451599999999</v>
          </cell>
          <cell r="K288">
            <v>1.08178675</v>
          </cell>
          <cell r="L288">
            <v>1.07740013</v>
          </cell>
          <cell r="M288">
            <v>1.0809056500000001</v>
          </cell>
        </row>
        <row r="289">
          <cell r="A289" t="str">
            <v>YMCJD</v>
          </cell>
          <cell r="B289" t="str">
            <v>YMCJDUSM</v>
          </cell>
          <cell r="C289" t="str">
            <v>YMCJO - Z-Spread NY</v>
          </cell>
          <cell r="D289">
            <v>1921.0183032387406</v>
          </cell>
          <cell r="E289">
            <v>1.00345127</v>
          </cell>
          <cell r="F289">
            <v>1.0100151100000001</v>
          </cell>
          <cell r="G289">
            <v>1.01404151</v>
          </cell>
          <cell r="H289">
            <v>1.01162847</v>
          </cell>
          <cell r="I289">
            <v>1.00857138</v>
          </cell>
          <cell r="J289">
            <v>1.01252601</v>
          </cell>
          <cell r="K289">
            <v>1.01312208</v>
          </cell>
          <cell r="L289">
            <v>1.0146640600000001</v>
          </cell>
          <cell r="M289">
            <v>1.0157951300000001</v>
          </cell>
        </row>
        <row r="290">
          <cell r="A290" t="str">
            <v>CAC5D</v>
          </cell>
          <cell r="B290" t="str">
            <v>CAC5DUSM</v>
          </cell>
          <cell r="C290" t="str">
            <v>ON Tier 2 - Tasa Fija USD Ley Extranjera ON</v>
          </cell>
          <cell r="D290">
            <v>396.25923618867819</v>
          </cell>
          <cell r="E290">
            <v>0.54447988000000003</v>
          </cell>
          <cell r="F290">
            <v>0.54550215000000002</v>
          </cell>
          <cell r="G290">
            <v>0.54425330999999999</v>
          </cell>
          <cell r="H290">
            <v>0.54499101000000005</v>
          </cell>
          <cell r="I290">
            <v>0.54543483000000004</v>
          </cell>
          <cell r="J290">
            <v>0.54681601999999996</v>
          </cell>
          <cell r="K290">
            <v>0.54692094000000002</v>
          </cell>
          <cell r="L290">
            <v>0.54661514</v>
          </cell>
          <cell r="M290">
            <v>0.54959164999999999</v>
          </cell>
        </row>
        <row r="291">
          <cell r="A291" t="str">
            <v>TLCMD</v>
          </cell>
          <cell r="B291" t="str">
            <v>TLCMDUSM</v>
          </cell>
          <cell r="C291" t="str">
            <v>ON Tier 2 - Tasa Fija USD Ley Extranjera ON</v>
          </cell>
          <cell r="D291">
            <v>1172.9579317055743</v>
          </cell>
          <cell r="E291">
            <v>1.0977331299999999</v>
          </cell>
          <cell r="F291">
            <v>1.09611803</v>
          </cell>
          <cell r="G291">
            <v>1.09882765</v>
          </cell>
          <cell r="H291">
            <v>1.1000073500000001</v>
          </cell>
          <cell r="I291">
            <v>1.1054717599999999</v>
          </cell>
          <cell r="J291">
            <v>1.1112585500000001</v>
          </cell>
          <cell r="K291">
            <v>1.1157946999999999</v>
          </cell>
          <cell r="L291">
            <v>1.12282159</v>
          </cell>
          <cell r="M291">
            <v>1.12294355</v>
          </cell>
        </row>
        <row r="292">
          <cell r="A292" t="str">
            <v>TLCPD</v>
          </cell>
          <cell r="B292" t="str">
            <v>TLCMDUSM</v>
          </cell>
          <cell r="C292" t="str">
            <v>ON Tier 2 - Tasa Fija USD Ley Extranjera ON</v>
          </cell>
          <cell r="D292">
            <v>1712.3479537567691</v>
          </cell>
          <cell r="E292">
            <v>1.09914179</v>
          </cell>
          <cell r="F292">
            <v>1.11409168</v>
          </cell>
          <cell r="G292">
            <v>1.10221327</v>
          </cell>
          <cell r="H292">
            <v>1.1034559100000001</v>
          </cell>
          <cell r="I292">
            <v>1.1049521600000001</v>
          </cell>
          <cell r="J292">
            <v>1.1079307300000001</v>
          </cell>
          <cell r="K292">
            <v>1.10971091</v>
          </cell>
          <cell r="L292">
            <v>1.10850268</v>
          </cell>
          <cell r="M292">
            <v>1.11700822</v>
          </cell>
        </row>
        <row r="293">
          <cell r="A293" t="str">
            <v>AEC2D</v>
          </cell>
          <cell r="B293" t="str">
            <v>AEC2DUSM</v>
          </cell>
          <cell r="C293" t="str">
            <v>ON Tier 3 - Tasa Fija USD Ley Extranjera ON</v>
          </cell>
          <cell r="D293">
            <v>226.87958282093939</v>
          </cell>
          <cell r="E293">
            <v>0.52962982000000003</v>
          </cell>
          <cell r="F293">
            <v>0.53056247000000001</v>
          </cell>
          <cell r="G293">
            <v>0.5296265</v>
          </cell>
          <cell r="H293">
            <v>0.53048466999999999</v>
          </cell>
          <cell r="I293">
            <v>0.53089984000000001</v>
          </cell>
          <cell r="J293">
            <v>0.53194775999999999</v>
          </cell>
          <cell r="K293">
            <v>0.53200855999999996</v>
          </cell>
          <cell r="L293">
            <v>0.53172193000000001</v>
          </cell>
          <cell r="M293">
            <v>0.53377374</v>
          </cell>
        </row>
        <row r="294">
          <cell r="A294"/>
          <cell r="B294"/>
          <cell r="C294"/>
          <cell r="D294"/>
        </row>
        <row r="295">
          <cell r="A295"/>
          <cell r="B295"/>
          <cell r="C295"/>
          <cell r="D295"/>
        </row>
        <row r="296">
          <cell r="A296" t="str">
            <v>PNDCO</v>
          </cell>
          <cell r="B296" t="str">
            <v>PNDCOARS</v>
          </cell>
          <cell r="C296" t="str">
            <v>ON Tier 1 - Tasa Fija USD Ley Extranjera ON Pesos</v>
          </cell>
          <cell r="D296">
            <v>103.47225440296721</v>
          </cell>
          <cell r="E296">
            <v>680.39961714000003</v>
          </cell>
          <cell r="F296">
            <v>680.74955977000002</v>
          </cell>
          <cell r="G296">
            <v>671.83958222000001</v>
          </cell>
          <cell r="H296">
            <v>674.60132973999998</v>
          </cell>
          <cell r="I296">
            <v>673.37737116999995</v>
          </cell>
          <cell r="J296">
            <v>675.06734539000001</v>
          </cell>
          <cell r="K296">
            <v>675.01872021999998</v>
          </cell>
          <cell r="L296">
            <v>674.47513164999998</v>
          </cell>
          <cell r="M296">
            <v>677.49887257</v>
          </cell>
        </row>
        <row r="297">
          <cell r="A297" t="str">
            <v>YCAMO</v>
          </cell>
          <cell r="B297" t="str">
            <v>YCAMOARS</v>
          </cell>
          <cell r="C297" t="str">
            <v>ON Tier 1 - Tasa Fija USD Ley Extranjera ON Pesos</v>
          </cell>
          <cell r="D297">
            <v>273.91811533798057</v>
          </cell>
          <cell r="E297">
            <v>1651.0226603599999</v>
          </cell>
          <cell r="F297">
            <v>1651.82838666</v>
          </cell>
          <cell r="G297">
            <v>1626.42378676</v>
          </cell>
          <cell r="H297">
            <v>1635.4193837299999</v>
          </cell>
          <cell r="I297">
            <v>1630.4786718099999</v>
          </cell>
          <cell r="J297">
            <v>1634.9062748399999</v>
          </cell>
          <cell r="K297">
            <v>1634.5687270000001</v>
          </cell>
          <cell r="L297">
            <v>1633.73603619</v>
          </cell>
          <cell r="M297">
            <v>1641.03602925</v>
          </cell>
        </row>
        <row r="298">
          <cell r="A298" t="str">
            <v>YMCIO</v>
          </cell>
          <cell r="B298" t="str">
            <v>YMCIOARS</v>
          </cell>
          <cell r="C298" t="str">
            <v>ON Tier 1 - Tasa Fija USD Ley Extranjera ON Pesos</v>
          </cell>
          <cell r="D298">
            <v>494.32759626006691</v>
          </cell>
          <cell r="E298">
            <v>1464.8893294100001</v>
          </cell>
          <cell r="F298">
            <v>1456.41626339</v>
          </cell>
          <cell r="G298">
            <v>1437.0815654800001</v>
          </cell>
          <cell r="H298">
            <v>1454.4084709900001</v>
          </cell>
          <cell r="I298">
            <v>1443.3023758500001</v>
          </cell>
          <cell r="J298">
            <v>1447.4330007900001</v>
          </cell>
          <cell r="K298">
            <v>1447.29368899</v>
          </cell>
          <cell r="L298">
            <v>1462.8308891199999</v>
          </cell>
          <cell r="M298">
            <v>1468.58118848</v>
          </cell>
        </row>
        <row r="299">
          <cell r="A299" t="str">
            <v>AER4O</v>
          </cell>
          <cell r="B299" t="str">
            <v>AER4OARS</v>
          </cell>
          <cell r="C299" t="str">
            <v>ON Tier 1 - Tasa Fija USD Ley Extranjera ON Pesos</v>
          </cell>
          <cell r="D299">
            <v>495.21827856502654</v>
          </cell>
          <cell r="E299">
            <v>1174.0506389100001</v>
          </cell>
          <cell r="F299">
            <v>1174.6390451</v>
          </cell>
          <cell r="G299">
            <v>1157.77750197</v>
          </cell>
          <cell r="H299">
            <v>1164.9620601199999</v>
          </cell>
          <cell r="I299">
            <v>1162.83814723</v>
          </cell>
          <cell r="J299">
            <v>1166.17684304</v>
          </cell>
          <cell r="K299">
            <v>1166.03504213</v>
          </cell>
          <cell r="L299">
            <v>1165.6023578700001</v>
          </cell>
          <cell r="M299">
            <v>1170.81319816</v>
          </cell>
        </row>
        <row r="300">
          <cell r="A300" t="str">
            <v>YMCUO</v>
          </cell>
          <cell r="B300" t="str">
            <v>YMCUOARS</v>
          </cell>
          <cell r="C300" t="str">
            <v>ON Tier 1 - Tasa Fija USD Ley Extranjera ON Pesos</v>
          </cell>
          <cell r="D300">
            <v>734.65384073793791</v>
          </cell>
          <cell r="E300">
            <v>1541.93314033</v>
          </cell>
          <cell r="F300">
            <v>1538.12442255</v>
          </cell>
          <cell r="G300">
            <v>1543.41065622</v>
          </cell>
          <cell r="H300">
            <v>1549.1280845599999</v>
          </cell>
          <cell r="I300">
            <v>1531.9112584300001</v>
          </cell>
          <cell r="J300">
            <v>1537.5172099900001</v>
          </cell>
          <cell r="K300">
            <v>1537.8070823200001</v>
          </cell>
          <cell r="L300">
            <v>1542.4532736399999</v>
          </cell>
          <cell r="M300">
            <v>1541.58013951</v>
          </cell>
        </row>
        <row r="301">
          <cell r="A301" t="str">
            <v>BYCHO</v>
          </cell>
          <cell r="B301" t="str">
            <v>BYCHOARS</v>
          </cell>
          <cell r="C301" t="str">
            <v>ON Tier 1 - Tasa Fija USD Ley Extranjera ON Pesos</v>
          </cell>
          <cell r="D301">
            <v>687.34098314501534</v>
          </cell>
          <cell r="E301">
            <v>1695.9550425800001</v>
          </cell>
          <cell r="F301">
            <v>1696.80859736</v>
          </cell>
          <cell r="G301">
            <v>1672.6493298099999</v>
          </cell>
          <cell r="H301">
            <v>1684.19839484</v>
          </cell>
          <cell r="I301">
            <v>1681.87707383</v>
          </cell>
          <cell r="J301">
            <v>1686.9339341100001</v>
          </cell>
          <cell r="K301">
            <v>1624.30413942</v>
          </cell>
          <cell r="L301">
            <v>1623.9837661199999</v>
          </cell>
          <cell r="M301">
            <v>1631.2388888200001</v>
          </cell>
        </row>
        <row r="302">
          <cell r="A302" t="str">
            <v>YMC1O</v>
          </cell>
          <cell r="B302" t="str">
            <v>YMC1OARS</v>
          </cell>
          <cell r="C302" t="str">
            <v>ON Tier 1 - Tasa Fija USD Ley Extranjera ON Pesos</v>
          </cell>
          <cell r="D302">
            <v>882.97802676195045</v>
          </cell>
          <cell r="E302">
            <v>1694.75026538</v>
          </cell>
          <cell r="F302">
            <v>1695.63188713</v>
          </cell>
          <cell r="G302">
            <v>1674.2116785400001</v>
          </cell>
          <cell r="H302">
            <v>1686.1650163100001</v>
          </cell>
          <cell r="I302">
            <v>1685.9929542</v>
          </cell>
          <cell r="J302">
            <v>1691.26630542</v>
          </cell>
          <cell r="K302">
            <v>1691.4373983</v>
          </cell>
          <cell r="L302">
            <v>1691.08940319</v>
          </cell>
          <cell r="M302">
            <v>1698.6443021600001</v>
          </cell>
        </row>
        <row r="303">
          <cell r="A303" t="str">
            <v>ARC1O</v>
          </cell>
          <cell r="B303" t="str">
            <v>ARC1OARS</v>
          </cell>
          <cell r="C303" t="str">
            <v>ON Tier 1 - Tasa Fija USD Ley Extranjera ON Pesos</v>
          </cell>
          <cell r="D303">
            <v>894.74491526699774</v>
          </cell>
          <cell r="E303">
            <v>1640.1316963700001</v>
          </cell>
          <cell r="F303">
            <v>1640.98729377</v>
          </cell>
          <cell r="G303">
            <v>1621.0590653100001</v>
          </cell>
          <cell r="H303">
            <v>1631.84689157</v>
          </cell>
          <cell r="I303">
            <v>1631.5270549100001</v>
          </cell>
          <cell r="J303">
            <v>1623</v>
          </cell>
          <cell r="K303">
            <v>1636.9770566</v>
          </cell>
          <cell r="L303">
            <v>1615.1881081900001</v>
          </cell>
          <cell r="M303">
            <v>1632</v>
          </cell>
        </row>
        <row r="304">
          <cell r="A304" t="str">
            <v>TTCDO</v>
          </cell>
          <cell r="B304" t="str">
            <v>TTCDOARS</v>
          </cell>
          <cell r="C304" t="str">
            <v>ON Tier 1 - Tasa Fija USD Ley Extranjera ON Pesos</v>
          </cell>
          <cell r="D304">
            <v>1259.3566556443338</v>
          </cell>
          <cell r="E304">
            <v>1672.7786123599999</v>
          </cell>
          <cell r="F304">
            <v>1656.55402226</v>
          </cell>
          <cell r="G304">
            <v>1660.2758304500001</v>
          </cell>
          <cell r="H304">
            <v>1672.4631887200001</v>
          </cell>
          <cell r="I304">
            <v>1674.8915195899999</v>
          </cell>
          <cell r="J304">
            <v>1671.0297283499999</v>
          </cell>
          <cell r="K304">
            <v>1672.6</v>
          </cell>
          <cell r="L304">
            <v>1665.1080989500001</v>
          </cell>
          <cell r="M304">
            <v>1677.4569559700001</v>
          </cell>
        </row>
        <row r="305">
          <cell r="A305" t="str">
            <v>YMCXO</v>
          </cell>
          <cell r="B305" t="str">
            <v>YMCXOARS</v>
          </cell>
          <cell r="C305" t="str">
            <v>ON Tier 1 - Tasa Fija USD Ley Extranjera ON Pesos</v>
          </cell>
          <cell r="D305">
            <v>1334.1319525556351</v>
          </cell>
          <cell r="E305">
            <v>1683.17166129</v>
          </cell>
          <cell r="F305">
            <v>1690.0840693</v>
          </cell>
          <cell r="G305">
            <v>1664.72221178</v>
          </cell>
          <cell r="H305">
            <v>1669.5417463199999</v>
          </cell>
          <cell r="I305">
            <v>1668.7267848500001</v>
          </cell>
          <cell r="J305">
            <v>1674.0746520600001</v>
          </cell>
          <cell r="K305">
            <v>1672.3956407000001</v>
          </cell>
          <cell r="L305">
            <v>1665.31696182</v>
          </cell>
          <cell r="M305">
            <v>1667.95465175</v>
          </cell>
        </row>
        <row r="306">
          <cell r="A306" t="str">
            <v>PNXCO</v>
          </cell>
          <cell r="B306" t="str">
            <v>PNXCOARS</v>
          </cell>
          <cell r="C306" t="str">
            <v>ON Tier 1 - Tasa Fija USD Ley Extranjera ON Pesos</v>
          </cell>
          <cell r="D306">
            <v>1357.5474943188435</v>
          </cell>
          <cell r="E306">
            <v>1746.5783285699999</v>
          </cell>
          <cell r="F306">
            <v>1710.95051463</v>
          </cell>
          <cell r="G306">
            <v>1694.8222578499999</v>
          </cell>
          <cell r="H306">
            <v>1706.1870087</v>
          </cell>
          <cell r="I306">
            <v>1708.3488508400001</v>
          </cell>
          <cell r="J306">
            <v>1714.02826353</v>
          </cell>
          <cell r="K306">
            <v>1715.40211039</v>
          </cell>
          <cell r="L306">
            <v>1714.6403582</v>
          </cell>
          <cell r="M306">
            <v>1722.2535623900001</v>
          </cell>
        </row>
        <row r="307">
          <cell r="A307" t="str">
            <v>PLC5O</v>
          </cell>
          <cell r="B307" t="str">
            <v>PLC5OARS</v>
          </cell>
          <cell r="C307" t="str">
            <v>ON Tier 1 - Tasa Fija USD Ley Extranjera ON Pesos</v>
          </cell>
          <cell r="D307">
            <v>1390.8714399608878</v>
          </cell>
          <cell r="E307">
            <v>1691.61619238</v>
          </cell>
          <cell r="F307">
            <v>1678.3130912500001</v>
          </cell>
          <cell r="G307">
            <v>1663.03638394</v>
          </cell>
          <cell r="H307">
            <v>1674.24101999</v>
          </cell>
          <cell r="I307">
            <v>1676.81133901</v>
          </cell>
          <cell r="J307">
            <v>1682.4163215599999</v>
          </cell>
          <cell r="K307">
            <v>1671.2882286399999</v>
          </cell>
          <cell r="L307">
            <v>1676.0605709199999</v>
          </cell>
          <cell r="M307">
            <v>1690.55055941</v>
          </cell>
        </row>
        <row r="308">
          <cell r="A308" t="str">
            <v>TSC3O</v>
          </cell>
          <cell r="B308" t="str">
            <v>TSC3OARS</v>
          </cell>
          <cell r="C308" t="str">
            <v>ON Tier 1 - Tasa Fija USD Ley Extranjera ON Pesos</v>
          </cell>
          <cell r="D308">
            <v>1448.1795680295902</v>
          </cell>
          <cell r="E308">
            <v>1676.8542679300001</v>
          </cell>
          <cell r="F308">
            <v>1710.5</v>
          </cell>
          <cell r="G308">
            <v>1662.79834899</v>
          </cell>
          <cell r="H308">
            <v>1673.98824446</v>
          </cell>
          <cell r="I308">
            <v>1676.5603471100001</v>
          </cell>
          <cell r="J308">
            <v>1701.27123734</v>
          </cell>
          <cell r="K308">
            <v>1683.7413801099999</v>
          </cell>
          <cell r="L308">
            <v>1682.96466562</v>
          </cell>
          <cell r="M308">
            <v>1690.43008824</v>
          </cell>
        </row>
        <row r="309">
          <cell r="A309" t="str">
            <v>YFCJO</v>
          </cell>
          <cell r="B309" t="str">
            <v>YFCJOARS</v>
          </cell>
          <cell r="C309" t="str">
            <v>ON Tier 1 - Tasa Fija USD Ley Extranjera ON Pesos</v>
          </cell>
          <cell r="D309">
            <v>1484.5604392224411</v>
          </cell>
          <cell r="E309">
            <v>1667.0436423199999</v>
          </cell>
          <cell r="F309">
            <v>1667.9504707799999</v>
          </cell>
          <cell r="G309">
            <v>1653.26413568</v>
          </cell>
          <cell r="H309">
            <v>1664.08634979</v>
          </cell>
          <cell r="I309">
            <v>1666.3028054500001</v>
          </cell>
          <cell r="J309">
            <v>1671.92859572</v>
          </cell>
          <cell r="K309">
            <v>1673.61107253</v>
          </cell>
          <cell r="L309">
            <v>1672.7289968699999</v>
          </cell>
          <cell r="M309">
            <v>1680.1371829699999</v>
          </cell>
        </row>
        <row r="310">
          <cell r="A310" t="str">
            <v>MGCMO</v>
          </cell>
          <cell r="B310" t="str">
            <v>MGC3OARS</v>
          </cell>
          <cell r="C310" t="str">
            <v>ON Tier 1 - Tasa Fija USD Ley Extranjera ON Pesos</v>
          </cell>
          <cell r="D310">
            <v>1508.4775979645801</v>
          </cell>
          <cell r="E310">
            <v>1621.80788336</v>
          </cell>
          <cell r="F310">
            <v>1622.6946888800001</v>
          </cell>
          <cell r="G310">
            <v>1608.6293767100001</v>
          </cell>
          <cell r="H310">
            <v>1619.4328479200001</v>
          </cell>
          <cell r="I310">
            <v>1622.0232338000001</v>
          </cell>
          <cell r="J310">
            <v>1627.5385639199999</v>
          </cell>
          <cell r="K310">
            <v>1663.8500835899999</v>
          </cell>
          <cell r="L310">
            <v>1676.3967856500001</v>
          </cell>
          <cell r="M310">
            <v>1635.5775711399999</v>
          </cell>
        </row>
        <row r="311">
          <cell r="A311" t="str">
            <v>TTCAO</v>
          </cell>
          <cell r="B311" t="str">
            <v>TTCAOARS</v>
          </cell>
          <cell r="C311" t="str">
            <v>ON Tier 1 - Tasa Fija USD Ley Extranjera ON Pesos</v>
          </cell>
          <cell r="D311">
            <v>1588.6274244305564</v>
          </cell>
          <cell r="E311">
            <v>1612.3957908</v>
          </cell>
          <cell r="F311">
            <v>1635.4312833399999</v>
          </cell>
          <cell r="G311">
            <v>1599.5795389699999</v>
          </cell>
          <cell r="H311">
            <v>1610.02812032</v>
          </cell>
          <cell r="I311">
            <v>1612.1615830799999</v>
          </cell>
          <cell r="J311">
            <v>1617.68816984</v>
          </cell>
          <cell r="K311">
            <v>1619.5393859200001</v>
          </cell>
          <cell r="L311">
            <v>1618.6239282199999</v>
          </cell>
          <cell r="M311">
            <v>1625.77815493</v>
          </cell>
        </row>
        <row r="312">
          <cell r="A312" t="str">
            <v>PLC4O</v>
          </cell>
          <cell r="B312" t="str">
            <v>PLC4OARS</v>
          </cell>
          <cell r="C312" t="str">
            <v>ON Tier 1 - Tasa Fija USD Ley Extranjera ON Pesos</v>
          </cell>
          <cell r="D312">
            <v>1631.8179294861563</v>
          </cell>
          <cell r="E312">
            <v>1681.38336297</v>
          </cell>
          <cell r="F312">
            <v>1692.33390175</v>
          </cell>
          <cell r="G312">
            <v>1674.6603280700001</v>
          </cell>
          <cell r="H312">
            <v>1679.9928764599999</v>
          </cell>
          <cell r="I312">
            <v>1679.41739325</v>
          </cell>
          <cell r="J312">
            <v>1688.8177127399999</v>
          </cell>
          <cell r="K312">
            <v>1682.3912763200001</v>
          </cell>
          <cell r="L312">
            <v>1700.2275896900001</v>
          </cell>
          <cell r="M312">
            <v>1693.01597339</v>
          </cell>
        </row>
        <row r="313">
          <cell r="A313" t="str">
            <v>VSCVO</v>
          </cell>
          <cell r="B313" t="str">
            <v>VSCVOARS</v>
          </cell>
          <cell r="C313" t="str">
            <v>ON Tier 1 - Tasa Fija USD Ley Extranjera ON Pesos</v>
          </cell>
          <cell r="D313">
            <v>1638.4356574384926</v>
          </cell>
          <cell r="E313">
            <v>1705.3479591099999</v>
          </cell>
          <cell r="F313">
            <v>1706.5097265500001</v>
          </cell>
          <cell r="G313">
            <v>1703.2782538900001</v>
          </cell>
          <cell r="H313">
            <v>1704.54208958</v>
          </cell>
          <cell r="I313">
            <v>1701.80809832</v>
          </cell>
          <cell r="J313">
            <v>1705.4891813900001</v>
          </cell>
          <cell r="K313">
            <v>1705.86211366</v>
          </cell>
          <cell r="L313">
            <v>1709.3668225199999</v>
          </cell>
          <cell r="M313">
            <v>1706.22275498</v>
          </cell>
        </row>
        <row r="314">
          <cell r="A314" t="str">
            <v>YM34O</v>
          </cell>
          <cell r="B314" t="str">
            <v>YM34OARS</v>
          </cell>
          <cell r="C314" t="str">
            <v>ON Tier 1 - Tasa Fija USD Ley Extranjera ON Pesos</v>
          </cell>
          <cell r="D314">
            <v>1816.1022133881911</v>
          </cell>
          <cell r="E314">
            <v>1648.7556800499999</v>
          </cell>
          <cell r="F314">
            <v>1644.36176432</v>
          </cell>
          <cell r="G314">
            <v>1640.93463217</v>
          </cell>
          <cell r="H314">
            <v>1639.73041812</v>
          </cell>
          <cell r="I314">
            <v>1642.5246542499999</v>
          </cell>
          <cell r="J314">
            <v>1657.9059748699999</v>
          </cell>
          <cell r="K314">
            <v>1669.3648626700001</v>
          </cell>
          <cell r="L314">
            <v>1656.42586622</v>
          </cell>
          <cell r="M314">
            <v>1660.02525657</v>
          </cell>
        </row>
        <row r="315">
          <cell r="A315" t="str">
            <v>YMCJO</v>
          </cell>
          <cell r="B315" t="str">
            <v>YMCJOARS</v>
          </cell>
          <cell r="C315" t="str">
            <v>YMCJO - Z-Spread NY Pesos</v>
          </cell>
          <cell r="D315">
            <v>1914.4415192313602</v>
          </cell>
          <cell r="E315">
            <v>1556.8332453800001</v>
          </cell>
          <cell r="F315">
            <v>1579.27075302</v>
          </cell>
          <cell r="G315">
            <v>1563.21611459</v>
          </cell>
          <cell r="H315">
            <v>1559.2503578200001</v>
          </cell>
          <cell r="I315">
            <v>1552.57475884</v>
          </cell>
          <cell r="J315">
            <v>1559.4917927700001</v>
          </cell>
          <cell r="K315">
            <v>1559.26204263</v>
          </cell>
          <cell r="L315">
            <v>1560.33051387</v>
          </cell>
          <cell r="M315">
            <v>1559.90754943</v>
          </cell>
        </row>
        <row r="316">
          <cell r="A316" t="str">
            <v>CAC5O</v>
          </cell>
          <cell r="B316" t="str">
            <v>CAC5OARS</v>
          </cell>
          <cell r="C316" t="str">
            <v>ON Tier 2 - Tasa Fija USD Ley Extranjera ON Pesos</v>
          </cell>
          <cell r="D316">
            <v>388.94721973689406</v>
          </cell>
          <cell r="E316">
            <v>834.20414038000001</v>
          </cell>
          <cell r="F316">
            <v>834.58720391999998</v>
          </cell>
          <cell r="G316">
            <v>821.79614153</v>
          </cell>
          <cell r="H316">
            <v>826.29536465000001</v>
          </cell>
          <cell r="I316">
            <v>824.18465644000003</v>
          </cell>
          <cell r="J316">
            <v>826.20586060999995</v>
          </cell>
          <cell r="K316">
            <v>825.87248862000001</v>
          </cell>
          <cell r="L316">
            <v>825.61724356000002</v>
          </cell>
          <cell r="M316">
            <v>829.51440943</v>
          </cell>
        </row>
        <row r="317">
          <cell r="A317" t="str">
            <v>TLCMO</v>
          </cell>
          <cell r="B317" t="str">
            <v>TLCMOARS</v>
          </cell>
          <cell r="C317" t="str">
            <v>ON Tier 2 - Tasa Fija USD Ley Extranjera ON Pesos</v>
          </cell>
          <cell r="D317">
            <v>1162.0882526349847</v>
          </cell>
          <cell r="E317">
            <v>1704.13248054</v>
          </cell>
          <cell r="F317">
            <v>1694.9585097199999</v>
          </cell>
          <cell r="G317">
            <v>1695.9896354</v>
          </cell>
          <cell r="H317">
            <v>1694.98233228</v>
          </cell>
          <cell r="I317">
            <v>1695.3000952299999</v>
          </cell>
          <cell r="J317">
            <v>1707.94270443</v>
          </cell>
          <cell r="K317">
            <v>1709.5013069500001</v>
          </cell>
          <cell r="L317">
            <v>1723.0319344699999</v>
          </cell>
          <cell r="M317">
            <v>1709.9214901</v>
          </cell>
        </row>
        <row r="318">
          <cell r="A318" t="str">
            <v>TLCPO</v>
          </cell>
          <cell r="B318" t="str">
            <v>TLCPOARS</v>
          </cell>
          <cell r="C318" t="str">
            <v>ON Tier 2 - Tasa Fija USD Ley Extranjera ON Pesos</v>
          </cell>
          <cell r="D318">
            <v>1696.1051850040351</v>
          </cell>
          <cell r="E318">
            <v>1733.5736800699999</v>
          </cell>
          <cell r="F318">
            <v>1721.1808468500001</v>
          </cell>
          <cell r="G318">
            <v>1696.02337162</v>
          </cell>
          <cell r="H318">
            <v>1704.1092585199999</v>
          </cell>
          <cell r="I318">
            <v>1705.5584832500001</v>
          </cell>
          <cell r="J318">
            <v>1702.15415308</v>
          </cell>
          <cell r="K318">
            <v>1701.58571749</v>
          </cell>
          <cell r="L318">
            <v>1704.0721578099999</v>
          </cell>
          <cell r="M318">
            <v>1712.87403993</v>
          </cell>
        </row>
        <row r="319">
          <cell r="A319" t="str">
            <v>AEC2O</v>
          </cell>
          <cell r="B319" t="str">
            <v>AEC2OARS</v>
          </cell>
          <cell r="C319" t="str">
            <v>ON Tier 3 - Tasa Fija USD Ley Extranjera ON Pesos</v>
          </cell>
          <cell r="D319">
            <v>224.78209471993785</v>
          </cell>
          <cell r="E319">
            <v>819.35940262999998</v>
          </cell>
          <cell r="F319">
            <v>820.0855067</v>
          </cell>
          <cell r="G319">
            <v>807.81770326000003</v>
          </cell>
          <cell r="H319">
            <v>812.23460522000005</v>
          </cell>
          <cell r="I319">
            <v>810.17012512999997</v>
          </cell>
          <cell r="J319">
            <v>812.31068183000002</v>
          </cell>
          <cell r="K319">
            <v>812.24000882999997</v>
          </cell>
          <cell r="L319">
            <v>811.72890115999996</v>
          </cell>
          <cell r="M319">
            <v>815.35395503999996</v>
          </cell>
        </row>
        <row r="320">
          <cell r="A320"/>
          <cell r="B320"/>
          <cell r="C320"/>
          <cell r="D320"/>
        </row>
        <row r="321">
          <cell r="A321" t="str">
            <v>Obligaciones Negociables Dólar linked</v>
          </cell>
          <cell r="B321" t="str">
            <v>Obligaciones Negociables Dólar linkedARS</v>
          </cell>
          <cell r="C321"/>
          <cell r="D321"/>
        </row>
        <row r="322">
          <cell r="A322"/>
          <cell r="B322"/>
          <cell r="C322"/>
          <cell r="D322"/>
        </row>
        <row r="323">
          <cell r="A323" t="str">
            <v>GE22P</v>
          </cell>
          <cell r="B323" t="str">
            <v>GE22PARS</v>
          </cell>
          <cell r="C323" t="str">
            <v>ON PyME Gar - Tasa Fija USD Link ON</v>
          </cell>
          <cell r="D323">
            <v>130.100171942673</v>
          </cell>
          <cell r="E323">
            <v>515.53140459999997</v>
          </cell>
          <cell r="F323">
            <v>515.71114867999995</v>
          </cell>
          <cell r="G323">
            <v>516.67333697000004</v>
          </cell>
          <cell r="H323">
            <v>517.00749540000004</v>
          </cell>
          <cell r="I323">
            <v>517.27073786999995</v>
          </cell>
          <cell r="J323">
            <v>516.99649685999998</v>
          </cell>
          <cell r="K323">
            <v>516.81929855999999</v>
          </cell>
          <cell r="L323">
            <v>516.94365468000001</v>
          </cell>
          <cell r="M323">
            <v>516.58008455000004</v>
          </cell>
        </row>
        <row r="324">
          <cell r="A324" t="str">
            <v>HA12L</v>
          </cell>
          <cell r="B324" t="str">
            <v>HA12LARS</v>
          </cell>
          <cell r="C324" t="str">
            <v>ON PyME Gar - Tasa Fija USD Link ON</v>
          </cell>
          <cell r="D324">
            <v>266.19279480036568</v>
          </cell>
          <cell r="E324">
            <v>1562.1811405000001</v>
          </cell>
          <cell r="F324">
            <v>1564.0407768</v>
          </cell>
          <cell r="G324">
            <v>1572.6153697499999</v>
          </cell>
          <cell r="H324">
            <v>1576.5549172999999</v>
          </cell>
          <cell r="I324">
            <v>1579.07860882</v>
          </cell>
          <cell r="J324">
            <v>1578.0293981299999</v>
          </cell>
          <cell r="K324">
            <v>1579.6454243600001</v>
          </cell>
          <cell r="L324">
            <v>1579.8947735500001</v>
          </cell>
          <cell r="M324">
            <v>1580.7632803700001</v>
          </cell>
        </row>
        <row r="325">
          <cell r="A325" t="str">
            <v>APS1L</v>
          </cell>
          <cell r="B325" t="str">
            <v>APS1LARS</v>
          </cell>
          <cell r="C325" t="str">
            <v>ON PyME Gar - Tasa Fija USD Link ON</v>
          </cell>
          <cell r="D325">
            <v>389.02547703820295</v>
          </cell>
          <cell r="E325">
            <v>1522.1838016199999</v>
          </cell>
          <cell r="F325">
            <v>1522.45744898</v>
          </cell>
          <cell r="G325">
            <v>1519.25294749</v>
          </cell>
          <cell r="H325">
            <v>1519.7018694200001</v>
          </cell>
          <cell r="I325">
            <v>1520.8535314200001</v>
          </cell>
          <cell r="J325">
            <v>1518.9818857299999</v>
          </cell>
          <cell r="K325">
            <v>1521.0214462599999</v>
          </cell>
          <cell r="L325">
            <v>1521.6195374900001</v>
          </cell>
          <cell r="M325">
            <v>1520.60780383</v>
          </cell>
        </row>
        <row r="326">
          <cell r="A326" t="str">
            <v>GN37O</v>
          </cell>
          <cell r="B326" t="str">
            <v>GN37OARS</v>
          </cell>
          <cell r="C326" t="str">
            <v>ON Tier 1 - Tasa Fija USD Link ON</v>
          </cell>
          <cell r="D326">
            <v>27.999999999998803</v>
          </cell>
          <cell r="E326">
            <v>505.26982366999999</v>
          </cell>
          <cell r="F326">
            <v>505.41800454999998</v>
          </cell>
          <cell r="G326">
            <v>505.01134685</v>
          </cell>
          <cell r="H326">
            <v>505.40504609999999</v>
          </cell>
          <cell r="I326">
            <v>505.41810062000002</v>
          </cell>
          <cell r="J326">
            <v>504.84100102000002</v>
          </cell>
          <cell r="K326">
            <v>504.15515017000001</v>
          </cell>
          <cell r="L326">
            <v>504.20587346999997</v>
          </cell>
          <cell r="M326">
            <v>503.82137089999998</v>
          </cell>
        </row>
        <row r="327">
          <cell r="A327" t="str">
            <v>VSCIO</v>
          </cell>
          <cell r="B327" t="str">
            <v>VSCIOARS</v>
          </cell>
          <cell r="C327" t="str">
            <v>ON Tier 1 - Tasa Fija USD Link ON</v>
          </cell>
          <cell r="D327">
            <v>56.000000000001251</v>
          </cell>
          <cell r="E327">
            <v>1510.3331143800001</v>
          </cell>
          <cell r="F327">
            <v>1510.7705454500001</v>
          </cell>
          <cell r="G327">
            <v>1510.90298936</v>
          </cell>
          <cell r="H327">
            <v>1512.0905796500001</v>
          </cell>
          <cell r="I327">
            <v>1511.75241422</v>
          </cell>
          <cell r="J327">
            <v>1510.26308896</v>
          </cell>
          <cell r="K327">
            <v>1508.2235452899999</v>
          </cell>
          <cell r="L327">
            <v>1508.42451065</v>
          </cell>
          <cell r="M327">
            <v>1507.28657985</v>
          </cell>
        </row>
        <row r="328">
          <cell r="A328" t="str">
            <v>PNJCO</v>
          </cell>
          <cell r="B328" t="str">
            <v>PNJCOARS</v>
          </cell>
          <cell r="C328" t="str">
            <v>ON Tier 1 - Tasa Fija USD Link ON</v>
          </cell>
          <cell r="D328">
            <v>116.71260005854036</v>
          </cell>
          <cell r="E328">
            <v>1509.1313034</v>
          </cell>
          <cell r="F328">
            <v>1509.5593315799999</v>
          </cell>
          <cell r="G328">
            <v>1511.2775968399999</v>
          </cell>
          <cell r="H328">
            <v>1512.48421164</v>
          </cell>
          <cell r="I328">
            <v>1511.38680183</v>
          </cell>
          <cell r="J328">
            <v>1510.12739347</v>
          </cell>
          <cell r="K328">
            <v>1508.1115275499999</v>
          </cell>
          <cell r="L328">
            <v>1508.40711874</v>
          </cell>
          <cell r="M328">
            <v>1507.2930065999999</v>
          </cell>
        </row>
        <row r="329">
          <cell r="A329" t="str">
            <v>VSCJO</v>
          </cell>
          <cell r="B329" t="str">
            <v>VSCJOARS</v>
          </cell>
          <cell r="C329" t="str">
            <v>ON Tier 1 - Tasa Fija USD Link ON</v>
          </cell>
          <cell r="D329">
            <v>140.00000000000131</v>
          </cell>
          <cell r="E329">
            <v>1495.6699864</v>
          </cell>
          <cell r="F329">
            <v>1496.09166086</v>
          </cell>
          <cell r="G329">
            <v>1497.9929937500001</v>
          </cell>
          <cell r="H329">
            <v>1494.3393000000001</v>
          </cell>
          <cell r="I329">
            <v>1493.63</v>
          </cell>
          <cell r="J329">
            <v>1493.6</v>
          </cell>
          <cell r="K329">
            <v>1501.7535292800001</v>
          </cell>
          <cell r="L329">
            <v>1494.9226670800001</v>
          </cell>
          <cell r="M329">
            <v>1493.8265848599999</v>
          </cell>
        </row>
        <row r="330">
          <cell r="A330" t="str">
            <v>TLCDO</v>
          </cell>
          <cell r="B330" t="str">
            <v>TLCDOARS</v>
          </cell>
          <cell r="C330" t="str">
            <v>ON Tier 1 - Tasa Fija USD Link ON</v>
          </cell>
          <cell r="D330">
            <v>145.77471420435191</v>
          </cell>
          <cell r="E330">
            <v>1504.32</v>
          </cell>
          <cell r="F330">
            <v>1502.5346961299999</v>
          </cell>
          <cell r="G330">
            <v>1504.4567188599999</v>
          </cell>
          <cell r="H330">
            <v>1505.66579568</v>
          </cell>
          <cell r="I330">
            <v>1504.2296982600001</v>
          </cell>
          <cell r="J330">
            <v>1502.97232364</v>
          </cell>
          <cell r="K330">
            <v>1500.97589565</v>
          </cell>
          <cell r="L330">
            <v>1501.3099210299999</v>
          </cell>
          <cell r="M330">
            <v>1500.2110716</v>
          </cell>
        </row>
        <row r="331">
          <cell r="A331" t="str">
            <v>PNZCO</v>
          </cell>
          <cell r="B331" t="str">
            <v>PNZCOARS</v>
          </cell>
          <cell r="C331" t="str">
            <v>ON Tier 1 - Tasa Fija USD Link ON</v>
          </cell>
          <cell r="D331">
            <v>264.00000000000119</v>
          </cell>
          <cell r="E331">
            <v>1475.4143746100001</v>
          </cell>
          <cell r="F331">
            <v>1475.82403647</v>
          </cell>
          <cell r="G331">
            <v>1481.0355999999999</v>
          </cell>
          <cell r="H331">
            <v>1477.09522861</v>
          </cell>
          <cell r="I331">
            <v>1483.6131331700001</v>
          </cell>
          <cell r="J331">
            <v>1472.5594560500001</v>
          </cell>
          <cell r="K331">
            <v>1470.6354842999999</v>
          </cell>
          <cell r="L331">
            <v>1471.0919609</v>
          </cell>
          <cell r="M331">
            <v>1470.04774236</v>
          </cell>
        </row>
        <row r="332">
          <cell r="A332" t="str">
            <v>OLC3O</v>
          </cell>
          <cell r="B332" t="str">
            <v>OLC3OARS</v>
          </cell>
          <cell r="C332" t="str">
            <v>ON Tier 1 - Tasa Fija USD Link ON</v>
          </cell>
          <cell r="D332">
            <v>271.00000000000091</v>
          </cell>
          <cell r="E332">
            <v>1474.2949877799999</v>
          </cell>
          <cell r="F332">
            <v>1469.6733999999999</v>
          </cell>
          <cell r="G332">
            <v>1474.5507566399999</v>
          </cell>
          <cell r="H332">
            <v>1475.76286656</v>
          </cell>
          <cell r="I332">
            <v>1472.92762687</v>
          </cell>
          <cell r="J332">
            <v>1471.09763026</v>
          </cell>
          <cell r="K332">
            <v>1469.17713712</v>
          </cell>
          <cell r="L332">
            <v>1469.6394851800001</v>
          </cell>
          <cell r="M332">
            <v>1468.59788948</v>
          </cell>
        </row>
        <row r="333">
          <cell r="A333" t="str">
            <v>MGCEO</v>
          </cell>
          <cell r="B333" t="str">
            <v>MGCEOARS</v>
          </cell>
          <cell r="C333" t="str">
            <v>ON Tier 1 - Tasa Fija USD Link ON</v>
          </cell>
          <cell r="D333">
            <v>432.00000000000131</v>
          </cell>
          <cell r="E333">
            <v>1448.5286968600001</v>
          </cell>
          <cell r="F333">
            <v>1448.93581672</v>
          </cell>
          <cell r="G333">
            <v>1442.1830076799999</v>
          </cell>
          <cell r="H333">
            <v>1443.3909311</v>
          </cell>
          <cell r="I333">
            <v>1438.59978813</v>
          </cell>
          <cell r="J333">
            <v>1435.3590467199999</v>
          </cell>
          <cell r="K333">
            <v>1433.51256302</v>
          </cell>
          <cell r="L333">
            <v>1434.07401615</v>
          </cell>
          <cell r="M333">
            <v>1433.0854109899999</v>
          </cell>
        </row>
        <row r="334">
          <cell r="A334" t="str">
            <v>OLC2O</v>
          </cell>
          <cell r="B334" t="str">
            <v>OLC2OARS</v>
          </cell>
          <cell r="C334" t="str">
            <v>ON Tier 1 - Tasa Fija USD Link ON</v>
          </cell>
          <cell r="D334">
            <v>599.02369948370449</v>
          </cell>
          <cell r="E334">
            <v>1445.4515927699999</v>
          </cell>
          <cell r="F334">
            <v>1445.87195316</v>
          </cell>
          <cell r="G334">
            <v>1430.9583675599999</v>
          </cell>
          <cell r="H334">
            <v>1432.1700892900001</v>
          </cell>
          <cell r="I334">
            <v>1424.7494612999999</v>
          </cell>
          <cell r="J334">
            <v>1420.0012680299999</v>
          </cell>
          <cell r="K334">
            <v>1418.1901341099999</v>
          </cell>
          <cell r="L334">
            <v>1418.80857186</v>
          </cell>
          <cell r="M334">
            <v>1417.8463737</v>
          </cell>
        </row>
        <row r="335">
          <cell r="A335" t="str">
            <v>MR43O</v>
          </cell>
          <cell r="B335" t="str">
            <v>MR43OARS</v>
          </cell>
          <cell r="C335" t="e">
            <v>#N/A</v>
          </cell>
          <cell r="D335" t="e">
            <v>#N/A</v>
          </cell>
          <cell r="E335">
            <v>456.96762000000001</v>
          </cell>
          <cell r="F335">
            <v>456.92604</v>
          </cell>
          <cell r="G335">
            <v>455.77443</v>
          </cell>
          <cell r="H335">
            <v>456.09005999999999</v>
          </cell>
          <cell r="I335">
            <v>456.21408000000002</v>
          </cell>
          <cell r="J335">
            <v>455.53089</v>
          </cell>
          <cell r="K335">
            <v>454.76298000000003</v>
          </cell>
          <cell r="L335">
            <v>454.75628999999998</v>
          </cell>
          <cell r="M335">
            <v>454.36964999999998</v>
          </cell>
        </row>
        <row r="336">
          <cell r="A336" t="str">
            <v>DRSAO</v>
          </cell>
          <cell r="B336" t="str">
            <v>DRSAOARS</v>
          </cell>
          <cell r="C336" t="e">
            <v>#N/A</v>
          </cell>
          <cell r="D336" t="e">
            <v>#N/A</v>
          </cell>
          <cell r="E336">
            <v>9.9999999999999995E-8</v>
          </cell>
          <cell r="F336">
            <v>9.9999999999999995E-8</v>
          </cell>
          <cell r="G336">
            <v>9.9999999999999995E-8</v>
          </cell>
          <cell r="H336">
            <v>9.9999999999999995E-8</v>
          </cell>
          <cell r="I336">
            <v>9.9999999999999995E-8</v>
          </cell>
          <cell r="J336">
            <v>9.9999999999999995E-8</v>
          </cell>
          <cell r="K336">
            <v>9.9999999999999995E-8</v>
          </cell>
          <cell r="L336">
            <v>9.9999999999999995E-8</v>
          </cell>
          <cell r="M336">
            <v>9.9999999999999995E-8</v>
          </cell>
        </row>
        <row r="337">
          <cell r="A337"/>
          <cell r="B337"/>
          <cell r="C337"/>
          <cell r="D337"/>
        </row>
        <row r="338">
          <cell r="A338" t="str">
            <v>Fideicomisos Financieros Tamar</v>
          </cell>
          <cell r="B338"/>
          <cell r="C338"/>
          <cell r="D338"/>
        </row>
        <row r="339">
          <cell r="A339"/>
          <cell r="B339"/>
          <cell r="C339"/>
          <cell r="D339"/>
        </row>
        <row r="340">
          <cell r="A340" t="str">
            <v>CO18A</v>
          </cell>
          <cell r="B340" t="str">
            <v>CO18AARS</v>
          </cell>
          <cell r="C340" t="str">
            <v>FF PyME - TAMAR FF</v>
          </cell>
          <cell r="D340">
            <v>6.0000000000059996</v>
          </cell>
          <cell r="E340">
            <v>0.24858078</v>
          </cell>
          <cell r="F340">
            <v>0.24914475999999999</v>
          </cell>
          <cell r="G340">
            <v>0.24934798999999999</v>
          </cell>
          <cell r="H340">
            <v>0.2495242</v>
          </cell>
          <cell r="I340">
            <v>0.24972501999999999</v>
          </cell>
          <cell r="J340">
            <v>0.24996604</v>
          </cell>
          <cell r="K340">
            <v>0.25068829999999998</v>
          </cell>
          <cell r="L340">
            <v>0.25090884000000002</v>
          </cell>
          <cell r="M340">
            <v>0.25110321000000002</v>
          </cell>
        </row>
        <row r="341">
          <cell r="A341" t="str">
            <v>CO17A</v>
          </cell>
          <cell r="B341" t="str">
            <v>CO17AARS</v>
          </cell>
          <cell r="C341" t="str">
            <v>FF PyME - TAMAR FF</v>
          </cell>
          <cell r="D341">
            <v>6.0000000000059996</v>
          </cell>
          <cell r="E341">
            <v>0.25550337000000001</v>
          </cell>
          <cell r="F341">
            <v>0.25608304999999998</v>
          </cell>
          <cell r="G341">
            <v>0.25629194</v>
          </cell>
          <cell r="H341">
            <v>0.25647305999999997</v>
          </cell>
          <cell r="I341">
            <v>0.25667947000000002</v>
          </cell>
          <cell r="J341">
            <v>0.25692721000000002</v>
          </cell>
          <cell r="K341">
            <v>0.25766958000000001</v>
          </cell>
          <cell r="L341">
            <v>0.25789625999999999</v>
          </cell>
          <cell r="M341">
            <v>0.25809604000000003</v>
          </cell>
        </row>
        <row r="342">
          <cell r="A342" t="str">
            <v>CO19A</v>
          </cell>
          <cell r="B342" t="str">
            <v>CO19AARS</v>
          </cell>
          <cell r="C342" t="str">
            <v>FF Tier 1 - TAMAR FF</v>
          </cell>
          <cell r="D342">
            <v>166.02888685110969</v>
          </cell>
          <cell r="E342">
            <v>0.87776131000000002</v>
          </cell>
          <cell r="F342">
            <v>0.87933216000000003</v>
          </cell>
          <cell r="G342">
            <v>0.88086299000000001</v>
          </cell>
          <cell r="H342">
            <v>0.88148320999999996</v>
          </cell>
          <cell r="I342">
            <v>0.88157518000000001</v>
          </cell>
          <cell r="J342">
            <v>0.88198122999999995</v>
          </cell>
          <cell r="K342">
            <v>0.88415927999999999</v>
          </cell>
          <cell r="L342">
            <v>0.88711264999999995</v>
          </cell>
          <cell r="M342">
            <v>0.88801664999999996</v>
          </cell>
        </row>
        <row r="343">
          <cell r="A343" t="str">
            <v>CO20A</v>
          </cell>
          <cell r="B343" t="str">
            <v>CO20AARS</v>
          </cell>
          <cell r="C343" t="str">
            <v>FF Tier 1 - TAMAR FF</v>
          </cell>
          <cell r="D343">
            <v>203.74600153421829</v>
          </cell>
          <cell r="E343">
            <v>0.99710160000000003</v>
          </cell>
          <cell r="F343">
            <v>0.99878445000000005</v>
          </cell>
          <cell r="G343">
            <v>1.0008513699999999</v>
          </cell>
          <cell r="H343">
            <v>1.00169946</v>
          </cell>
          <cell r="I343">
            <v>1.00147795</v>
          </cell>
          <cell r="J343">
            <v>1.0014357</v>
          </cell>
          <cell r="K343">
            <v>1.00405224</v>
          </cell>
          <cell r="L343">
            <v>1.0079268400000001</v>
          </cell>
          <cell r="M343">
            <v>1.00896915</v>
          </cell>
        </row>
        <row r="344">
          <cell r="A344" t="str">
            <v>M320A</v>
          </cell>
          <cell r="B344" t="str">
            <v>M320AARS</v>
          </cell>
          <cell r="C344" t="str">
            <v>FF Tier 1 - TAMAR FF</v>
          </cell>
          <cell r="D344">
            <v>13.000000000071399</v>
          </cell>
          <cell r="E344">
            <v>2.385557E-2</v>
          </cell>
          <cell r="F344">
            <v>2.3908829999999999E-2</v>
          </cell>
          <cell r="G344">
            <v>2.392886E-2</v>
          </cell>
          <cell r="H344">
            <v>2.3944989999999999E-2</v>
          </cell>
          <cell r="I344">
            <v>2.3964579999999999E-2</v>
          </cell>
          <cell r="J344">
            <v>2.3990379999999999E-2</v>
          </cell>
          <cell r="K344">
            <v>2.4057149999999999E-2</v>
          </cell>
          <cell r="L344">
            <v>2.4081439999999999E-2</v>
          </cell>
          <cell r="M344">
            <v>2.4100940000000001E-2</v>
          </cell>
        </row>
        <row r="345">
          <cell r="A345" t="str">
            <v>M322A</v>
          </cell>
          <cell r="B345" t="str">
            <v>M322AARS</v>
          </cell>
          <cell r="C345" t="str">
            <v>FF Tier 1 - TAMAR FF</v>
          </cell>
          <cell r="D345">
            <v>13.000000000027601</v>
          </cell>
          <cell r="E345">
            <v>7.8070979999999998E-2</v>
          </cell>
          <cell r="F345">
            <v>7.824528E-2</v>
          </cell>
          <cell r="G345">
            <v>7.8310829999999998E-2</v>
          </cell>
          <cell r="H345">
            <v>7.8363630000000004E-2</v>
          </cell>
          <cell r="I345">
            <v>7.8427730000000001E-2</v>
          </cell>
          <cell r="J345">
            <v>7.8512170000000006E-2</v>
          </cell>
          <cell r="K345">
            <v>7.8730690000000006E-2</v>
          </cell>
          <cell r="L345">
            <v>7.8810179999999994E-2</v>
          </cell>
          <cell r="M345">
            <v>7.8873990000000005E-2</v>
          </cell>
        </row>
        <row r="346">
          <cell r="A346" t="str">
            <v>CF82A</v>
          </cell>
          <cell r="B346" t="str">
            <v>CF82AARS</v>
          </cell>
          <cell r="C346" t="str">
            <v>FF Tier 1 - TAMAR FF</v>
          </cell>
          <cell r="D346">
            <v>6.0000000000242499</v>
          </cell>
          <cell r="E346">
            <v>6.6745319999999997E-2</v>
          </cell>
          <cell r="F346">
            <v>6.6895940000000001E-2</v>
          </cell>
          <cell r="G346">
            <v>6.6950519999999999E-2</v>
          </cell>
          <cell r="H346">
            <v>6.6997849999999998E-2</v>
          </cell>
          <cell r="I346">
            <v>6.7051780000000005E-2</v>
          </cell>
          <cell r="J346">
            <v>6.7116510000000004E-2</v>
          </cell>
          <cell r="K346">
            <v>6.7310499999999995E-2</v>
          </cell>
          <cell r="L346">
            <v>6.7369719999999994E-2</v>
          </cell>
          <cell r="M346">
            <v>6.7421930000000005E-2</v>
          </cell>
        </row>
        <row r="347">
          <cell r="A347" t="str">
            <v>M327A</v>
          </cell>
          <cell r="B347" t="str">
            <v>M327AARS</v>
          </cell>
          <cell r="C347" t="str">
            <v>FF Tier 1 - TAMAR FF</v>
          </cell>
          <cell r="D347">
            <v>11.99999999978205</v>
          </cell>
          <cell r="E347">
            <v>2.6459099999999999E-2</v>
          </cell>
          <cell r="F347">
            <v>2.6518259999999998E-2</v>
          </cell>
          <cell r="G347">
            <v>2.6540399999999999E-2</v>
          </cell>
          <cell r="H347">
            <v>2.6558410000000001E-2</v>
          </cell>
          <cell r="I347">
            <v>2.6580099999999999E-2</v>
          </cell>
          <cell r="J347">
            <v>2.660831E-2</v>
          </cell>
          <cell r="K347">
            <v>2.668276E-2</v>
          </cell>
          <cell r="L347">
            <v>2.6709210000000001E-2</v>
          </cell>
          <cell r="M347">
            <v>2.67307E-2</v>
          </cell>
        </row>
        <row r="348">
          <cell r="A348" t="str">
            <v>M329A</v>
          </cell>
          <cell r="B348" t="str">
            <v>M329AARS</v>
          </cell>
          <cell r="C348" t="str">
            <v>FF Tier 1 - TAMAR FF</v>
          </cell>
          <cell r="D348">
            <v>11.999999999986448</v>
          </cell>
          <cell r="E348">
            <v>5.8720210000000002E-2</v>
          </cell>
          <cell r="F348">
            <v>5.8851519999999997E-2</v>
          </cell>
          <cell r="G348">
            <v>5.8900639999999997E-2</v>
          </cell>
          <cell r="H348">
            <v>5.8940619999999999E-2</v>
          </cell>
          <cell r="I348">
            <v>5.898875E-2</v>
          </cell>
          <cell r="J348">
            <v>5.9051359999999997E-2</v>
          </cell>
          <cell r="K348">
            <v>5.921659E-2</v>
          </cell>
          <cell r="L348">
            <v>5.927528E-2</v>
          </cell>
          <cell r="M348">
            <v>5.9322979999999997E-2</v>
          </cell>
        </row>
        <row r="349">
          <cell r="A349" t="str">
            <v>M331A</v>
          </cell>
          <cell r="B349" t="str">
            <v>M331AARS</v>
          </cell>
          <cell r="C349" t="str">
            <v>FF Tier 1 - TAMAR FF</v>
          </cell>
          <cell r="D349">
            <v>12.000000000011999</v>
          </cell>
          <cell r="E349">
            <v>9.5912990000000004E-2</v>
          </cell>
          <cell r="F349">
            <v>9.6127459999999998E-2</v>
          </cell>
          <cell r="G349">
            <v>9.6207699999999993E-2</v>
          </cell>
          <cell r="H349">
            <v>9.6273010000000006E-2</v>
          </cell>
          <cell r="I349">
            <v>9.6351610000000004E-2</v>
          </cell>
          <cell r="J349">
            <v>9.6453880000000006E-2</v>
          </cell>
          <cell r="K349">
            <v>9.6723770000000001E-2</v>
          </cell>
          <cell r="L349">
            <v>9.6819630000000004E-2</v>
          </cell>
          <cell r="M349">
            <v>9.6897540000000004E-2</v>
          </cell>
        </row>
        <row r="350">
          <cell r="A350" t="str">
            <v>M333A</v>
          </cell>
          <cell r="B350" t="str">
            <v>M333AARS</v>
          </cell>
          <cell r="C350" t="str">
            <v>FF Tier 1 - TAMAR FF</v>
          </cell>
          <cell r="D350">
            <v>12.00000000003025</v>
          </cell>
          <cell r="E350">
            <v>0.18882254000000001</v>
          </cell>
          <cell r="F350">
            <v>0.18924477000000001</v>
          </cell>
          <cell r="G350">
            <v>0.18940272999999999</v>
          </cell>
          <cell r="H350">
            <v>0.18953130000000001</v>
          </cell>
          <cell r="I350">
            <v>0.18968604</v>
          </cell>
          <cell r="J350">
            <v>0.18988737999999999</v>
          </cell>
          <cell r="K350">
            <v>0.1904187</v>
          </cell>
          <cell r="L350">
            <v>0.19060743999999999</v>
          </cell>
          <cell r="M350">
            <v>0.19076082</v>
          </cell>
        </row>
        <row r="351">
          <cell r="A351" t="str">
            <v>DT39A</v>
          </cell>
          <cell r="B351" t="str">
            <v>DT39AARS</v>
          </cell>
          <cell r="C351" t="str">
            <v>FF Tier 1 - TAMAR FF</v>
          </cell>
          <cell r="D351">
            <v>0.99999999999004996</v>
          </cell>
          <cell r="E351">
            <v>3.928624E-2</v>
          </cell>
          <cell r="F351">
            <v>3.9375540000000001E-2</v>
          </cell>
          <cell r="G351">
            <v>3.9407039999999997E-2</v>
          </cell>
          <cell r="H351">
            <v>3.9435810000000002E-2</v>
          </cell>
          <cell r="I351">
            <v>3.9467080000000002E-2</v>
          </cell>
          <cell r="J351">
            <v>3.950178E-2</v>
          </cell>
          <cell r="K351">
            <v>3.961916E-2</v>
          </cell>
          <cell r="L351">
            <v>3.9650339999999999E-2</v>
          </cell>
          <cell r="M351">
            <v>3.968E-2</v>
          </cell>
        </row>
        <row r="352">
          <cell r="A352" t="str">
            <v>C199A</v>
          </cell>
          <cell r="B352" t="str">
            <v>C199AARS</v>
          </cell>
          <cell r="C352" t="str">
            <v>FF Tier 1 - TAMAR FF</v>
          </cell>
          <cell r="D352">
            <v>11.999999999851401</v>
          </cell>
          <cell r="E352">
            <v>2.514837E-2</v>
          </cell>
          <cell r="F352">
            <v>2.5204609999999999E-2</v>
          </cell>
          <cell r="G352">
            <v>2.5225649999999999E-2</v>
          </cell>
          <cell r="H352">
            <v>2.5242770000000001E-2</v>
          </cell>
          <cell r="I352">
            <v>2.5263379999999998E-2</v>
          </cell>
          <cell r="J352">
            <v>2.5290199999999999E-2</v>
          </cell>
          <cell r="K352">
            <v>2.5360959999999998E-2</v>
          </cell>
          <cell r="L352">
            <v>2.5386100000000002E-2</v>
          </cell>
          <cell r="M352">
            <v>2.5406519999999998E-2</v>
          </cell>
        </row>
        <row r="353">
          <cell r="A353" t="str">
            <v>CF83A</v>
          </cell>
          <cell r="B353" t="str">
            <v>CF83AARS</v>
          </cell>
          <cell r="C353" t="str">
            <v>FF Tier 1 - TAMAR FF</v>
          </cell>
          <cell r="D353">
            <v>6.0000000000023501</v>
          </cell>
          <cell r="E353">
            <v>0.24622869999999999</v>
          </cell>
          <cell r="F353">
            <v>0.24678433999999999</v>
          </cell>
          <cell r="G353">
            <v>0.24698569000000001</v>
          </cell>
          <cell r="H353">
            <v>0.24716029</v>
          </cell>
          <cell r="I353">
            <v>0.24735926</v>
          </cell>
          <cell r="J353">
            <v>0.24759806000000001</v>
          </cell>
          <cell r="K353">
            <v>0.24831368000000001</v>
          </cell>
          <cell r="L353">
            <v>0.24853217999999999</v>
          </cell>
          <cell r="M353">
            <v>0.24872477000000001</v>
          </cell>
        </row>
        <row r="354">
          <cell r="A354" t="str">
            <v>CF84A</v>
          </cell>
          <cell r="B354" t="str">
            <v>CF84AARS</v>
          </cell>
          <cell r="C354" t="str">
            <v>FF Tier 1 - TAMAR FF</v>
          </cell>
          <cell r="D354">
            <v>5.9999999999001501</v>
          </cell>
          <cell r="E354">
            <v>1.5751149999999998E-2</v>
          </cell>
          <cell r="F354">
            <v>1.5787010000000001E-2</v>
          </cell>
          <cell r="G354">
            <v>1.5800359999999999E-2</v>
          </cell>
          <cell r="H354">
            <v>1.581202E-2</v>
          </cell>
          <cell r="I354">
            <v>1.582561E-2</v>
          </cell>
          <cell r="J354">
            <v>1.5841089999999999E-2</v>
          </cell>
          <cell r="K354">
            <v>1.5886979999999998E-2</v>
          </cell>
          <cell r="L354">
            <v>1.5900959999999999E-2</v>
          </cell>
          <cell r="M354">
            <v>1.5913279999999998E-2</v>
          </cell>
        </row>
        <row r="355">
          <cell r="A355" t="str">
            <v>M341A</v>
          </cell>
          <cell r="B355" t="str">
            <v>M341AARS</v>
          </cell>
          <cell r="C355" t="str">
            <v>FF Tier 1 - TAMAR FF</v>
          </cell>
          <cell r="D355">
            <v>42.695740315120446</v>
          </cell>
          <cell r="E355">
            <v>0.23164752</v>
          </cell>
          <cell r="F355">
            <v>0.23213655999999999</v>
          </cell>
          <cell r="G355">
            <v>0.23235021</v>
          </cell>
          <cell r="H355">
            <v>0.23249553000000001</v>
          </cell>
          <cell r="I355">
            <v>0.23269165</v>
          </cell>
          <cell r="J355">
            <v>0.23300345</v>
          </cell>
          <cell r="K355">
            <v>0.23357331000000001</v>
          </cell>
          <cell r="L355">
            <v>0.23392262</v>
          </cell>
          <cell r="M355">
            <v>0.23413233</v>
          </cell>
        </row>
        <row r="356">
          <cell r="A356" t="str">
            <v>CU56A</v>
          </cell>
          <cell r="B356" t="str">
            <v>CU56AARS</v>
          </cell>
          <cell r="C356" t="str">
            <v>FF Tier 1 - TAMAR FF</v>
          </cell>
          <cell r="D356">
            <v>6.0000000000096501</v>
          </cell>
          <cell r="E356">
            <v>3.9509629999999997E-2</v>
          </cell>
          <cell r="F356">
            <v>3.959878E-2</v>
          </cell>
          <cell r="G356">
            <v>3.9631090000000001E-2</v>
          </cell>
          <cell r="H356">
            <v>3.9659109999999997E-2</v>
          </cell>
          <cell r="I356">
            <v>3.9691030000000002E-2</v>
          </cell>
          <cell r="J356">
            <v>3.9729349999999997E-2</v>
          </cell>
          <cell r="K356">
            <v>3.984418E-2</v>
          </cell>
          <cell r="L356">
            <v>3.9879240000000003E-2</v>
          </cell>
          <cell r="M356">
            <v>3.9910139999999997E-2</v>
          </cell>
        </row>
        <row r="357">
          <cell r="A357" t="str">
            <v>M343A</v>
          </cell>
          <cell r="B357" t="str">
            <v>M343AARS</v>
          </cell>
          <cell r="C357" t="str">
            <v>FF Tier 1 - TAMAR FF</v>
          </cell>
          <cell r="D357">
            <v>53.769894943429449</v>
          </cell>
          <cell r="E357">
            <v>0.34714234999999999</v>
          </cell>
          <cell r="F357">
            <v>0.34790785000000002</v>
          </cell>
          <cell r="G357">
            <v>0.34831498</v>
          </cell>
          <cell r="H357">
            <v>0.34858046999999998</v>
          </cell>
          <cell r="I357">
            <v>0.34886975999999997</v>
          </cell>
          <cell r="J357">
            <v>0.34935260000000001</v>
          </cell>
          <cell r="K357">
            <v>0.3501707</v>
          </cell>
          <cell r="L357">
            <v>0.35075334000000002</v>
          </cell>
          <cell r="M357">
            <v>0.35106135999999999</v>
          </cell>
        </row>
        <row r="358">
          <cell r="A358" t="str">
            <v>CU57A</v>
          </cell>
          <cell r="B358" t="str">
            <v>CU57AARS</v>
          </cell>
          <cell r="C358" t="str">
            <v>FF Tier 1 - TAMAR FF</v>
          </cell>
          <cell r="D358">
            <v>20.604543046228699</v>
          </cell>
          <cell r="E358">
            <v>0.21295823999999999</v>
          </cell>
          <cell r="F358">
            <v>0.21343449</v>
          </cell>
          <cell r="G358">
            <v>0.21362922000000001</v>
          </cell>
          <cell r="H358">
            <v>0.21378084999999999</v>
          </cell>
          <cell r="I358">
            <v>0.21396049</v>
          </cell>
          <cell r="J358">
            <v>0.21420674000000001</v>
          </cell>
          <cell r="K358">
            <v>0.21478174999999999</v>
          </cell>
          <cell r="L358">
            <v>0.21502315999999999</v>
          </cell>
          <cell r="M358">
            <v>0.21519680999999999</v>
          </cell>
        </row>
        <row r="359">
          <cell r="A359" t="str">
            <v>CU58A</v>
          </cell>
          <cell r="B359" t="str">
            <v>CU58AARS</v>
          </cell>
          <cell r="C359" t="str">
            <v>FF Tier 1 - TAMAR FF</v>
          </cell>
          <cell r="D359">
            <v>30.811402221682751</v>
          </cell>
          <cell r="E359">
            <v>0.29980027999999997</v>
          </cell>
          <cell r="F359">
            <v>0.30046569000000001</v>
          </cell>
          <cell r="G359">
            <v>0.30075966999999998</v>
          </cell>
          <cell r="H359">
            <v>0.30097359000000001</v>
          </cell>
          <cell r="I359">
            <v>0.30123055999999998</v>
          </cell>
          <cell r="J359">
            <v>0.30160856000000003</v>
          </cell>
          <cell r="K359">
            <v>0.30238042999999998</v>
          </cell>
          <cell r="L359">
            <v>0.30277133000000001</v>
          </cell>
          <cell r="M359">
            <v>0.30302244</v>
          </cell>
        </row>
        <row r="360">
          <cell r="A360" t="str">
            <v>M345A</v>
          </cell>
          <cell r="B360" t="str">
            <v>M345AARS</v>
          </cell>
          <cell r="C360" t="str">
            <v>FF Tier 1 - TAMAR FF</v>
          </cell>
          <cell r="D360">
            <v>64.488871573574002</v>
          </cell>
          <cell r="E360">
            <v>0.42291030000000002</v>
          </cell>
          <cell r="F360">
            <v>0.42383138999999997</v>
          </cell>
          <cell r="G360">
            <v>0.42435477999999999</v>
          </cell>
          <cell r="H360">
            <v>0.42467834999999998</v>
          </cell>
          <cell r="I360">
            <v>0.42501999000000001</v>
          </cell>
          <cell r="J360">
            <v>0.42561516999999999</v>
          </cell>
          <cell r="K360">
            <v>0.42658448999999998</v>
          </cell>
          <cell r="L360">
            <v>0.42736681999999998</v>
          </cell>
          <cell r="M360">
            <v>0.42775018999999997</v>
          </cell>
        </row>
        <row r="361">
          <cell r="A361" t="str">
            <v>C200A</v>
          </cell>
          <cell r="B361" t="str">
            <v>C200AARS</v>
          </cell>
          <cell r="C361" t="str">
            <v>FF Tier 1 - TAMAR FF</v>
          </cell>
          <cell r="D361">
            <v>45.883512506651201</v>
          </cell>
          <cell r="E361">
            <v>0.36014351999999999</v>
          </cell>
          <cell r="F361">
            <v>0.36092671999999998</v>
          </cell>
          <cell r="G361">
            <v>0.36130635</v>
          </cell>
          <cell r="H361">
            <v>0.36155353000000001</v>
          </cell>
          <cell r="I361">
            <v>0.36185595999999998</v>
          </cell>
          <cell r="J361">
            <v>0.36234328999999998</v>
          </cell>
          <cell r="K361">
            <v>0.36322210999999999</v>
          </cell>
          <cell r="L361">
            <v>0.36378385000000002</v>
          </cell>
          <cell r="M361">
            <v>0.36410178999999998</v>
          </cell>
        </row>
        <row r="362">
          <cell r="A362" t="str">
            <v>DT44A</v>
          </cell>
          <cell r="B362" t="str">
            <v>DT44AARS</v>
          </cell>
          <cell r="C362" t="str">
            <v>FF Tier 1 - TAMAR FF</v>
          </cell>
          <cell r="D362">
            <v>16.930386704332403</v>
          </cell>
          <cell r="E362">
            <v>0.31889836999999999</v>
          </cell>
          <cell r="F362">
            <v>0.31962298</v>
          </cell>
          <cell r="G362">
            <v>0.31990074000000002</v>
          </cell>
          <cell r="H362">
            <v>0.32013456000000001</v>
          </cell>
          <cell r="I362">
            <v>0.32039775999999998</v>
          </cell>
          <cell r="J362">
            <v>0.3207257</v>
          </cell>
          <cell r="K362">
            <v>0.32162875000000002</v>
          </cell>
          <cell r="L362">
            <v>0.32175555</v>
          </cell>
          <cell r="M362">
            <v>0.16030923999999999</v>
          </cell>
        </row>
        <row r="363">
          <cell r="A363" t="str">
            <v>CF86A</v>
          </cell>
          <cell r="B363" t="str">
            <v>CF86A</v>
          </cell>
          <cell r="C363" t="str">
            <v>FF Tier 1 - TAMAR FF</v>
          </cell>
          <cell r="D363">
            <v>51.475426080996549</v>
          </cell>
          <cell r="E363">
            <v>0.52974131999999996</v>
          </cell>
          <cell r="F363">
            <v>0.53090457999999996</v>
          </cell>
          <cell r="G363">
            <v>0.53150892999999999</v>
          </cell>
          <cell r="H363">
            <v>0.53190588000000005</v>
          </cell>
          <cell r="I363">
            <v>0.5323793</v>
          </cell>
          <cell r="J363">
            <v>0.53310714999999997</v>
          </cell>
          <cell r="K363">
            <v>0.53438215</v>
          </cell>
          <cell r="L363">
            <v>0.53525060999999996</v>
          </cell>
          <cell r="M363">
            <v>0.53571482000000004</v>
          </cell>
        </row>
        <row r="364">
          <cell r="A364" t="str">
            <v>SK01A</v>
          </cell>
          <cell r="B364" t="str">
            <v>SK01AARS</v>
          </cell>
          <cell r="C364" t="str">
            <v>FF Tier 1 - TAMAR FF</v>
          </cell>
          <cell r="D364">
            <v>68.373157314130253</v>
          </cell>
          <cell r="E364">
            <v>0.41183830999999999</v>
          </cell>
          <cell r="F364">
            <v>0.41263820000000001</v>
          </cell>
          <cell r="G364">
            <v>0.413049</v>
          </cell>
          <cell r="H364">
            <v>0.41334558999999998</v>
          </cell>
          <cell r="I364">
            <v>0.41365818999999998</v>
          </cell>
          <cell r="J364">
            <v>0.41420342999999998</v>
          </cell>
          <cell r="K364">
            <v>0.41514986999999998</v>
          </cell>
          <cell r="L364">
            <v>0.41625359000000001</v>
          </cell>
          <cell r="M364">
            <v>0.32026729999999998</v>
          </cell>
        </row>
        <row r="365">
          <cell r="A365" t="str">
            <v>DT45A</v>
          </cell>
          <cell r="B365" t="str">
            <v>DT45AARS</v>
          </cell>
          <cell r="C365" t="str">
            <v>FF Tier 1 - TAMAR FF</v>
          </cell>
          <cell r="D365">
            <v>24.258428598110001</v>
          </cell>
          <cell r="E365">
            <v>0.45781973999999998</v>
          </cell>
          <cell r="F365">
            <v>0.45885728999999997</v>
          </cell>
          <cell r="G365">
            <v>0.45926850000000002</v>
          </cell>
          <cell r="H365">
            <v>0.45960447999999998</v>
          </cell>
          <cell r="I365">
            <v>0.45998662000000001</v>
          </cell>
          <cell r="J365">
            <v>0.46048098999999998</v>
          </cell>
          <cell r="K365">
            <v>0.46175115</v>
          </cell>
          <cell r="L365">
            <v>0.46192144000000002</v>
          </cell>
          <cell r="M365">
            <v>0.26520081000000001</v>
          </cell>
        </row>
        <row r="366">
          <cell r="A366" t="str">
            <v>CU59A</v>
          </cell>
          <cell r="B366" t="str">
            <v>CU59AARS</v>
          </cell>
          <cell r="C366" t="str">
            <v>FF Tier 1 - TAMAR FF</v>
          </cell>
          <cell r="D366">
            <v>41.430189472303546</v>
          </cell>
          <cell r="E366">
            <v>0.62412895999999995</v>
          </cell>
          <cell r="F366">
            <v>0.62549926</v>
          </cell>
          <cell r="G366">
            <v>0.62615233000000003</v>
          </cell>
          <cell r="H366">
            <v>0.62659825000000002</v>
          </cell>
          <cell r="I366">
            <v>0.62712491999999997</v>
          </cell>
          <cell r="J366">
            <v>0.62793927000000005</v>
          </cell>
          <cell r="K366">
            <v>0.62949372999999997</v>
          </cell>
          <cell r="L366">
            <v>0.63041493000000004</v>
          </cell>
          <cell r="M366">
            <v>0.63095027999999997</v>
          </cell>
        </row>
        <row r="367">
          <cell r="A367" t="str">
            <v>CU60A</v>
          </cell>
          <cell r="B367" t="str">
            <v>CU60AARS</v>
          </cell>
          <cell r="C367" t="str">
            <v>FF Tier 1 - TAMAR FF</v>
          </cell>
          <cell r="D367">
            <v>50.863069114050553</v>
          </cell>
          <cell r="E367">
            <v>1.00657072</v>
          </cell>
          <cell r="F367">
            <v>1.0087556799999999</v>
          </cell>
          <cell r="G367">
            <v>1.00986522</v>
          </cell>
          <cell r="H367">
            <v>1.01058351</v>
          </cell>
          <cell r="I367">
            <v>1.0114079600000001</v>
          </cell>
          <cell r="J367">
            <v>1.01273134</v>
          </cell>
          <cell r="K367">
            <v>1.01518457</v>
          </cell>
          <cell r="L367">
            <v>1.0168219300000001</v>
          </cell>
          <cell r="M367">
            <v>1.01770268</v>
          </cell>
        </row>
        <row r="368">
          <cell r="A368" t="str">
            <v>CU61A</v>
          </cell>
          <cell r="B368" t="str">
            <v>CU61AARS</v>
          </cell>
          <cell r="C368" t="str">
            <v>FF Tier 1 - TAMAR FF</v>
          </cell>
          <cell r="D368">
            <v>69.382596388225309</v>
          </cell>
          <cell r="E368">
            <v>0.98281662000000003</v>
          </cell>
          <cell r="F368">
            <v>0.98494055999999996</v>
          </cell>
          <cell r="G368">
            <v>0.98602820000000002</v>
          </cell>
          <cell r="H368">
            <v>0.98658029999999997</v>
          </cell>
          <cell r="I368">
            <v>0.98733300999999996</v>
          </cell>
          <cell r="J368">
            <v>0.98877042000000004</v>
          </cell>
          <cell r="K368">
            <v>0.99100527000000005</v>
          </cell>
          <cell r="L368">
            <v>0.99295317999999999</v>
          </cell>
          <cell r="M368">
            <v>0.99393103000000005</v>
          </cell>
        </row>
        <row r="369">
          <cell r="A369" t="str">
            <v>M347A</v>
          </cell>
          <cell r="B369" t="str">
            <v>M347AARS</v>
          </cell>
          <cell r="C369" t="str">
            <v>FF Tier 1 - TAMAR FF</v>
          </cell>
          <cell r="D369">
            <v>81.105773376375595</v>
          </cell>
          <cell r="E369">
            <v>0.51516627999999998</v>
          </cell>
          <cell r="F369">
            <v>0.51626455999999998</v>
          </cell>
          <cell r="G369">
            <v>0.51695314000000003</v>
          </cell>
          <cell r="H369">
            <v>0.51734780999999996</v>
          </cell>
          <cell r="I369">
            <v>0.51773382000000001</v>
          </cell>
          <cell r="J369">
            <v>0.51844869000000005</v>
          </cell>
          <cell r="K369">
            <v>0.51959440999999995</v>
          </cell>
          <cell r="L369">
            <v>0.52068219999999998</v>
          </cell>
          <cell r="M369">
            <v>0.52116324999999997</v>
          </cell>
        </row>
        <row r="370">
          <cell r="A370" t="str">
            <v>DT46A</v>
          </cell>
          <cell r="B370" t="str">
            <v>DT46AARS</v>
          </cell>
          <cell r="C370" t="str">
            <v>FF Tier 1 - TAMAR FF</v>
          </cell>
          <cell r="D370">
            <v>36.752038967778098</v>
          </cell>
          <cell r="E370">
            <v>1.0058975699999999</v>
          </cell>
          <cell r="F370">
            <v>1.00812301</v>
          </cell>
          <cell r="G370">
            <v>1.0092064300000001</v>
          </cell>
          <cell r="H370">
            <v>1.0099501799999999</v>
          </cell>
          <cell r="I370">
            <v>1.01079045</v>
          </cell>
          <cell r="J370">
            <v>1.0120756900000001</v>
          </cell>
          <cell r="K370">
            <v>1.0145838899999999</v>
          </cell>
          <cell r="L370">
            <v>1.0167199200000001</v>
          </cell>
          <cell r="M370">
            <v>0.62513430999999997</v>
          </cell>
        </row>
        <row r="371">
          <cell r="A371" t="str">
            <v>M349A</v>
          </cell>
          <cell r="B371" t="str">
            <v>M349AARS</v>
          </cell>
          <cell r="C371" t="str">
            <v>FF Tier 1 - TAMAR FF</v>
          </cell>
          <cell r="D371">
            <v>96.577487892786152</v>
          </cell>
          <cell r="E371">
            <v>0.62455282999999995</v>
          </cell>
          <cell r="F371">
            <v>0.62585338999999995</v>
          </cell>
          <cell r="G371">
            <v>0.62674333999999998</v>
          </cell>
          <cell r="H371">
            <v>0.62722144000000002</v>
          </cell>
          <cell r="I371">
            <v>0.62763875999999996</v>
          </cell>
          <cell r="J371">
            <v>0.62845547999999996</v>
          </cell>
          <cell r="K371">
            <v>0.62983270999999996</v>
          </cell>
          <cell r="L371">
            <v>0.63130010999999997</v>
          </cell>
          <cell r="M371">
            <v>0.63189753999999998</v>
          </cell>
        </row>
        <row r="372">
          <cell r="A372" t="str">
            <v>M351A</v>
          </cell>
          <cell r="B372" t="str">
            <v>M351AARS</v>
          </cell>
          <cell r="C372" t="str">
            <v>FF Tier 1 - TAMAR FF</v>
          </cell>
          <cell r="D372">
            <v>101.10089339985184</v>
          </cell>
          <cell r="E372">
            <v>0.68620334999999999</v>
          </cell>
          <cell r="F372">
            <v>0.68762175000000003</v>
          </cell>
          <cell r="G372">
            <v>0.68861691000000003</v>
          </cell>
          <cell r="H372">
            <v>0.68914193000000001</v>
          </cell>
          <cell r="I372">
            <v>0.68958176000000004</v>
          </cell>
          <cell r="J372">
            <v>0.69045751</v>
          </cell>
          <cell r="K372">
            <v>0.69197092000000004</v>
          </cell>
          <cell r="L372">
            <v>0.69363041999999997</v>
          </cell>
          <cell r="M372">
            <v>0.69429116999999996</v>
          </cell>
        </row>
        <row r="373">
          <cell r="A373" t="str">
            <v>C201A</v>
          </cell>
          <cell r="B373" t="str">
            <v>C201AARS</v>
          </cell>
          <cell r="C373" t="str">
            <v>FF Tier 1 - TAMAR FF</v>
          </cell>
          <cell r="D373">
            <v>51.313640675599252</v>
          </cell>
          <cell r="E373">
            <v>0.40025738</v>
          </cell>
          <cell r="F373">
            <v>0.40112279000000001</v>
          </cell>
          <cell r="G373">
            <v>0.40155822000000002</v>
          </cell>
          <cell r="H373">
            <v>0.40183333999999998</v>
          </cell>
          <cell r="I373">
            <v>0.40216580000000002</v>
          </cell>
          <cell r="J373">
            <v>0.40271404</v>
          </cell>
          <cell r="K373">
            <v>0.40367521000000001</v>
          </cell>
          <cell r="L373">
            <v>0.40433445000000001</v>
          </cell>
          <cell r="M373">
            <v>0.40469168</v>
          </cell>
        </row>
        <row r="374">
          <cell r="A374" t="str">
            <v>C202A</v>
          </cell>
          <cell r="B374" t="str">
            <v>C202AARS</v>
          </cell>
          <cell r="C374" t="str">
            <v>FF Tier 1 - TAMAR FF</v>
          </cell>
          <cell r="D374">
            <v>99.544273513595755</v>
          </cell>
          <cell r="E374">
            <v>0.71093890999999998</v>
          </cell>
          <cell r="F374">
            <v>0.71237746000000002</v>
          </cell>
          <cell r="G374">
            <v>0.71335342999999996</v>
          </cell>
          <cell r="H374">
            <v>0.71384433000000003</v>
          </cell>
          <cell r="I374">
            <v>0.71429880999999995</v>
          </cell>
          <cell r="J374">
            <v>0.71519522999999996</v>
          </cell>
          <cell r="K374">
            <v>0.71678841000000004</v>
          </cell>
          <cell r="L374">
            <v>0.71849492000000004</v>
          </cell>
          <cell r="M374">
            <v>0.71918325000000005</v>
          </cell>
        </row>
        <row r="375">
          <cell r="A375" t="str">
            <v>DT47A</v>
          </cell>
          <cell r="B375" t="str">
            <v>DT47AARS</v>
          </cell>
          <cell r="C375" t="str">
            <v>FF Tier 1 - TAMAR FF</v>
          </cell>
          <cell r="D375">
            <v>79.092538772392246</v>
          </cell>
          <cell r="E375">
            <v>1.0023903999999999</v>
          </cell>
          <cell r="F375">
            <v>1.0045310000000001</v>
          </cell>
          <cell r="G375">
            <v>1.00583303</v>
          </cell>
          <cell r="H375">
            <v>1.00657942</v>
          </cell>
          <cell r="I375">
            <v>1.0073821199999999</v>
          </cell>
          <cell r="J375">
            <v>1.00883177</v>
          </cell>
          <cell r="K375">
            <v>1.0110340099999999</v>
          </cell>
          <cell r="L375">
            <v>1.01311522</v>
          </cell>
          <cell r="M375">
            <v>0.99341031000000002</v>
          </cell>
        </row>
        <row r="376">
          <cell r="A376" t="str">
            <v>M353A</v>
          </cell>
          <cell r="B376" t="str">
            <v>M353AARS</v>
          </cell>
          <cell r="C376" t="str">
            <v>FF Tier 1 - TAMAR FF</v>
          </cell>
          <cell r="D376">
            <v>104.72598134320916</v>
          </cell>
          <cell r="E376">
            <v>0.78005524000000004</v>
          </cell>
          <cell r="F376">
            <v>0.78165653000000002</v>
          </cell>
          <cell r="G376">
            <v>0.78280276000000004</v>
          </cell>
          <cell r="H376">
            <v>0.78339913999999999</v>
          </cell>
          <cell r="I376">
            <v>0.78387571</v>
          </cell>
          <cell r="J376">
            <v>0.78483665000000002</v>
          </cell>
          <cell r="K376">
            <v>0.78656800000000004</v>
          </cell>
          <cell r="L376">
            <v>0.78849597999999999</v>
          </cell>
          <cell r="M376">
            <v>0.78925034999999999</v>
          </cell>
        </row>
        <row r="377">
          <cell r="A377" t="str">
            <v>WC08A</v>
          </cell>
          <cell r="B377" t="str">
            <v>WC08AARS</v>
          </cell>
          <cell r="C377" t="str">
            <v>FF Tier 1 - TAMAR FF</v>
          </cell>
          <cell r="D377">
            <v>140.9236208570415</v>
          </cell>
          <cell r="E377">
            <v>0.90941046000000003</v>
          </cell>
          <cell r="F377">
            <v>0.91112992999999998</v>
          </cell>
          <cell r="G377">
            <v>0.91261738000000003</v>
          </cell>
          <cell r="H377">
            <v>0.91329234999999998</v>
          </cell>
          <cell r="I377">
            <v>0.91359104000000002</v>
          </cell>
          <cell r="J377">
            <v>0.91429727000000005</v>
          </cell>
          <cell r="K377">
            <v>0.91645476999999997</v>
          </cell>
          <cell r="L377">
            <v>0.91917406000000001</v>
          </cell>
          <cell r="M377">
            <v>0.81826155</v>
          </cell>
        </row>
        <row r="378">
          <cell r="A378" t="str">
            <v>DT48A</v>
          </cell>
          <cell r="B378" t="str">
            <v>DT48AARS</v>
          </cell>
          <cell r="C378" t="str">
            <v>FF Tier 1 - TAMAR FF</v>
          </cell>
          <cell r="D378">
            <v>104.9526419975666</v>
          </cell>
          <cell r="E378">
            <v>1.00011965</v>
          </cell>
          <cell r="F378">
            <v>1.00218681</v>
          </cell>
          <cell r="G378">
            <v>1.0036425600000001</v>
          </cell>
          <cell r="H378">
            <v>1.0043909900000001</v>
          </cell>
          <cell r="I378">
            <v>1.00511157</v>
          </cell>
          <cell r="J378">
            <v>1.0065506399999999</v>
          </cell>
          <cell r="K378">
            <v>1.0086247100000001</v>
          </cell>
          <cell r="L378">
            <v>1.0111099400000001</v>
          </cell>
          <cell r="M378">
            <v>0.99144527000000005</v>
          </cell>
        </row>
        <row r="379">
          <cell r="A379" t="str">
            <v>M355A</v>
          </cell>
          <cell r="B379" t="str">
            <v>M355AARS</v>
          </cell>
          <cell r="C379" t="str">
            <v>FF Tier 1 - TAMAR FF</v>
          </cell>
          <cell r="D379">
            <v>114.32885271429065</v>
          </cell>
          <cell r="E379">
            <v>0.90756258999999995</v>
          </cell>
          <cell r="F379">
            <v>0.90939433999999997</v>
          </cell>
          <cell r="G379">
            <v>0.91077553</v>
          </cell>
          <cell r="H379">
            <v>0.91146813000000004</v>
          </cell>
          <cell r="I379">
            <v>0.91196341000000003</v>
          </cell>
          <cell r="J379">
            <v>0.91300537000000004</v>
          </cell>
          <cell r="K379">
            <v>0.91503151999999999</v>
          </cell>
          <cell r="L379">
            <v>0.91740557</v>
          </cell>
          <cell r="M379">
            <v>0.91829477999999998</v>
          </cell>
        </row>
        <row r="380">
          <cell r="A380" t="str">
            <v>M357A</v>
          </cell>
          <cell r="B380" t="str">
            <v>M357AARS</v>
          </cell>
          <cell r="C380" t="str">
            <v>FF Tier 1 - TAMAR FF</v>
          </cell>
          <cell r="D380">
            <v>132.03143367037816</v>
          </cell>
          <cell r="E380">
            <v>1.0294700299999999</v>
          </cell>
          <cell r="F380">
            <v>1.03147974</v>
          </cell>
          <cell r="G380">
            <v>1.0331432899999999</v>
          </cell>
          <cell r="H380">
            <v>1.03392453</v>
          </cell>
          <cell r="I380">
            <v>1.0343582</v>
          </cell>
          <cell r="J380">
            <v>1.0353686200000001</v>
          </cell>
          <cell r="K380">
            <v>1.0377008999999999</v>
          </cell>
          <cell r="L380">
            <v>1.04066547</v>
          </cell>
          <cell r="M380">
            <v>1.04169661</v>
          </cell>
        </row>
        <row r="381">
          <cell r="A381" t="str">
            <v>SK02A</v>
          </cell>
          <cell r="B381" t="str">
            <v>SK02AARS</v>
          </cell>
          <cell r="C381" t="str">
            <v>FF Tier 1 - TAMAR FF</v>
          </cell>
          <cell r="D381">
            <v>153.67981457918205</v>
          </cell>
          <cell r="E381">
            <v>0.76180862000000005</v>
          </cell>
          <cell r="F381">
            <v>0.76322681999999997</v>
          </cell>
          <cell r="G381">
            <v>0.76453428999999995</v>
          </cell>
          <cell r="H381">
            <v>0.76511428000000004</v>
          </cell>
          <cell r="I381">
            <v>0.76527265</v>
          </cell>
          <cell r="J381">
            <v>0.76570956999999995</v>
          </cell>
          <cell r="K381">
            <v>0.76758775000000001</v>
          </cell>
          <cell r="L381">
            <v>0.76983424</v>
          </cell>
          <cell r="M381">
            <v>0.69091265999999996</v>
          </cell>
        </row>
        <row r="382">
          <cell r="A382" t="str">
            <v>DT49A</v>
          </cell>
          <cell r="B382" t="str">
            <v>DT49AARS</v>
          </cell>
          <cell r="C382" t="str">
            <v>FF Tier 1 - TAMAR FF</v>
          </cell>
          <cell r="D382">
            <v>127.55622087735745</v>
          </cell>
          <cell r="E382">
            <v>0.99790730000000005</v>
          </cell>
          <cell r="F382">
            <v>0.99990049999999997</v>
          </cell>
          <cell r="G382">
            <v>1.00148378</v>
          </cell>
          <cell r="H382">
            <v>1.00223065</v>
          </cell>
          <cell r="I382">
            <v>1.00284248</v>
          </cell>
          <cell r="J382">
            <v>1.0041870799999999</v>
          </cell>
          <cell r="K382">
            <v>1.0062106399999999</v>
          </cell>
          <cell r="L382">
            <v>1.00904014</v>
          </cell>
          <cell r="M382">
            <v>0.98940744000000003</v>
          </cell>
        </row>
        <row r="383">
          <cell r="A383" t="str">
            <v>DT50A</v>
          </cell>
          <cell r="B383" t="str">
            <v>DT50AARS</v>
          </cell>
          <cell r="C383" t="str">
            <v>FF Tier 1 - TAMAR FF</v>
          </cell>
          <cell r="D383">
            <v>132.69709639035185</v>
          </cell>
          <cell r="E383">
            <v>0.99729020999999995</v>
          </cell>
          <cell r="F383">
            <v>0.99926229</v>
          </cell>
          <cell r="G383">
            <v>1.0008716600000001</v>
          </cell>
          <cell r="H383">
            <v>1.0016167899999999</v>
          </cell>
          <cell r="I383">
            <v>1.0021877800000001</v>
          </cell>
          <cell r="J383">
            <v>1.00347392</v>
          </cell>
          <cell r="K383">
            <v>1.0055125300000001</v>
          </cell>
          <cell r="L383">
            <v>1.00841636</v>
          </cell>
          <cell r="M383">
            <v>0.98878944999999996</v>
          </cell>
        </row>
        <row r="384">
          <cell r="A384" t="str">
            <v>M359A</v>
          </cell>
          <cell r="B384" t="str">
            <v>M359AARS</v>
          </cell>
          <cell r="C384" t="str">
            <v>FF Tier 1 - TAMAR FF</v>
          </cell>
          <cell r="D384">
            <v>149.880455344398</v>
          </cell>
          <cell r="E384">
            <v>1.00117301</v>
          </cell>
          <cell r="F384">
            <v>1.0030731799999999</v>
          </cell>
          <cell r="G384">
            <v>1.0047922600000001</v>
          </cell>
          <cell r="H384">
            <v>1.00554754</v>
          </cell>
          <cell r="I384">
            <v>1.0058950200000001</v>
          </cell>
          <cell r="J384">
            <v>1.0068354100000001</v>
          </cell>
          <cell r="K384">
            <v>1.0090466</v>
          </cell>
          <cell r="L384">
            <v>1.0122099499999999</v>
          </cell>
          <cell r="M384">
            <v>1.01324367</v>
          </cell>
        </row>
        <row r="385">
          <cell r="A385" t="str">
            <v>DT54A</v>
          </cell>
          <cell r="B385" t="str">
            <v>DT54AARS</v>
          </cell>
          <cell r="C385" t="str">
            <v>FF Tier 1 - TAMAR FF</v>
          </cell>
          <cell r="D385">
            <v>219.04189400293029</v>
          </cell>
          <cell r="E385">
            <v>0.97226961000000001</v>
          </cell>
          <cell r="F385">
            <v>0.97386326999999995</v>
          </cell>
          <cell r="G385">
            <v>0.97587734000000004</v>
          </cell>
          <cell r="H385">
            <v>0.97659342000000005</v>
          </cell>
          <cell r="I385">
            <v>0.97643957000000003</v>
          </cell>
          <cell r="J385">
            <v>0.97662875000000005</v>
          </cell>
          <cell r="K385">
            <v>0.97896689000000003</v>
          </cell>
          <cell r="L385">
            <v>0.98302480000000003</v>
          </cell>
          <cell r="M385">
            <v>0.98065654000000002</v>
          </cell>
        </row>
        <row r="386">
          <cell r="A386"/>
          <cell r="B386"/>
          <cell r="C386"/>
          <cell r="D386"/>
        </row>
        <row r="387">
          <cell r="A387" t="str">
            <v>Acciones en pesos</v>
          </cell>
          <cell r="B387"/>
          <cell r="C387"/>
          <cell r="D387"/>
        </row>
        <row r="388">
          <cell r="A388"/>
          <cell r="B388"/>
          <cell r="C388"/>
          <cell r="D388"/>
        </row>
        <row r="389">
          <cell r="A389" t="str">
            <v>GGAL</v>
          </cell>
          <cell r="B389" t="str">
            <v>GGALARS</v>
          </cell>
          <cell r="C389">
            <v>0</v>
          </cell>
          <cell r="D389">
            <v>0</v>
          </cell>
          <cell r="E389">
            <v>5865</v>
          </cell>
          <cell r="F389">
            <v>5835</v>
          </cell>
          <cell r="G389">
            <v>6135</v>
          </cell>
          <cell r="H389">
            <v>6165</v>
          </cell>
          <cell r="I389">
            <v>5970</v>
          </cell>
          <cell r="J389">
            <v>5950</v>
          </cell>
          <cell r="K389">
            <v>5940</v>
          </cell>
          <cell r="L389">
            <v>5940</v>
          </cell>
          <cell r="M389">
            <v>5750</v>
          </cell>
        </row>
        <row r="390">
          <cell r="A390" t="str">
            <v>TXAR</v>
          </cell>
          <cell r="B390" t="str">
            <v>TXARARS</v>
          </cell>
          <cell r="C390">
            <v>0</v>
          </cell>
          <cell r="D390">
            <v>0</v>
          </cell>
          <cell r="E390">
            <v>662.5</v>
          </cell>
          <cell r="F390">
            <v>674.5</v>
          </cell>
          <cell r="G390">
            <v>673</v>
          </cell>
          <cell r="H390">
            <v>665.5</v>
          </cell>
          <cell r="I390">
            <v>659</v>
          </cell>
          <cell r="J390">
            <v>669</v>
          </cell>
          <cell r="K390">
            <v>671</v>
          </cell>
          <cell r="L390">
            <v>702.5</v>
          </cell>
          <cell r="M390">
            <v>698.5</v>
          </cell>
        </row>
        <row r="391">
          <cell r="A391" t="str">
            <v>YPFD</v>
          </cell>
          <cell r="B391" t="str">
            <v>YPFDARS</v>
          </cell>
          <cell r="C391">
            <v>0</v>
          </cell>
          <cell r="D391">
            <v>0</v>
          </cell>
          <cell r="E391">
            <v>8005</v>
          </cell>
          <cell r="F391">
            <v>8050</v>
          </cell>
          <cell r="G391">
            <v>8225</v>
          </cell>
          <cell r="H391">
            <v>8245</v>
          </cell>
          <cell r="I391">
            <v>7980</v>
          </cell>
          <cell r="J391">
            <v>8045</v>
          </cell>
          <cell r="K391">
            <v>8065</v>
          </cell>
          <cell r="L391">
            <v>8330</v>
          </cell>
          <cell r="M391">
            <v>8460</v>
          </cell>
        </row>
        <row r="392">
          <cell r="A392" t="str">
            <v>PAMP</v>
          </cell>
          <cell r="B392" t="str">
            <v>PAMPARS</v>
          </cell>
          <cell r="C392">
            <v>0</v>
          </cell>
          <cell r="D392">
            <v>0</v>
          </cell>
          <cell r="E392">
            <v>4942.5</v>
          </cell>
          <cell r="F392">
            <v>4972.5</v>
          </cell>
          <cell r="G392">
            <v>5130</v>
          </cell>
          <cell r="H392">
            <v>5265</v>
          </cell>
          <cell r="I392">
            <v>5150</v>
          </cell>
          <cell r="J392">
            <v>5190</v>
          </cell>
          <cell r="K392">
            <v>5190</v>
          </cell>
          <cell r="L392">
            <v>5235</v>
          </cell>
          <cell r="M392">
            <v>5220</v>
          </cell>
        </row>
        <row r="393">
          <cell r="A393" t="str">
            <v>BBAR</v>
          </cell>
          <cell r="B393" t="str">
            <v>BBARARS</v>
          </cell>
          <cell r="C393">
            <v>0</v>
          </cell>
          <cell r="D393">
            <v>0</v>
          </cell>
          <cell r="E393">
            <v>6750</v>
          </cell>
          <cell r="F393">
            <v>6750</v>
          </cell>
          <cell r="G393">
            <v>7130</v>
          </cell>
          <cell r="H393">
            <v>7325</v>
          </cell>
          <cell r="I393">
            <v>6975</v>
          </cell>
          <cell r="J393">
            <v>6820</v>
          </cell>
          <cell r="K393">
            <v>6800</v>
          </cell>
          <cell r="L393">
            <v>6965</v>
          </cell>
          <cell r="M393">
            <v>6760</v>
          </cell>
        </row>
        <row r="394">
          <cell r="A394" t="str">
            <v>ALUA</v>
          </cell>
          <cell r="B394" t="str">
            <v>ALUAARS</v>
          </cell>
          <cell r="C394">
            <v>0</v>
          </cell>
          <cell r="D394">
            <v>0</v>
          </cell>
          <cell r="E394">
            <v>812</v>
          </cell>
          <cell r="F394">
            <v>817</v>
          </cell>
          <cell r="G394">
            <v>830</v>
          </cell>
          <cell r="H394">
            <v>813.5</v>
          </cell>
          <cell r="I394">
            <v>808</v>
          </cell>
          <cell r="J394">
            <v>812</v>
          </cell>
          <cell r="K394">
            <v>839.5</v>
          </cell>
          <cell r="L394">
            <v>849.5</v>
          </cell>
          <cell r="M394">
            <v>830</v>
          </cell>
        </row>
        <row r="395">
          <cell r="A395" t="str">
            <v>LOMA</v>
          </cell>
          <cell r="B395" t="str">
            <v>LOMAARS</v>
          </cell>
          <cell r="C395">
            <v>0</v>
          </cell>
          <cell r="D395">
            <v>0</v>
          </cell>
          <cell r="E395">
            <v>2925</v>
          </cell>
          <cell r="F395">
            <v>2980</v>
          </cell>
          <cell r="G395">
            <v>3127.5</v>
          </cell>
          <cell r="H395">
            <v>3135</v>
          </cell>
          <cell r="I395">
            <v>3067.5</v>
          </cell>
          <cell r="J395">
            <v>3220</v>
          </cell>
          <cell r="K395">
            <v>3257.5</v>
          </cell>
          <cell r="L395">
            <v>3222.5</v>
          </cell>
          <cell r="M395">
            <v>3215</v>
          </cell>
        </row>
        <row r="396">
          <cell r="A396" t="str">
            <v>CEPU</v>
          </cell>
          <cell r="B396" t="str">
            <v>CEPUARS</v>
          </cell>
          <cell r="C396">
            <v>0</v>
          </cell>
          <cell r="D396">
            <v>0</v>
          </cell>
          <cell r="E396">
            <v>1913</v>
          </cell>
          <cell r="F396">
            <v>1893</v>
          </cell>
          <cell r="G396">
            <v>1987</v>
          </cell>
          <cell r="H396">
            <v>2049</v>
          </cell>
          <cell r="I396">
            <v>2016</v>
          </cell>
          <cell r="J396">
            <v>2033</v>
          </cell>
          <cell r="K396">
            <v>2034</v>
          </cell>
          <cell r="L396">
            <v>2119</v>
          </cell>
          <cell r="M396">
            <v>2056</v>
          </cell>
        </row>
        <row r="397">
          <cell r="A397" t="str">
            <v>BYMA</v>
          </cell>
          <cell r="B397" t="str">
            <v>BYMAARS</v>
          </cell>
          <cell r="C397">
            <v>0</v>
          </cell>
          <cell r="D397">
            <v>0</v>
          </cell>
          <cell r="E397">
            <v>242.5</v>
          </cell>
          <cell r="F397">
            <v>251.5</v>
          </cell>
          <cell r="G397">
            <v>257</v>
          </cell>
          <cell r="H397">
            <v>261.25</v>
          </cell>
          <cell r="I397">
            <v>258</v>
          </cell>
          <cell r="J397">
            <v>254</v>
          </cell>
          <cell r="K397">
            <v>255.25</v>
          </cell>
          <cell r="L397">
            <v>257.75</v>
          </cell>
          <cell r="M397">
            <v>256.75</v>
          </cell>
        </row>
        <row r="398">
          <cell r="A398" t="str">
            <v>SUPV</v>
          </cell>
          <cell r="B398" t="str">
            <v>SUPVARS</v>
          </cell>
          <cell r="C398">
            <v>0</v>
          </cell>
          <cell r="D398">
            <v>0</v>
          </cell>
          <cell r="E398">
            <v>2235</v>
          </cell>
          <cell r="F398">
            <v>2249</v>
          </cell>
          <cell r="G398">
            <v>2369</v>
          </cell>
          <cell r="H398">
            <v>2412</v>
          </cell>
          <cell r="I398">
            <v>2316</v>
          </cell>
          <cell r="J398">
            <v>2305</v>
          </cell>
          <cell r="K398">
            <v>2314</v>
          </cell>
          <cell r="L398">
            <v>2331</v>
          </cell>
          <cell r="M398">
            <v>2273</v>
          </cell>
        </row>
        <row r="399">
          <cell r="A399" t="str">
            <v>TGNO4</v>
          </cell>
          <cell r="B399" t="str">
            <v>TGNO4ARS</v>
          </cell>
          <cell r="C399">
            <v>0</v>
          </cell>
          <cell r="D399">
            <v>0</v>
          </cell>
          <cell r="E399">
            <v>3252.5</v>
          </cell>
          <cell r="F399">
            <v>3285</v>
          </cell>
          <cell r="G399">
            <v>3372.5</v>
          </cell>
          <cell r="H399">
            <v>3340</v>
          </cell>
          <cell r="I399">
            <v>3315</v>
          </cell>
          <cell r="J399">
            <v>3312.5</v>
          </cell>
          <cell r="K399">
            <v>3297.5</v>
          </cell>
          <cell r="L399">
            <v>3252.5</v>
          </cell>
          <cell r="M399">
            <v>3195</v>
          </cell>
        </row>
        <row r="400">
          <cell r="A400" t="str">
            <v>CRES</v>
          </cell>
          <cell r="B400" t="str">
            <v>CRESARS</v>
          </cell>
          <cell r="C400">
            <v>0</v>
          </cell>
          <cell r="D400">
            <v>0</v>
          </cell>
          <cell r="E400">
            <v>1841</v>
          </cell>
          <cell r="F400">
            <v>1829</v>
          </cell>
          <cell r="G400">
            <v>1907</v>
          </cell>
          <cell r="H400">
            <v>1952</v>
          </cell>
          <cell r="I400">
            <v>1873</v>
          </cell>
          <cell r="J400">
            <v>1873</v>
          </cell>
          <cell r="K400">
            <v>1837</v>
          </cell>
          <cell r="L400">
            <v>1851</v>
          </cell>
          <cell r="M400">
            <v>1793</v>
          </cell>
        </row>
        <row r="401">
          <cell r="A401" t="str">
            <v>TECO2</v>
          </cell>
          <cell r="B401" t="str">
            <v>TECO2ARS</v>
          </cell>
          <cell r="C401">
            <v>0</v>
          </cell>
          <cell r="D401">
            <v>0</v>
          </cell>
          <cell r="E401">
            <v>3802.5</v>
          </cell>
          <cell r="F401">
            <v>3832.5</v>
          </cell>
          <cell r="G401">
            <v>4032.5</v>
          </cell>
          <cell r="H401">
            <v>4075</v>
          </cell>
          <cell r="I401">
            <v>4077.5</v>
          </cell>
          <cell r="J401">
            <v>4142.5</v>
          </cell>
          <cell r="K401">
            <v>3990</v>
          </cell>
          <cell r="L401">
            <v>3977.5</v>
          </cell>
          <cell r="M401">
            <v>4017.5</v>
          </cell>
        </row>
        <row r="402">
          <cell r="A402" t="str">
            <v>VALO</v>
          </cell>
          <cell r="B402" t="str">
            <v>VALOARS</v>
          </cell>
          <cell r="C402">
            <v>0</v>
          </cell>
          <cell r="D402">
            <v>0</v>
          </cell>
          <cell r="E402">
            <v>534.5</v>
          </cell>
          <cell r="F402">
            <v>535.5</v>
          </cell>
          <cell r="G402">
            <v>541</v>
          </cell>
          <cell r="H402">
            <v>545</v>
          </cell>
          <cell r="I402">
            <v>543.5</v>
          </cell>
          <cell r="J402">
            <v>540</v>
          </cell>
          <cell r="K402">
            <v>540.5</v>
          </cell>
          <cell r="L402">
            <v>540.5</v>
          </cell>
          <cell r="M402">
            <v>529.5</v>
          </cell>
        </row>
        <row r="403">
          <cell r="A403" t="str">
            <v>TGSU2</v>
          </cell>
          <cell r="B403" t="str">
            <v>TGSU2ARS</v>
          </cell>
          <cell r="C403">
            <v>0</v>
          </cell>
          <cell r="D403">
            <v>0</v>
          </cell>
          <cell r="E403">
            <v>8120</v>
          </cell>
          <cell r="F403">
            <v>8105</v>
          </cell>
          <cell r="G403">
            <v>8580</v>
          </cell>
          <cell r="H403">
            <v>8715</v>
          </cell>
          <cell r="I403">
            <v>8475</v>
          </cell>
          <cell r="J403">
            <v>8490</v>
          </cell>
          <cell r="K403">
            <v>8340</v>
          </cell>
          <cell r="L403">
            <v>8415</v>
          </cell>
          <cell r="M403">
            <v>8395</v>
          </cell>
        </row>
        <row r="404">
          <cell r="A404" t="str">
            <v>AUSO</v>
          </cell>
          <cell r="B404" t="str">
            <v>AUSOARS</v>
          </cell>
          <cell r="C404">
            <v>0</v>
          </cell>
          <cell r="D404">
            <v>0</v>
          </cell>
          <cell r="E404">
            <v>2810</v>
          </cell>
          <cell r="F404">
            <v>2875</v>
          </cell>
          <cell r="G404">
            <v>2930</v>
          </cell>
          <cell r="H404">
            <v>2950</v>
          </cell>
          <cell r="I404">
            <v>2890</v>
          </cell>
          <cell r="J404">
            <v>2915</v>
          </cell>
          <cell r="K404">
            <v>2980</v>
          </cell>
          <cell r="L404">
            <v>2900</v>
          </cell>
          <cell r="M404">
            <v>2855</v>
          </cell>
        </row>
        <row r="405">
          <cell r="A405" t="str">
            <v>METR</v>
          </cell>
          <cell r="B405" t="str">
            <v>METRARS</v>
          </cell>
          <cell r="C405">
            <v>0</v>
          </cell>
          <cell r="D405">
            <v>0</v>
          </cell>
          <cell r="E405">
            <v>2280</v>
          </cell>
          <cell r="F405">
            <v>2287</v>
          </cell>
          <cell r="G405">
            <v>2327</v>
          </cell>
          <cell r="H405">
            <v>2296</v>
          </cell>
          <cell r="I405">
            <v>2372</v>
          </cell>
          <cell r="J405">
            <v>2409</v>
          </cell>
          <cell r="K405">
            <v>2379</v>
          </cell>
          <cell r="L405">
            <v>2358</v>
          </cell>
          <cell r="M405">
            <v>2335</v>
          </cell>
        </row>
        <row r="406">
          <cell r="A406" t="str">
            <v>ECOG</v>
          </cell>
          <cell r="B406" t="str">
            <v>ECOGARS</v>
          </cell>
          <cell r="C406">
            <v>0</v>
          </cell>
          <cell r="D406">
            <v>0</v>
          </cell>
          <cell r="E406">
            <v>2420</v>
          </cell>
          <cell r="F406">
            <v>2429</v>
          </cell>
          <cell r="G406">
            <v>2510</v>
          </cell>
          <cell r="H406">
            <v>2522.5</v>
          </cell>
          <cell r="I406">
            <v>2485</v>
          </cell>
          <cell r="J406">
            <v>2448</v>
          </cell>
          <cell r="K406">
            <v>2482</v>
          </cell>
          <cell r="L406">
            <v>2433</v>
          </cell>
          <cell r="M406">
            <v>2391</v>
          </cell>
        </row>
        <row r="407">
          <cell r="A407" t="str">
            <v>COME</v>
          </cell>
          <cell r="B407" t="str">
            <v>COMEARS</v>
          </cell>
          <cell r="C407">
            <v>0</v>
          </cell>
          <cell r="D407">
            <v>0</v>
          </cell>
          <cell r="E407">
            <v>38.93</v>
          </cell>
          <cell r="F407">
            <v>38.96</v>
          </cell>
          <cell r="G407">
            <v>39.99</v>
          </cell>
          <cell r="H407">
            <v>39.79</v>
          </cell>
          <cell r="I407">
            <v>38.92</v>
          </cell>
          <cell r="J407">
            <v>39.03</v>
          </cell>
          <cell r="K407">
            <v>39.01</v>
          </cell>
          <cell r="L407">
            <v>39.07</v>
          </cell>
          <cell r="M407">
            <v>38.43</v>
          </cell>
        </row>
        <row r="408">
          <cell r="A408" t="str">
            <v>MIRG</v>
          </cell>
          <cell r="B408" t="str">
            <v>MIRGARS</v>
          </cell>
          <cell r="C408">
            <v>0</v>
          </cell>
          <cell r="D408">
            <v>0</v>
          </cell>
          <cell r="E408">
            <v>1675</v>
          </cell>
          <cell r="F408">
            <v>1720</v>
          </cell>
          <cell r="G408">
            <v>1725</v>
          </cell>
          <cell r="H408">
            <v>1765</v>
          </cell>
          <cell r="I408">
            <v>1835</v>
          </cell>
          <cell r="J408">
            <v>1805</v>
          </cell>
          <cell r="K408">
            <v>1770</v>
          </cell>
          <cell r="L408">
            <v>1740</v>
          </cell>
          <cell r="M408">
            <v>1745</v>
          </cell>
        </row>
        <row r="409">
          <cell r="A409" t="str">
            <v>CVH</v>
          </cell>
          <cell r="B409" t="str">
            <v>CVHARS</v>
          </cell>
          <cell r="C409">
            <v>0</v>
          </cell>
          <cell r="D409">
            <v>0</v>
          </cell>
          <cell r="E409">
            <v>9260</v>
          </cell>
          <cell r="F409">
            <v>9260</v>
          </cell>
          <cell r="G409">
            <v>9310</v>
          </cell>
          <cell r="H409">
            <v>9250</v>
          </cell>
          <cell r="I409">
            <v>9210</v>
          </cell>
          <cell r="J409">
            <v>9300</v>
          </cell>
          <cell r="K409">
            <v>9290</v>
          </cell>
          <cell r="L409">
            <v>9260</v>
          </cell>
          <cell r="M409">
            <v>9250</v>
          </cell>
        </row>
        <row r="410">
          <cell r="A410" t="str">
            <v>TRAN</v>
          </cell>
          <cell r="B410" t="str">
            <v>TRANARS</v>
          </cell>
          <cell r="C410">
            <v>0</v>
          </cell>
          <cell r="D410">
            <v>0</v>
          </cell>
          <cell r="E410">
            <v>3007.5</v>
          </cell>
          <cell r="F410">
            <v>2967.5</v>
          </cell>
          <cell r="G410">
            <v>2927.5</v>
          </cell>
          <cell r="H410">
            <v>2842.5</v>
          </cell>
          <cell r="I410">
            <v>2742.5</v>
          </cell>
          <cell r="J410">
            <v>2770</v>
          </cell>
          <cell r="K410">
            <v>2777.5</v>
          </cell>
          <cell r="L410">
            <v>2705</v>
          </cell>
          <cell r="M410">
            <v>2682.5</v>
          </cell>
        </row>
        <row r="411">
          <cell r="A411" t="str">
            <v>HARG</v>
          </cell>
          <cell r="B411" t="str">
            <v>HARGARS</v>
          </cell>
          <cell r="C411">
            <v>0</v>
          </cell>
          <cell r="D411">
            <v>0</v>
          </cell>
          <cell r="E411">
            <v>1250</v>
          </cell>
          <cell r="F411">
            <v>1270</v>
          </cell>
          <cell r="G411">
            <v>1305</v>
          </cell>
          <cell r="H411">
            <v>1350</v>
          </cell>
          <cell r="I411">
            <v>1315</v>
          </cell>
          <cell r="J411">
            <v>1335</v>
          </cell>
          <cell r="K411">
            <v>1335</v>
          </cell>
          <cell r="L411">
            <v>1330</v>
          </cell>
          <cell r="M411">
            <v>1340</v>
          </cell>
        </row>
        <row r="412">
          <cell r="A412" t="str">
            <v>EDN</v>
          </cell>
          <cell r="B412" t="str">
            <v>EDNARS</v>
          </cell>
          <cell r="C412">
            <v>0</v>
          </cell>
          <cell r="D412">
            <v>0</v>
          </cell>
          <cell r="E412">
            <v>1629</v>
          </cell>
          <cell r="F412">
            <v>1616</v>
          </cell>
          <cell r="G412">
            <v>1683</v>
          </cell>
          <cell r="H412">
            <v>1667</v>
          </cell>
          <cell r="I412">
            <v>1635</v>
          </cell>
          <cell r="J412">
            <v>1622</v>
          </cell>
          <cell r="K412">
            <v>1627</v>
          </cell>
          <cell r="L412">
            <v>1653</v>
          </cell>
          <cell r="M412">
            <v>1660</v>
          </cell>
        </row>
        <row r="413">
          <cell r="A413" t="str">
            <v>MASU</v>
          </cell>
          <cell r="B413" t="str">
            <v>MASUARS</v>
          </cell>
          <cell r="C413">
            <v>0</v>
          </cell>
          <cell r="D413">
            <v>0</v>
          </cell>
          <cell r="E413">
            <v>0.01</v>
          </cell>
          <cell r="F413">
            <v>0.01</v>
          </cell>
          <cell r="G413">
            <v>0.01</v>
          </cell>
          <cell r="H413">
            <v>0.01</v>
          </cell>
          <cell r="I413">
            <v>0.01</v>
          </cell>
          <cell r="J413">
            <v>0.01</v>
          </cell>
          <cell r="K413">
            <v>0.01</v>
          </cell>
          <cell r="L413">
            <v>0.01</v>
          </cell>
          <cell r="M413">
            <v>0.01</v>
          </cell>
        </row>
        <row r="414">
          <cell r="A414" t="str">
            <v>INVJ</v>
          </cell>
          <cell r="B414" t="str">
            <v>INVJARS</v>
          </cell>
          <cell r="C414">
            <v>0</v>
          </cell>
          <cell r="D414">
            <v>0</v>
          </cell>
          <cell r="E414">
            <v>383</v>
          </cell>
          <cell r="F414">
            <v>383.5</v>
          </cell>
          <cell r="G414">
            <v>390.5</v>
          </cell>
          <cell r="H414">
            <v>400</v>
          </cell>
          <cell r="I414">
            <v>396</v>
          </cell>
          <cell r="J414">
            <v>402</v>
          </cell>
          <cell r="K414">
            <v>394.5</v>
          </cell>
          <cell r="L414">
            <v>389.5</v>
          </cell>
          <cell r="M414">
            <v>388</v>
          </cell>
        </row>
        <row r="415">
          <cell r="A415" t="str">
            <v>IRSA</v>
          </cell>
          <cell r="B415" t="str">
            <v>IRSAARS</v>
          </cell>
          <cell r="C415">
            <v>0</v>
          </cell>
          <cell r="D415">
            <v>0</v>
          </cell>
          <cell r="E415">
            <v>2140</v>
          </cell>
          <cell r="F415">
            <v>2175</v>
          </cell>
          <cell r="G415">
            <v>2255</v>
          </cell>
          <cell r="H415">
            <v>2305</v>
          </cell>
          <cell r="I415">
            <v>2270</v>
          </cell>
          <cell r="J415">
            <v>2230</v>
          </cell>
          <cell r="K415">
            <v>2205</v>
          </cell>
          <cell r="L415">
            <v>2290</v>
          </cell>
          <cell r="M415">
            <v>2225</v>
          </cell>
        </row>
        <row r="416">
          <cell r="A416" t="str">
            <v>DGCE</v>
          </cell>
          <cell r="B416" t="str">
            <v>DGCEARS</v>
          </cell>
          <cell r="C416">
            <v>0</v>
          </cell>
          <cell r="D416">
            <v>0</v>
          </cell>
          <cell r="E416">
            <v>1850</v>
          </cell>
          <cell r="F416">
            <v>1850</v>
          </cell>
          <cell r="G416">
            <v>1850</v>
          </cell>
          <cell r="H416">
            <v>1850</v>
          </cell>
          <cell r="I416">
            <v>1850</v>
          </cell>
          <cell r="J416">
            <v>1850</v>
          </cell>
          <cell r="K416">
            <v>1850</v>
          </cell>
          <cell r="L416">
            <v>1850</v>
          </cell>
          <cell r="M416">
            <v>1850</v>
          </cell>
        </row>
        <row r="417">
          <cell r="A417" t="str">
            <v>BHIP</v>
          </cell>
          <cell r="B417" t="str">
            <v>BHIPARS</v>
          </cell>
          <cell r="C417">
            <v>0</v>
          </cell>
          <cell r="D417">
            <v>0</v>
          </cell>
          <cell r="E417">
            <v>257.5</v>
          </cell>
          <cell r="F417">
            <v>260.5</v>
          </cell>
          <cell r="G417">
            <v>267.5</v>
          </cell>
          <cell r="H417">
            <v>265</v>
          </cell>
          <cell r="I417">
            <v>258</v>
          </cell>
          <cell r="J417">
            <v>254</v>
          </cell>
          <cell r="K417">
            <v>255</v>
          </cell>
          <cell r="L417">
            <v>259</v>
          </cell>
          <cell r="M417">
            <v>251</v>
          </cell>
        </row>
        <row r="418">
          <cell r="A418"/>
          <cell r="B418"/>
          <cell r="C418"/>
          <cell r="D418"/>
        </row>
        <row r="419">
          <cell r="A419" t="str">
            <v>Cedears en pesos</v>
          </cell>
          <cell r="B419"/>
          <cell r="C419"/>
          <cell r="D419"/>
        </row>
        <row r="420">
          <cell r="A420"/>
          <cell r="B420"/>
          <cell r="C420"/>
          <cell r="D420"/>
        </row>
        <row r="421">
          <cell r="A421" t="str">
            <v>MELI</v>
          </cell>
          <cell r="B421" t="str">
            <v>MELIARS</v>
          </cell>
          <cell r="C421">
            <v>0</v>
          </cell>
          <cell r="D421">
            <v>0</v>
          </cell>
          <cell r="E421">
            <v>22840</v>
          </cell>
          <cell r="F421">
            <v>22990</v>
          </cell>
          <cell r="G421">
            <v>24920</v>
          </cell>
          <cell r="H421">
            <v>24880</v>
          </cell>
          <cell r="I421">
            <v>25120</v>
          </cell>
          <cell r="J421">
            <v>24910</v>
          </cell>
          <cell r="K421">
            <v>25360</v>
          </cell>
          <cell r="L421">
            <v>25220</v>
          </cell>
          <cell r="M421">
            <v>24690</v>
          </cell>
        </row>
        <row r="422">
          <cell r="A422" t="str">
            <v>NU</v>
          </cell>
          <cell r="B422" t="str">
            <v>NUARS</v>
          </cell>
          <cell r="C422">
            <v>0</v>
          </cell>
          <cell r="D422">
            <v>0</v>
          </cell>
          <cell r="E422">
            <v>10770</v>
          </cell>
          <cell r="F422">
            <v>10900</v>
          </cell>
          <cell r="G422">
            <v>12210</v>
          </cell>
          <cell r="H422">
            <v>12580</v>
          </cell>
          <cell r="I422">
            <v>12530</v>
          </cell>
          <cell r="J422">
            <v>12380</v>
          </cell>
          <cell r="K422">
            <v>12960</v>
          </cell>
          <cell r="L422">
            <v>12550</v>
          </cell>
          <cell r="M422">
            <v>11990</v>
          </cell>
        </row>
        <row r="423">
          <cell r="A423" t="str">
            <v>VALE</v>
          </cell>
          <cell r="B423" t="str">
            <v>VALEARS</v>
          </cell>
          <cell r="C423">
            <v>0</v>
          </cell>
          <cell r="D423">
            <v>0</v>
          </cell>
          <cell r="E423">
            <v>10960</v>
          </cell>
          <cell r="F423">
            <v>11160</v>
          </cell>
          <cell r="G423">
            <v>11410</v>
          </cell>
          <cell r="H423">
            <v>11390</v>
          </cell>
          <cell r="I423">
            <v>11000</v>
          </cell>
          <cell r="J423">
            <v>10850</v>
          </cell>
          <cell r="K423">
            <v>11010</v>
          </cell>
          <cell r="L423">
            <v>10800</v>
          </cell>
          <cell r="M423">
            <v>10710</v>
          </cell>
        </row>
        <row r="424">
          <cell r="A424" t="str">
            <v>BBDC3</v>
          </cell>
          <cell r="B424" t="str">
            <v>BBDC3ARS</v>
          </cell>
          <cell r="C424">
            <v>0</v>
          </cell>
          <cell r="D424">
            <v>0</v>
          </cell>
          <cell r="E424">
            <v>5130</v>
          </cell>
          <cell r="F424">
            <v>5210</v>
          </cell>
          <cell r="G424">
            <v>6190</v>
          </cell>
          <cell r="H424">
            <v>6110</v>
          </cell>
          <cell r="I424">
            <v>6085</v>
          </cell>
          <cell r="J424">
            <v>6050</v>
          </cell>
          <cell r="K424">
            <v>6305</v>
          </cell>
          <cell r="L424">
            <v>6100</v>
          </cell>
          <cell r="M424">
            <v>6100</v>
          </cell>
        </row>
        <row r="425">
          <cell r="A425" t="str">
            <v>VALE3</v>
          </cell>
          <cell r="B425" t="str">
            <v>VALE3ARS</v>
          </cell>
          <cell r="C425">
            <v>0</v>
          </cell>
          <cell r="D425">
            <v>0</v>
          </cell>
          <cell r="E425">
            <v>21740</v>
          </cell>
          <cell r="F425">
            <v>22430</v>
          </cell>
          <cell r="G425">
            <v>23200</v>
          </cell>
          <cell r="H425">
            <v>23070</v>
          </cell>
          <cell r="I425">
            <v>22150</v>
          </cell>
          <cell r="J425">
            <v>21720</v>
          </cell>
          <cell r="K425">
            <v>21850</v>
          </cell>
          <cell r="L425">
            <v>21610</v>
          </cell>
          <cell r="M425">
            <v>21350</v>
          </cell>
        </row>
        <row r="426">
          <cell r="A426" t="str">
            <v>ITUB3</v>
          </cell>
          <cell r="B426" t="str">
            <v>ITUB3ARS</v>
          </cell>
          <cell r="C426">
            <v>0</v>
          </cell>
          <cell r="D426">
            <v>0</v>
          </cell>
          <cell r="E426">
            <v>15390</v>
          </cell>
          <cell r="F426">
            <v>16370</v>
          </cell>
          <cell r="G426">
            <v>17420</v>
          </cell>
          <cell r="H426">
            <v>17860</v>
          </cell>
          <cell r="I426">
            <v>16480</v>
          </cell>
          <cell r="J426">
            <v>17090</v>
          </cell>
          <cell r="K426">
            <v>17420</v>
          </cell>
          <cell r="L426">
            <v>17400</v>
          </cell>
          <cell r="M426">
            <v>17070</v>
          </cell>
        </row>
        <row r="427">
          <cell r="A427" t="str">
            <v>PETR3</v>
          </cell>
          <cell r="B427" t="str">
            <v>PETR3ARS</v>
          </cell>
          <cell r="C427">
            <v>0</v>
          </cell>
          <cell r="D427">
            <v>0</v>
          </cell>
          <cell r="E427">
            <v>17150</v>
          </cell>
          <cell r="F427">
            <v>17520</v>
          </cell>
          <cell r="G427">
            <v>19450</v>
          </cell>
          <cell r="H427">
            <v>19330</v>
          </cell>
          <cell r="I427">
            <v>19390</v>
          </cell>
          <cell r="J427">
            <v>19990</v>
          </cell>
          <cell r="K427">
            <v>20700</v>
          </cell>
          <cell r="L427">
            <v>20480</v>
          </cell>
          <cell r="M427">
            <v>20890</v>
          </cell>
        </row>
        <row r="428">
          <cell r="A428" t="str">
            <v>SUZB3</v>
          </cell>
          <cell r="B428" t="str">
            <v>SUZB3ARS</v>
          </cell>
          <cell r="C428">
            <v>0</v>
          </cell>
          <cell r="D428">
            <v>0</v>
          </cell>
          <cell r="E428">
            <v>13930</v>
          </cell>
          <cell r="F428">
            <v>13820</v>
          </cell>
          <cell r="G428">
            <v>13450</v>
          </cell>
          <cell r="H428">
            <v>13500</v>
          </cell>
          <cell r="I428">
            <v>13500</v>
          </cell>
          <cell r="J428">
            <v>13500</v>
          </cell>
          <cell r="K428">
            <v>13660</v>
          </cell>
          <cell r="L428">
            <v>13950</v>
          </cell>
          <cell r="M428">
            <v>13830</v>
          </cell>
        </row>
        <row r="429">
          <cell r="A429" t="str">
            <v>SBSP3</v>
          </cell>
          <cell r="B429" t="str">
            <v>SBSP3ARS</v>
          </cell>
          <cell r="C429">
            <v>0</v>
          </cell>
          <cell r="D429">
            <v>0</v>
          </cell>
          <cell r="E429">
            <v>8445</v>
          </cell>
          <cell r="F429">
            <v>8790</v>
          </cell>
          <cell r="G429">
            <v>10100</v>
          </cell>
          <cell r="H429">
            <v>10240</v>
          </cell>
          <cell r="I429">
            <v>10390</v>
          </cell>
          <cell r="J429">
            <v>10390</v>
          </cell>
          <cell r="K429">
            <v>10970</v>
          </cell>
          <cell r="L429">
            <v>10520</v>
          </cell>
          <cell r="M429">
            <v>10540</v>
          </cell>
        </row>
        <row r="430">
          <cell r="A430" t="str">
            <v>ABEV3</v>
          </cell>
          <cell r="B430" t="str">
            <v>ABEV3ARS</v>
          </cell>
          <cell r="C430">
            <v>0</v>
          </cell>
          <cell r="D430">
            <v>0</v>
          </cell>
          <cell r="E430">
            <v>4702.5</v>
          </cell>
          <cell r="F430">
            <v>4810</v>
          </cell>
          <cell r="G430">
            <v>5270</v>
          </cell>
          <cell r="H430">
            <v>5300</v>
          </cell>
          <cell r="I430">
            <v>5130</v>
          </cell>
          <cell r="J430">
            <v>5115</v>
          </cell>
          <cell r="K430">
            <v>5105</v>
          </cell>
          <cell r="L430">
            <v>5175</v>
          </cell>
          <cell r="M430">
            <v>5320</v>
          </cell>
        </row>
        <row r="431">
          <cell r="A431" t="str">
            <v>MSFT</v>
          </cell>
          <cell r="B431" t="str">
            <v>MSFTARS</v>
          </cell>
          <cell r="C431">
            <v>0</v>
          </cell>
          <cell r="D431">
            <v>0</v>
          </cell>
          <cell r="E431">
            <v>27820</v>
          </cell>
          <cell r="F431">
            <v>27960</v>
          </cell>
          <cell r="G431">
            <v>28120</v>
          </cell>
          <cell r="H431">
            <v>28460</v>
          </cell>
          <cell r="I431">
            <v>28440</v>
          </cell>
          <cell r="J431">
            <v>28100</v>
          </cell>
          <cell r="K431">
            <v>28780</v>
          </cell>
          <cell r="L431">
            <v>29200</v>
          </cell>
          <cell r="M431">
            <v>28700</v>
          </cell>
        </row>
        <row r="432">
          <cell r="A432" t="str">
            <v>GOOGL</v>
          </cell>
          <cell r="B432" t="str">
            <v>GOOGLARS</v>
          </cell>
          <cell r="C432">
            <v>0</v>
          </cell>
          <cell r="D432">
            <v>0</v>
          </cell>
          <cell r="E432">
            <v>9495</v>
          </cell>
          <cell r="F432">
            <v>9635</v>
          </cell>
          <cell r="G432">
            <v>9610</v>
          </cell>
          <cell r="H432">
            <v>9675</v>
          </cell>
          <cell r="I432">
            <v>9760</v>
          </cell>
          <cell r="J432">
            <v>9700</v>
          </cell>
          <cell r="K432">
            <v>9810</v>
          </cell>
          <cell r="L432">
            <v>9870</v>
          </cell>
          <cell r="M432">
            <v>9715</v>
          </cell>
        </row>
        <row r="433">
          <cell r="A433" t="str">
            <v>META</v>
          </cell>
          <cell r="B433" t="str">
            <v>METAARS</v>
          </cell>
          <cell r="C433">
            <v>0</v>
          </cell>
          <cell r="D433">
            <v>0</v>
          </cell>
          <cell r="E433">
            <v>49100</v>
          </cell>
          <cell r="F433">
            <v>49220</v>
          </cell>
          <cell r="G433">
            <v>49660</v>
          </cell>
          <cell r="H433">
            <v>49700</v>
          </cell>
          <cell r="I433">
            <v>48440</v>
          </cell>
          <cell r="J433">
            <v>48400</v>
          </cell>
          <cell r="K433">
            <v>48400</v>
          </cell>
          <cell r="L433">
            <v>51250</v>
          </cell>
          <cell r="M433">
            <v>49680</v>
          </cell>
        </row>
        <row r="434">
          <cell r="A434" t="str">
            <v>ITUB</v>
          </cell>
          <cell r="B434" t="str">
            <v>ITUBARS</v>
          </cell>
          <cell r="C434">
            <v>0</v>
          </cell>
          <cell r="D434">
            <v>0</v>
          </cell>
          <cell r="E434">
            <v>13660</v>
          </cell>
          <cell r="F434">
            <v>13930</v>
          </cell>
          <cell r="G434">
            <v>15940</v>
          </cell>
          <cell r="H434">
            <v>16390</v>
          </cell>
          <cell r="I434">
            <v>15630</v>
          </cell>
          <cell r="J434">
            <v>15900</v>
          </cell>
          <cell r="K434">
            <v>16460</v>
          </cell>
          <cell r="L434">
            <v>15980</v>
          </cell>
          <cell r="M434">
            <v>15640</v>
          </cell>
        </row>
        <row r="435">
          <cell r="A435" t="str">
            <v>SMH</v>
          </cell>
          <cell r="B435" t="str">
            <v>SMHARS</v>
          </cell>
          <cell r="C435">
            <v>0</v>
          </cell>
          <cell r="D435">
            <v>0</v>
          </cell>
          <cell r="F435">
            <v>20490</v>
          </cell>
          <cell r="G435">
            <v>20390</v>
          </cell>
          <cell r="H435">
            <v>20380</v>
          </cell>
          <cell r="I435">
            <v>20160</v>
          </cell>
          <cell r="J435">
            <v>19560</v>
          </cell>
          <cell r="K435">
            <v>19480</v>
          </cell>
          <cell r="L435">
            <v>18930</v>
          </cell>
          <cell r="M435">
            <v>18320</v>
          </cell>
        </row>
        <row r="436">
          <cell r="A436" t="str">
            <v>PBR</v>
          </cell>
          <cell r="B436" t="str">
            <v>PBRARS</v>
          </cell>
          <cell r="C436">
            <v>0</v>
          </cell>
          <cell r="D436">
            <v>0</v>
          </cell>
          <cell r="E436">
            <v>34160</v>
          </cell>
          <cell r="F436">
            <v>35140</v>
          </cell>
          <cell r="G436">
            <v>38780</v>
          </cell>
          <cell r="H436">
            <v>38300</v>
          </cell>
          <cell r="I436">
            <v>38680</v>
          </cell>
          <cell r="J436">
            <v>39860</v>
          </cell>
          <cell r="K436">
            <v>40800</v>
          </cell>
          <cell r="L436">
            <v>40980</v>
          </cell>
          <cell r="M436">
            <v>41800</v>
          </cell>
        </row>
        <row r="437">
          <cell r="A437" t="str">
            <v>VIST</v>
          </cell>
          <cell r="B437" t="str">
            <v>VISTARS</v>
          </cell>
          <cell r="C437">
            <v>0</v>
          </cell>
          <cell r="D437">
            <v>0</v>
          </cell>
          <cell r="E437">
            <v>35120</v>
          </cell>
          <cell r="F437">
            <v>34820</v>
          </cell>
          <cell r="G437">
            <v>35640</v>
          </cell>
          <cell r="H437">
            <v>35520</v>
          </cell>
          <cell r="I437">
            <v>35280</v>
          </cell>
          <cell r="J437">
            <v>36220</v>
          </cell>
          <cell r="K437">
            <v>35660</v>
          </cell>
          <cell r="L437">
            <v>37120</v>
          </cell>
          <cell r="M437">
            <v>37700</v>
          </cell>
        </row>
        <row r="438">
          <cell r="A438"/>
          <cell r="B438"/>
          <cell r="C438"/>
          <cell r="D438"/>
        </row>
        <row r="439">
          <cell r="A439" t="str">
            <v>Acciones y cedears en USD</v>
          </cell>
          <cell r="B439"/>
          <cell r="C439"/>
          <cell r="D439"/>
        </row>
        <row r="440">
          <cell r="A440"/>
          <cell r="B440"/>
          <cell r="C440"/>
          <cell r="D440"/>
        </row>
        <row r="441">
          <cell r="A441" t="str">
            <v>YPFDD</v>
          </cell>
          <cell r="B441" t="str">
            <v>YPFDDARS</v>
          </cell>
          <cell r="C441">
            <v>0</v>
          </cell>
          <cell r="D441">
            <v>0</v>
          </cell>
          <cell r="E441">
            <v>5.15</v>
          </cell>
          <cell r="F441">
            <v>5.21</v>
          </cell>
          <cell r="G441">
            <v>5.34</v>
          </cell>
          <cell r="H441">
            <v>5.34</v>
          </cell>
          <cell r="I441">
            <v>5.21</v>
          </cell>
          <cell r="J441">
            <v>5.25</v>
          </cell>
          <cell r="K441">
            <v>5.23</v>
          </cell>
          <cell r="L441">
            <v>5.43</v>
          </cell>
          <cell r="M441">
            <v>5.51</v>
          </cell>
        </row>
        <row r="442">
          <cell r="A442" t="str">
            <v>VALOD</v>
          </cell>
          <cell r="B442" t="str">
            <v>VALODARS</v>
          </cell>
          <cell r="C442">
            <v>0</v>
          </cell>
          <cell r="D442">
            <v>0</v>
          </cell>
          <cell r="E442">
            <v>0.34599999999999997</v>
          </cell>
          <cell r="F442">
            <v>0.34599999999999997</v>
          </cell>
          <cell r="G442">
            <v>0.35399999999999998</v>
          </cell>
          <cell r="H442">
            <v>0.36699999999999999</v>
          </cell>
          <cell r="I442">
            <v>0.35399999999999998</v>
          </cell>
          <cell r="J442">
            <v>0.34899999999999998</v>
          </cell>
          <cell r="K442">
            <v>0.35199999999999998</v>
          </cell>
          <cell r="L442">
            <v>0.34899999999999998</v>
          </cell>
          <cell r="M442">
            <v>0.34599999999999997</v>
          </cell>
        </row>
        <row r="443">
          <cell r="A443" t="str">
            <v>LOMAD</v>
          </cell>
          <cell r="B443" t="str">
            <v>LOMADARS</v>
          </cell>
          <cell r="C443">
            <v>0</v>
          </cell>
          <cell r="D443">
            <v>0</v>
          </cell>
          <cell r="E443">
            <v>1.895</v>
          </cell>
          <cell r="F443">
            <v>1.915</v>
          </cell>
          <cell r="G443">
            <v>2.0299999999999998</v>
          </cell>
          <cell r="H443">
            <v>2.0099999999999998</v>
          </cell>
          <cell r="I443">
            <v>1.99</v>
          </cell>
          <cell r="J443">
            <v>2.08</v>
          </cell>
          <cell r="K443">
            <v>2.1150000000000002</v>
          </cell>
          <cell r="L443">
            <v>2.085</v>
          </cell>
          <cell r="M443">
            <v>2.085</v>
          </cell>
        </row>
        <row r="444">
          <cell r="A444" t="str">
            <v>PAMPD</v>
          </cell>
          <cell r="B444" t="str">
            <v>PAMPARS</v>
          </cell>
          <cell r="C444">
            <v>0</v>
          </cell>
          <cell r="D444">
            <v>0</v>
          </cell>
          <cell r="E444">
            <v>3.1949999999999998</v>
          </cell>
          <cell r="F444">
            <v>3.2149999999999999</v>
          </cell>
          <cell r="G444">
            <v>3.335</v>
          </cell>
          <cell r="H444">
            <v>3.42</v>
          </cell>
          <cell r="I444">
            <v>3.3450000000000002</v>
          </cell>
          <cell r="J444">
            <v>3.38</v>
          </cell>
          <cell r="K444">
            <v>3.34</v>
          </cell>
          <cell r="L444">
            <v>3.4</v>
          </cell>
          <cell r="M444">
            <v>3.39</v>
          </cell>
        </row>
        <row r="445">
          <cell r="A445" t="str">
            <v>EDND</v>
          </cell>
          <cell r="B445" t="str">
            <v>EDNDARS</v>
          </cell>
          <cell r="C445">
            <v>0</v>
          </cell>
          <cell r="D445">
            <v>0</v>
          </cell>
          <cell r="E445">
            <v>1.06</v>
          </cell>
          <cell r="F445">
            <v>1.05</v>
          </cell>
          <cell r="G445">
            <v>1.08</v>
          </cell>
          <cell r="H445">
            <v>1.08</v>
          </cell>
          <cell r="I445">
            <v>1.07</v>
          </cell>
          <cell r="J445">
            <v>1.0549999999999999</v>
          </cell>
          <cell r="K445">
            <v>1.06</v>
          </cell>
          <cell r="L445">
            <v>1.085</v>
          </cell>
          <cell r="M445">
            <v>1.07</v>
          </cell>
        </row>
        <row r="446">
          <cell r="A446" t="str">
            <v>BBARD</v>
          </cell>
          <cell r="B446" t="str">
            <v>BBARDARS</v>
          </cell>
          <cell r="C446">
            <v>0</v>
          </cell>
          <cell r="D446">
            <v>0</v>
          </cell>
          <cell r="E446">
            <v>4.3550000000000004</v>
          </cell>
          <cell r="F446">
            <v>4.3600000000000003</v>
          </cell>
          <cell r="G446">
            <v>4.68</v>
          </cell>
          <cell r="H446">
            <v>4.82</v>
          </cell>
          <cell r="I446">
            <v>4.54</v>
          </cell>
          <cell r="J446">
            <v>4.4349999999999996</v>
          </cell>
          <cell r="K446">
            <v>4.43</v>
          </cell>
          <cell r="L446">
            <v>4.5350000000000001</v>
          </cell>
          <cell r="M446">
            <v>4.4050000000000002</v>
          </cell>
        </row>
        <row r="447">
          <cell r="A447" t="str">
            <v>GGALD</v>
          </cell>
          <cell r="B447" t="str">
            <v>GGALDARS</v>
          </cell>
          <cell r="C447">
            <v>0</v>
          </cell>
          <cell r="D447">
            <v>0</v>
          </cell>
          <cell r="E447">
            <v>3.83</v>
          </cell>
          <cell r="F447">
            <v>3.7749999999999999</v>
          </cell>
          <cell r="G447">
            <v>4</v>
          </cell>
          <cell r="H447">
            <v>4</v>
          </cell>
          <cell r="I447">
            <v>3.9</v>
          </cell>
          <cell r="J447">
            <v>3.87</v>
          </cell>
          <cell r="K447">
            <v>3.87</v>
          </cell>
          <cell r="L447">
            <v>3.87</v>
          </cell>
          <cell r="M447">
            <v>3.75</v>
          </cell>
        </row>
        <row r="448">
          <cell r="A448" t="str">
            <v>SUPVD</v>
          </cell>
          <cell r="B448"/>
          <cell r="C448"/>
          <cell r="D448"/>
          <cell r="E448">
            <v>1.4450000000000001</v>
          </cell>
          <cell r="F448">
            <v>1.46</v>
          </cell>
          <cell r="G448">
            <v>1.56</v>
          </cell>
          <cell r="H448">
            <v>1.57</v>
          </cell>
          <cell r="I448">
            <v>1.5249999999999999</v>
          </cell>
          <cell r="J448">
            <v>1.4950000000000001</v>
          </cell>
          <cell r="K448">
            <v>1.51</v>
          </cell>
          <cell r="L448">
            <v>1.5349999999999999</v>
          </cell>
          <cell r="M448">
            <v>1.4850000000000001</v>
          </cell>
        </row>
        <row r="449">
          <cell r="A449" t="str">
            <v>VALED</v>
          </cell>
          <cell r="B449" t="str">
            <v>VALEDUSM</v>
          </cell>
          <cell r="C449">
            <v>0</v>
          </cell>
          <cell r="D449">
            <v>0</v>
          </cell>
          <cell r="E449">
            <v>7.08</v>
          </cell>
          <cell r="F449">
            <v>7.22</v>
          </cell>
          <cell r="G449">
            <v>7.42</v>
          </cell>
          <cell r="H449">
            <v>7.39</v>
          </cell>
          <cell r="I449">
            <v>7.15</v>
          </cell>
          <cell r="J449">
            <v>7.09</v>
          </cell>
          <cell r="K449">
            <v>7.17</v>
          </cell>
          <cell r="L449">
            <v>7.04</v>
          </cell>
          <cell r="M449">
            <v>6.95</v>
          </cell>
        </row>
        <row r="450">
          <cell r="A450" t="str">
            <v>PBRD</v>
          </cell>
          <cell r="B450" t="str">
            <v>PBRDUSM</v>
          </cell>
          <cell r="C450">
            <v>0</v>
          </cell>
          <cell r="D450">
            <v>0</v>
          </cell>
          <cell r="E450">
            <v>22</v>
          </cell>
          <cell r="F450">
            <v>22.7</v>
          </cell>
          <cell r="G450">
            <v>25.05</v>
          </cell>
          <cell r="H450">
            <v>24.83</v>
          </cell>
          <cell r="I450">
            <v>25.16</v>
          </cell>
          <cell r="J450">
            <v>25.92</v>
          </cell>
          <cell r="K450">
            <v>26.3</v>
          </cell>
          <cell r="L450">
            <v>26.69</v>
          </cell>
          <cell r="M450">
            <v>27.27</v>
          </cell>
        </row>
        <row r="451">
          <cell r="A451" t="str">
            <v>PAGSD</v>
          </cell>
          <cell r="B451" t="str">
            <v>PAGSDARS</v>
          </cell>
          <cell r="C451">
            <v>0</v>
          </cell>
          <cell r="D451">
            <v>0</v>
          </cell>
          <cell r="E451">
            <v>3.13</v>
          </cell>
          <cell r="F451">
            <v>3.1349999999999998</v>
          </cell>
          <cell r="G451">
            <v>3.8</v>
          </cell>
          <cell r="H451">
            <v>3.7749999999999999</v>
          </cell>
          <cell r="I451">
            <v>3.6850000000000001</v>
          </cell>
          <cell r="J451">
            <v>3.7</v>
          </cell>
          <cell r="K451">
            <v>3.8650000000000002</v>
          </cell>
          <cell r="L451">
            <v>3.855</v>
          </cell>
          <cell r="M451">
            <v>3.7749999999999999</v>
          </cell>
        </row>
        <row r="452">
          <cell r="A452" t="str">
            <v>VISTD</v>
          </cell>
          <cell r="B452" t="str">
            <v>VISTDARS</v>
          </cell>
          <cell r="C452">
            <v>0</v>
          </cell>
          <cell r="D452">
            <v>0</v>
          </cell>
          <cell r="E452">
            <v>22.64</v>
          </cell>
          <cell r="F452">
            <v>22.51</v>
          </cell>
          <cell r="G452">
            <v>23.24</v>
          </cell>
          <cell r="H452">
            <v>23.15</v>
          </cell>
          <cell r="I452">
            <v>23.03</v>
          </cell>
          <cell r="J452">
            <v>23.61</v>
          </cell>
          <cell r="K452">
            <v>23.27</v>
          </cell>
          <cell r="L452">
            <v>24.21</v>
          </cell>
          <cell r="M452">
            <v>24.48</v>
          </cell>
        </row>
        <row r="453">
          <cell r="A453" t="str">
            <v>BBDD</v>
          </cell>
          <cell r="B453" t="str">
            <v>BBDDARS</v>
          </cell>
          <cell r="C453">
            <v>0</v>
          </cell>
          <cell r="D453">
            <v>0</v>
          </cell>
          <cell r="E453">
            <v>3.6949999999999998</v>
          </cell>
          <cell r="F453">
            <v>3.85</v>
          </cell>
          <cell r="G453">
            <v>4.5</v>
          </cell>
          <cell r="H453">
            <v>4.7149999999999999</v>
          </cell>
          <cell r="I453">
            <v>4.54</v>
          </cell>
          <cell r="J453">
            <v>4.4800000000000004</v>
          </cell>
          <cell r="K453">
            <v>4.53</v>
          </cell>
          <cell r="L453">
            <v>4.3899999999999997</v>
          </cell>
          <cell r="M453">
            <v>4.33</v>
          </cell>
        </row>
        <row r="454">
          <cell r="A454" t="str">
            <v>SIDD</v>
          </cell>
          <cell r="B454" t="str">
            <v>SIDDARS</v>
          </cell>
          <cell r="C454">
            <v>0</v>
          </cell>
          <cell r="D454">
            <v>0</v>
          </cell>
          <cell r="E454">
            <v>9.36</v>
          </cell>
          <cell r="F454">
            <v>9.57</v>
          </cell>
          <cell r="G454">
            <v>10.35</v>
          </cell>
          <cell r="H454">
            <v>10.31</v>
          </cell>
          <cell r="I454">
            <v>10.3</v>
          </cell>
          <cell r="J454">
            <v>10.62</v>
          </cell>
          <cell r="K454">
            <v>10.68</v>
          </cell>
          <cell r="L454">
            <v>10.6</v>
          </cell>
          <cell r="M454">
            <v>9.99</v>
          </cell>
        </row>
        <row r="455">
          <cell r="A455"/>
          <cell r="B455"/>
          <cell r="C455"/>
          <cell r="D455"/>
        </row>
        <row r="456">
          <cell r="A456" t="str">
            <v>ADR</v>
          </cell>
          <cell r="B456"/>
          <cell r="C456"/>
          <cell r="D456"/>
        </row>
        <row r="457">
          <cell r="A457"/>
          <cell r="B457"/>
          <cell r="C457"/>
          <cell r="D457"/>
        </row>
        <row r="458">
          <cell r="A458" t="str">
            <v>BBD US</v>
          </cell>
          <cell r="B458" t="str">
            <v>BBD US</v>
          </cell>
          <cell r="C458">
            <v>0</v>
          </cell>
          <cell r="D458">
            <v>0</v>
          </cell>
          <cell r="E458">
            <v>3.51</v>
          </cell>
          <cell r="F458">
            <v>3.65</v>
          </cell>
          <cell r="G458">
            <v>4.33</v>
          </cell>
          <cell r="H458">
            <v>4.51</v>
          </cell>
          <cell r="I458">
            <v>4.34</v>
          </cell>
          <cell r="J458">
            <v>4.24</v>
          </cell>
          <cell r="K458">
            <v>4.3</v>
          </cell>
          <cell r="L458">
            <v>4.1900000000000004</v>
          </cell>
          <cell r="M458">
            <v>4.1399999999999997</v>
          </cell>
        </row>
        <row r="459">
          <cell r="A459" t="str">
            <v>PAGS US</v>
          </cell>
          <cell r="B459" t="str">
            <v>PAGS US</v>
          </cell>
          <cell r="C459">
            <v>0</v>
          </cell>
          <cell r="D459">
            <v>0</v>
          </cell>
          <cell r="E459">
            <v>8.8699999999999992</v>
          </cell>
          <cell r="F459">
            <v>9.02</v>
          </cell>
          <cell r="G459">
            <v>10.95</v>
          </cell>
          <cell r="H459">
            <v>10.72</v>
          </cell>
          <cell r="I459">
            <v>10.51</v>
          </cell>
          <cell r="J459">
            <v>10.68</v>
          </cell>
          <cell r="K459">
            <v>11.16</v>
          </cell>
          <cell r="L459">
            <v>10.99</v>
          </cell>
          <cell r="M459">
            <v>10.83</v>
          </cell>
        </row>
        <row r="460">
          <cell r="A460" t="str">
            <v>NIO US</v>
          </cell>
          <cell r="B460" t="str">
            <v>NIO US</v>
          </cell>
          <cell r="C460">
            <v>0</v>
          </cell>
          <cell r="D460">
            <v>0</v>
          </cell>
          <cell r="E460">
            <v>3.4</v>
          </cell>
          <cell r="F460">
            <v>3.37</v>
          </cell>
          <cell r="G460">
            <v>3.42</v>
          </cell>
          <cell r="H460">
            <v>3.48</v>
          </cell>
          <cell r="I460">
            <v>3.54</v>
          </cell>
          <cell r="J460">
            <v>3.41</v>
          </cell>
          <cell r="K460">
            <v>3.58</v>
          </cell>
          <cell r="L460">
            <v>3.56</v>
          </cell>
          <cell r="M460">
            <v>3.41</v>
          </cell>
        </row>
        <row r="461">
          <cell r="A461" t="str">
            <v>JD US</v>
          </cell>
          <cell r="B461" t="str">
            <v>JD US</v>
          </cell>
          <cell r="C461">
            <v>0</v>
          </cell>
          <cell r="D461">
            <v>0</v>
          </cell>
          <cell r="E461">
            <v>26.37</v>
          </cell>
          <cell r="F461">
            <v>25.78</v>
          </cell>
          <cell r="G461">
            <v>26.36</v>
          </cell>
          <cell r="H461">
            <v>26.5</v>
          </cell>
          <cell r="I461">
            <v>27.03</v>
          </cell>
          <cell r="J461">
            <v>26.91</v>
          </cell>
          <cell r="K461">
            <v>27.09</v>
          </cell>
          <cell r="L461">
            <v>26.78</v>
          </cell>
          <cell r="M461">
            <v>26.68</v>
          </cell>
        </row>
        <row r="462">
          <cell r="A462" t="str">
            <v>BDORY US</v>
          </cell>
          <cell r="B462" t="str">
            <v>BDORY US</v>
          </cell>
          <cell r="C462">
            <v>0</v>
          </cell>
          <cell r="D462">
            <v>0</v>
          </cell>
          <cell r="E462">
            <v>4.53</v>
          </cell>
          <cell r="F462">
            <v>4.5999999999999996</v>
          </cell>
          <cell r="G462">
            <v>5.29</v>
          </cell>
          <cell r="H462">
            <v>5.03</v>
          </cell>
          <cell r="I462">
            <v>4.9000000000000004</v>
          </cell>
          <cell r="J462">
            <v>4.8099999999999996</v>
          </cell>
          <cell r="K462">
            <v>5</v>
          </cell>
          <cell r="L462">
            <v>4.92</v>
          </cell>
          <cell r="M462">
            <v>4.75</v>
          </cell>
        </row>
        <row r="463">
          <cell r="A463" t="str">
            <v>GGAL US</v>
          </cell>
          <cell r="B463" t="str">
            <v>GGAL US</v>
          </cell>
          <cell r="C463">
            <v>0</v>
          </cell>
          <cell r="D463">
            <v>0</v>
          </cell>
          <cell r="E463">
            <v>36.07</v>
          </cell>
          <cell r="F463">
            <v>35.89</v>
          </cell>
          <cell r="G463">
            <v>38.25</v>
          </cell>
          <cell r="H463">
            <v>38.18</v>
          </cell>
          <cell r="I463">
            <v>37.049999999999997</v>
          </cell>
          <cell r="J463">
            <v>36.76</v>
          </cell>
          <cell r="K463">
            <v>36.81</v>
          </cell>
          <cell r="L463">
            <v>36.79</v>
          </cell>
          <cell r="M463">
            <v>35.549999999999997</v>
          </cell>
        </row>
        <row r="464">
          <cell r="A464" t="str">
            <v>VALE US</v>
          </cell>
          <cell r="B464" t="str">
            <v>VALE US</v>
          </cell>
          <cell r="C464">
            <v>0</v>
          </cell>
          <cell r="D464">
            <v>0</v>
          </cell>
          <cell r="E464">
            <v>13.45</v>
          </cell>
          <cell r="F464">
            <v>13.76</v>
          </cell>
          <cell r="G464">
            <v>14.15</v>
          </cell>
          <cell r="H464">
            <v>14.08</v>
          </cell>
          <cell r="I464">
            <v>13.61</v>
          </cell>
          <cell r="J464">
            <v>13.42</v>
          </cell>
          <cell r="K464">
            <v>13.62</v>
          </cell>
          <cell r="L464">
            <v>13.37</v>
          </cell>
          <cell r="M464">
            <v>13.21</v>
          </cell>
        </row>
        <row r="465">
          <cell r="A465" t="str">
            <v>NU US</v>
          </cell>
          <cell r="B465" t="str">
            <v>NU US</v>
          </cell>
          <cell r="C465">
            <v>0</v>
          </cell>
          <cell r="D465">
            <v>0</v>
          </cell>
          <cell r="G465">
            <v>15.18</v>
          </cell>
          <cell r="H465">
            <v>15.66</v>
          </cell>
          <cell r="I465">
            <v>15.58</v>
          </cell>
          <cell r="J465">
            <v>15.38</v>
          </cell>
          <cell r="K465">
            <v>16.12</v>
          </cell>
          <cell r="L465">
            <v>15.58</v>
          </cell>
          <cell r="M465">
            <v>14.93</v>
          </cell>
        </row>
        <row r="466">
          <cell r="A466" t="str">
            <v>PBR US</v>
          </cell>
          <cell r="B466" t="str">
            <v>PBR US</v>
          </cell>
          <cell r="C466">
            <v>0</v>
          </cell>
          <cell r="D466">
            <v>0</v>
          </cell>
          <cell r="E466">
            <v>20.98</v>
          </cell>
          <cell r="F466">
            <v>21.65</v>
          </cell>
          <cell r="G466">
            <v>24.14</v>
          </cell>
          <cell r="H466">
            <v>23.8</v>
          </cell>
          <cell r="I466">
            <v>23.99</v>
          </cell>
          <cell r="J466">
            <v>24.69</v>
          </cell>
          <cell r="K466">
            <v>25.3</v>
          </cell>
          <cell r="L466">
            <v>25.5</v>
          </cell>
          <cell r="M466">
            <v>25.94</v>
          </cell>
        </row>
        <row r="467">
          <cell r="A467" t="str">
            <v>VIST US</v>
          </cell>
          <cell r="B467" t="str">
            <v>VIST US</v>
          </cell>
          <cell r="C467">
            <v>0</v>
          </cell>
          <cell r="D467">
            <v>0</v>
          </cell>
          <cell r="E467">
            <v>64.63</v>
          </cell>
          <cell r="F467">
            <v>64.25</v>
          </cell>
          <cell r="G467">
            <v>66.540000000000006</v>
          </cell>
          <cell r="H467">
            <v>66.06</v>
          </cell>
          <cell r="I467">
            <v>65.430000000000007</v>
          </cell>
          <cell r="J467">
            <v>67.16</v>
          </cell>
          <cell r="K467">
            <v>66.260000000000005</v>
          </cell>
          <cell r="L467">
            <v>69.02</v>
          </cell>
          <cell r="M467">
            <v>69.94</v>
          </cell>
        </row>
        <row r="468">
          <cell r="A468" t="str">
            <v>AMD US</v>
          </cell>
          <cell r="B468" t="str">
            <v>AMD US</v>
          </cell>
          <cell r="C468">
            <v>0</v>
          </cell>
          <cell r="D468">
            <v>0</v>
          </cell>
          <cell r="E468">
            <v>615.73</v>
          </cell>
          <cell r="F468">
            <v>633.91</v>
          </cell>
          <cell r="G468">
            <v>631.75</v>
          </cell>
          <cell r="H468">
            <v>649.41999999999996</v>
          </cell>
          <cell r="I468">
            <v>645.86</v>
          </cell>
          <cell r="J468">
            <v>620.67999999999995</v>
          </cell>
          <cell r="K468">
            <v>608.1</v>
          </cell>
          <cell r="L468">
            <v>605.53</v>
          </cell>
          <cell r="M468">
            <v>570.82000000000005</v>
          </cell>
        </row>
        <row r="469">
          <cell r="A469" t="str">
            <v>SID US</v>
          </cell>
          <cell r="B469" t="str">
            <v>SID US</v>
          </cell>
          <cell r="C469">
            <v>0</v>
          </cell>
          <cell r="D469">
            <v>0</v>
          </cell>
          <cell r="E469">
            <v>1.1200000000000001</v>
          </cell>
          <cell r="F469">
            <v>1.1599999999999999</v>
          </cell>
          <cell r="G469">
            <v>1.24</v>
          </cell>
          <cell r="H469">
            <v>1.23</v>
          </cell>
          <cell r="I469">
            <v>1.23</v>
          </cell>
          <cell r="J469">
            <v>1.23</v>
          </cell>
          <cell r="K469">
            <v>1.28</v>
          </cell>
          <cell r="L469">
            <v>1.24</v>
          </cell>
          <cell r="M469">
            <v>1.21</v>
          </cell>
        </row>
        <row r="470">
          <cell r="A470" t="str">
            <v>MSFT US</v>
          </cell>
          <cell r="B470" t="str">
            <v>MSFT US</v>
          </cell>
          <cell r="C470">
            <v>0</v>
          </cell>
          <cell r="D470">
            <v>0</v>
          </cell>
          <cell r="E470">
            <v>512.79999999999995</v>
          </cell>
          <cell r="F470">
            <v>517.53</v>
          </cell>
          <cell r="G470">
            <v>525.17999999999995</v>
          </cell>
          <cell r="H470">
            <v>529.29999999999995</v>
          </cell>
          <cell r="I470">
            <v>529.76</v>
          </cell>
          <cell r="J470">
            <v>522.61</v>
          </cell>
          <cell r="K470">
            <v>535.07000000000005</v>
          </cell>
          <cell r="L470">
            <v>543.45000000000005</v>
          </cell>
          <cell r="M470">
            <v>533.69000000000005</v>
          </cell>
        </row>
        <row r="471">
          <cell r="A471" t="str">
            <v>YPF US</v>
          </cell>
          <cell r="B471" t="str">
            <v>YPF US</v>
          </cell>
          <cell r="C471">
            <v>0</v>
          </cell>
          <cell r="D471">
            <v>0</v>
          </cell>
          <cell r="E471">
            <v>49.27</v>
          </cell>
          <cell r="F471">
            <v>49.67</v>
          </cell>
          <cell r="G471">
            <v>51.24</v>
          </cell>
          <cell r="H471">
            <v>51.16</v>
          </cell>
          <cell r="I471">
            <v>49.48</v>
          </cell>
          <cell r="J471">
            <v>49.9</v>
          </cell>
          <cell r="K471">
            <v>50.04</v>
          </cell>
          <cell r="L471">
            <v>51.79</v>
          </cell>
          <cell r="M471">
            <v>52.25</v>
          </cell>
        </row>
        <row r="472">
          <cell r="A472"/>
          <cell r="B472"/>
          <cell r="C472"/>
          <cell r="D472"/>
        </row>
        <row r="473">
          <cell r="A473" t="str">
            <v>ADR</v>
          </cell>
          <cell r="B473"/>
          <cell r="C473"/>
          <cell r="D473"/>
        </row>
        <row r="474">
          <cell r="A474"/>
          <cell r="B474"/>
          <cell r="C474"/>
          <cell r="D474"/>
        </row>
        <row r="475">
          <cell r="A475" t="str">
            <v>EWZ US</v>
          </cell>
          <cell r="B475" t="str">
            <v>EWZ US</v>
          </cell>
          <cell r="C475">
            <v>0</v>
          </cell>
          <cell r="D475">
            <v>0</v>
          </cell>
          <cell r="E475">
            <v>37.14</v>
          </cell>
          <cell r="F475">
            <v>38.19</v>
          </cell>
          <cell r="G475">
            <v>42.98</v>
          </cell>
          <cell r="H475">
            <v>43</v>
          </cell>
          <cell r="I475">
            <v>42.37</v>
          </cell>
          <cell r="J475">
            <v>42.59</v>
          </cell>
          <cell r="K475">
            <v>43.54</v>
          </cell>
          <cell r="L475">
            <v>42.87</v>
          </cell>
          <cell r="M475">
            <v>42.6</v>
          </cell>
        </row>
        <row r="476">
          <cell r="A476" t="str">
            <v>FLRN US</v>
          </cell>
          <cell r="B476" t="str">
            <v>FLRN US</v>
          </cell>
          <cell r="C476">
            <v>0</v>
          </cell>
          <cell r="D476">
            <v>0</v>
          </cell>
          <cell r="E476">
            <v>30.72</v>
          </cell>
          <cell r="F476">
            <v>30.74</v>
          </cell>
          <cell r="G476">
            <v>30.74</v>
          </cell>
          <cell r="H476">
            <v>30.74</v>
          </cell>
          <cell r="I476">
            <v>30.75</v>
          </cell>
          <cell r="J476">
            <v>30.77</v>
          </cell>
          <cell r="K476">
            <v>30.77</v>
          </cell>
          <cell r="L476">
            <v>30.77</v>
          </cell>
          <cell r="M476">
            <v>30.77</v>
          </cell>
        </row>
        <row r="477">
          <cell r="A477" t="str">
            <v>SDIA LN</v>
          </cell>
          <cell r="B477" t="str">
            <v>SDIA LN</v>
          </cell>
          <cell r="C477">
            <v>0</v>
          </cell>
          <cell r="D477">
            <v>0</v>
          </cell>
          <cell r="E477">
            <v>6.3410000000000002</v>
          </cell>
          <cell r="F477">
            <v>6.3470000000000004</v>
          </cell>
          <cell r="G477">
            <v>6.3419999999999996</v>
          </cell>
          <cell r="H477">
            <v>6.3470000000000004</v>
          </cell>
          <cell r="I477">
            <v>6.3559999999999999</v>
          </cell>
          <cell r="J477">
            <v>6.3529999999999998</v>
          </cell>
          <cell r="K477">
            <v>6.3570000000000002</v>
          </cell>
          <cell r="L477">
            <v>6.3550000000000004</v>
          </cell>
          <cell r="M477">
            <v>6.3570000000000002</v>
          </cell>
        </row>
        <row r="478">
          <cell r="A478" t="str">
            <v>EMCA LN</v>
          </cell>
          <cell r="B478" t="str">
            <v>EMCA LN</v>
          </cell>
          <cell r="C478">
            <v>0</v>
          </cell>
          <cell r="D478">
            <v>0</v>
          </cell>
          <cell r="E478">
            <v>6.617</v>
          </cell>
          <cell r="F478">
            <v>6.657</v>
          </cell>
          <cell r="G478">
            <v>6.6580000000000004</v>
          </cell>
          <cell r="H478">
            <v>6.64</v>
          </cell>
          <cell r="I478">
            <v>6.6470000000000002</v>
          </cell>
          <cell r="J478">
            <v>6.657</v>
          </cell>
          <cell r="K478">
            <v>6.6630000000000003</v>
          </cell>
          <cell r="L478">
            <v>6.6779999999999999</v>
          </cell>
          <cell r="M478">
            <v>6.6630000000000003</v>
          </cell>
        </row>
        <row r="479">
          <cell r="A479" t="str">
            <v>IGV US</v>
          </cell>
          <cell r="B479" t="str">
            <v>IGV US</v>
          </cell>
          <cell r="C479">
            <v>0</v>
          </cell>
          <cell r="D479">
            <v>0</v>
          </cell>
          <cell r="E479">
            <v>108.23</v>
          </cell>
          <cell r="F479">
            <v>108.43</v>
          </cell>
          <cell r="G479">
            <v>109.72</v>
          </cell>
          <cell r="H479">
            <v>111.16</v>
          </cell>
          <cell r="I479">
            <v>109.84</v>
          </cell>
          <cell r="J479">
            <v>109.59</v>
          </cell>
          <cell r="K479">
            <v>112.67</v>
          </cell>
          <cell r="L479">
            <v>110.98</v>
          </cell>
          <cell r="M479">
            <v>107.65</v>
          </cell>
        </row>
        <row r="480">
          <cell r="A480"/>
          <cell r="B480"/>
          <cell r="C480"/>
          <cell r="D480"/>
        </row>
        <row r="481">
          <cell r="A481" t="str">
            <v>Funds</v>
          </cell>
          <cell r="B481"/>
          <cell r="C481"/>
          <cell r="D481"/>
        </row>
        <row r="482">
          <cell r="A482"/>
          <cell r="B482"/>
          <cell r="C482"/>
          <cell r="D482"/>
        </row>
        <row r="483">
          <cell r="A483" t="str">
            <v>MUHYIU1 LX</v>
          </cell>
          <cell r="B483" t="str">
            <v>MUHYIU1 LX</v>
          </cell>
          <cell r="C483">
            <v>0</v>
          </cell>
          <cell r="D483">
            <v>0</v>
          </cell>
          <cell r="E483">
            <v>294.14999999999998</v>
          </cell>
          <cell r="F483">
            <v>293.37</v>
          </cell>
          <cell r="G483">
            <v>293.81</v>
          </cell>
          <cell r="H483">
            <v>293.64999999999998</v>
          </cell>
          <cell r="I483">
            <v>294.91000000000003</v>
          </cell>
          <cell r="J483">
            <v>294.60000000000002</v>
          </cell>
          <cell r="K483">
            <v>294.2</v>
          </cell>
          <cell r="L483">
            <v>294.52999999999997</v>
          </cell>
          <cell r="M483">
            <v>294.11</v>
          </cell>
        </row>
        <row r="484">
          <cell r="A484" t="str">
            <v>MGCIF1U LX</v>
          </cell>
          <cell r="B484" t="str">
            <v>MGCIF1U LX</v>
          </cell>
          <cell r="C484">
            <v>0</v>
          </cell>
          <cell r="D484">
            <v>0</v>
          </cell>
          <cell r="E484">
            <v>151.72999999999999</v>
          </cell>
          <cell r="F484">
            <v>151.46</v>
          </cell>
          <cell r="G484">
            <v>151.47</v>
          </cell>
          <cell r="H484">
            <v>151.11000000000001</v>
          </cell>
          <cell r="I484">
            <v>151.74</v>
          </cell>
          <cell r="J484">
            <v>151.38</v>
          </cell>
          <cell r="K484">
            <v>151.66999999999999</v>
          </cell>
          <cell r="L484">
            <v>151.53</v>
          </cell>
          <cell r="M484">
            <v>151.86000000000001</v>
          </cell>
        </row>
        <row r="485">
          <cell r="A485"/>
          <cell r="B485"/>
          <cell r="C485"/>
          <cell r="D485"/>
        </row>
        <row r="486">
          <cell r="A486" t="str">
            <v>Latam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CH27</v>
          </cell>
          <cell r="B488" t="str">
            <v>CH27ARS</v>
          </cell>
          <cell r="C488">
            <v>0</v>
          </cell>
          <cell r="D488">
            <v>0</v>
          </cell>
          <cell r="E488">
            <v>0.99828611111111099</v>
          </cell>
          <cell r="F488">
            <v>0.99823027777777762</v>
          </cell>
          <cell r="G488">
            <v>0.99873166666666657</v>
          </cell>
          <cell r="H488">
            <v>0.99930305555555554</v>
          </cell>
          <cell r="I488">
            <v>0.99940944444444435</v>
          </cell>
          <cell r="J488">
            <v>0.99986583333333323</v>
          </cell>
          <cell r="K488">
            <v>1.000366388888889</v>
          </cell>
          <cell r="L488">
            <v>1.0004427777777778</v>
          </cell>
          <cell r="M488">
            <v>1.0001991666666668</v>
          </cell>
        </row>
        <row r="489">
          <cell r="A489" t="str">
            <v>CH28</v>
          </cell>
          <cell r="B489" t="str">
            <v>CH28ARS</v>
          </cell>
          <cell r="C489">
            <v>0</v>
          </cell>
          <cell r="D489">
            <v>0</v>
          </cell>
          <cell r="E489">
            <v>0.97829500000000014</v>
          </cell>
          <cell r="F489">
            <v>0.97819</v>
          </cell>
          <cell r="G489">
            <v>0.97930500000000009</v>
          </cell>
          <cell r="H489">
            <v>0.98093000000000008</v>
          </cell>
          <cell r="I489">
            <v>0.98110500000000012</v>
          </cell>
          <cell r="J489">
            <v>0.9816149999999999</v>
          </cell>
          <cell r="K489">
            <v>0.98216499999999995</v>
          </cell>
          <cell r="L489">
            <v>0.98290499999999992</v>
          </cell>
          <cell r="M489">
            <v>0.98251499999999992</v>
          </cell>
        </row>
        <row r="490">
          <cell r="A490" t="str">
            <v>BR27</v>
          </cell>
          <cell r="B490" t="str">
            <v>BR27ARS</v>
          </cell>
          <cell r="C490">
            <v>0</v>
          </cell>
          <cell r="D490">
            <v>0</v>
          </cell>
          <cell r="E490">
            <v>1.0669912500000001</v>
          </cell>
          <cell r="F490">
            <v>1.0673650000000001</v>
          </cell>
          <cell r="G490">
            <v>1.07000625</v>
          </cell>
          <cell r="H490">
            <v>1.0707775000000002</v>
          </cell>
          <cell r="I490">
            <v>1.07073375</v>
          </cell>
          <cell r="J490">
            <v>1.070255</v>
          </cell>
          <cell r="K490">
            <v>1.071645</v>
          </cell>
          <cell r="L490">
            <v>1.0717412499999999</v>
          </cell>
          <cell r="M490">
            <v>1.0714174999999999</v>
          </cell>
        </row>
        <row r="491">
          <cell r="A491" t="str">
            <v>BR28</v>
          </cell>
          <cell r="B491" t="str">
            <v>BR28ARS</v>
          </cell>
          <cell r="C491">
            <v>0</v>
          </cell>
          <cell r="D491">
            <v>0</v>
          </cell>
          <cell r="E491">
            <v>1.0057343055555554</v>
          </cell>
          <cell r="F491">
            <v>1.0061897222222222</v>
          </cell>
          <cell r="G491">
            <v>1.0073631944444446</v>
          </cell>
          <cell r="H491">
            <v>1.0078066666666665</v>
          </cell>
          <cell r="I491">
            <v>1.0073451388888888</v>
          </cell>
          <cell r="J491">
            <v>1.0077386111111111</v>
          </cell>
          <cell r="K491">
            <v>1.0081975000000001</v>
          </cell>
          <cell r="L491">
            <v>1.0082509722222222</v>
          </cell>
          <cell r="M491">
            <v>1.0080344444444445</v>
          </cell>
        </row>
        <row r="492">
          <cell r="A492" t="str">
            <v>CDEL27</v>
          </cell>
          <cell r="B492" t="str">
            <v>CDEL27ARS</v>
          </cell>
          <cell r="C492">
            <v>0</v>
          </cell>
          <cell r="D492">
            <v>0</v>
          </cell>
          <cell r="E492">
            <v>0.99082736111111114</v>
          </cell>
          <cell r="F492">
            <v>0.99194944444444444</v>
          </cell>
          <cell r="G492">
            <v>0.99240513888888904</v>
          </cell>
          <cell r="H492">
            <v>0.99373083333333345</v>
          </cell>
          <cell r="I492">
            <v>0.99441652777777778</v>
          </cell>
          <cell r="J492">
            <v>0.99494722222222221</v>
          </cell>
          <cell r="K492">
            <v>0.99535499999999999</v>
          </cell>
          <cell r="L492">
            <v>0.99528069444444456</v>
          </cell>
          <cell r="M492">
            <v>0.9948663888888889</v>
          </cell>
        </row>
        <row r="493">
          <cell r="A493"/>
          <cell r="B493"/>
          <cell r="C493"/>
          <cell r="D493"/>
        </row>
        <row r="494">
          <cell r="A494" t="str">
            <v>Futuros</v>
          </cell>
          <cell r="B494"/>
          <cell r="C494"/>
          <cell r="D494"/>
        </row>
        <row r="495">
          <cell r="A495"/>
          <cell r="B495"/>
          <cell r="C495"/>
          <cell r="D495"/>
        </row>
        <row r="496">
          <cell r="A496" t="str">
            <v>FUTDLR102026</v>
          </cell>
          <cell r="B496" t="str">
            <v>FUTDLR102026</v>
          </cell>
          <cell r="C496">
            <v>0</v>
          </cell>
          <cell r="D496">
            <v>0</v>
          </cell>
          <cell r="E496">
            <v>1548</v>
          </cell>
          <cell r="F496">
            <v>1543.5</v>
          </cell>
          <cell r="G496">
            <v>1540</v>
          </cell>
          <cell r="H496">
            <v>1538</v>
          </cell>
          <cell r="I496">
            <v>1535.5</v>
          </cell>
          <cell r="J496">
            <v>1534</v>
          </cell>
          <cell r="K496">
            <v>1533.5</v>
          </cell>
          <cell r="L496">
            <v>1526</v>
          </cell>
          <cell r="M496">
            <v>1527</v>
          </cell>
        </row>
        <row r="497">
          <cell r="A497"/>
          <cell r="B497"/>
          <cell r="C497"/>
          <cell r="D497"/>
        </row>
        <row r="498">
          <cell r="A498" t="str">
            <v>Futuros Soja</v>
          </cell>
          <cell r="B498"/>
          <cell r="C498"/>
          <cell r="D498"/>
        </row>
        <row r="499">
          <cell r="A499"/>
          <cell r="B499"/>
          <cell r="C499"/>
          <cell r="D499"/>
        </row>
        <row r="500">
          <cell r="A500" t="str">
            <v>FUTDLRMM1126</v>
          </cell>
          <cell r="B500" t="str">
            <v>FUTDLRMM1126</v>
          </cell>
          <cell r="C500">
            <v>0</v>
          </cell>
          <cell r="D500">
            <v>0</v>
          </cell>
          <cell r="E500">
            <v>563441.07545999996</v>
          </cell>
          <cell r="F500">
            <v>563389.80732000002</v>
          </cell>
          <cell r="G500">
            <v>562881.42105</v>
          </cell>
          <cell r="H500">
            <v>567680.09467999998</v>
          </cell>
          <cell r="I500">
            <v>569051.02911999996</v>
          </cell>
          <cell r="J500">
            <v>567135.95805000002</v>
          </cell>
          <cell r="K500">
            <v>567241.02372000006</v>
          </cell>
          <cell r="L500">
            <v>565262.06846999994</v>
          </cell>
          <cell r="M500">
            <v>563115.45290000003</v>
          </cell>
          <cell r="N500"/>
        </row>
        <row r="501">
          <cell r="A501" t="str">
            <v>FUTDLRMM0527</v>
          </cell>
          <cell r="B501" t="str">
            <v>FUTDLRMM0527</v>
          </cell>
          <cell r="C501">
            <v>0</v>
          </cell>
          <cell r="D501">
            <v>0</v>
          </cell>
          <cell r="E501">
            <v>541201.98462</v>
          </cell>
          <cell r="F501">
            <v>541000.43136000005</v>
          </cell>
          <cell r="G501">
            <v>542067.72207999998</v>
          </cell>
          <cell r="H501">
            <v>545027.62170000002</v>
          </cell>
          <cell r="I501">
            <v>546240.32512000005</v>
          </cell>
          <cell r="J501">
            <v>544814.94443999999</v>
          </cell>
          <cell r="K501">
            <v>543896.52408</v>
          </cell>
          <cell r="L501">
            <v>543888.52283999999</v>
          </cell>
          <cell r="M501">
            <v>542365.90555000002</v>
          </cell>
          <cell r="N501"/>
        </row>
        <row r="502">
          <cell r="A502" t="str">
            <v>FUTARSSRO1126</v>
          </cell>
          <cell r="B502" t="str">
            <v>FUTARSSRO1126</v>
          </cell>
          <cell r="C502">
            <v>0</v>
          </cell>
          <cell r="D502">
            <v>0</v>
          </cell>
          <cell r="E502">
            <v>563441.07545999996</v>
          </cell>
          <cell r="F502">
            <v>563389.80732000002</v>
          </cell>
          <cell r="G502">
            <v>562881.42105</v>
          </cell>
          <cell r="H502">
            <v>567680.09467999998</v>
          </cell>
          <cell r="I502">
            <v>569051.02911999996</v>
          </cell>
          <cell r="J502">
            <v>567135.95805000002</v>
          </cell>
          <cell r="K502">
            <v>567241.02372000006</v>
          </cell>
          <cell r="L502">
            <v>565262.06846999994</v>
          </cell>
          <cell r="M502">
            <v>563115.45290000003</v>
          </cell>
          <cell r="N502"/>
        </row>
        <row r="503">
          <cell r="A503" t="str">
            <v>FUTARSSRO0127</v>
          </cell>
          <cell r="B503" t="str">
            <v>FUTARSSRO0127</v>
          </cell>
          <cell r="C503">
            <v>0</v>
          </cell>
          <cell r="D503">
            <v>0</v>
          </cell>
          <cell r="E503">
            <v>570295.58976</v>
          </cell>
          <cell r="F503">
            <v>570852.93264000001</v>
          </cell>
          <cell r="G503">
            <v>570477.66154999996</v>
          </cell>
          <cell r="H503">
            <v>574369.41555999999</v>
          </cell>
          <cell r="I503">
            <v>577110.8112</v>
          </cell>
          <cell r="J503">
            <v>574272.60866000003</v>
          </cell>
          <cell r="K503">
            <v>574668.81906000001</v>
          </cell>
          <cell r="L503">
            <v>572992.92539999995</v>
          </cell>
          <cell r="M503">
            <v>570991.19349999994</v>
          </cell>
          <cell r="N503"/>
        </row>
        <row r="504">
          <cell r="A504" t="str">
            <v>FUTARSSRO0527</v>
          </cell>
          <cell r="B504" t="str">
            <v>FUTARSSRO0527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/>
        </row>
        <row r="505">
          <cell r="A505"/>
          <cell r="B505"/>
          <cell r="C505"/>
          <cell r="D505"/>
        </row>
        <row r="506">
          <cell r="A506" t="str">
            <v>Treasury</v>
          </cell>
          <cell r="B506"/>
          <cell r="C506"/>
          <cell r="D506"/>
        </row>
        <row r="507">
          <cell r="A507"/>
          <cell r="B507"/>
          <cell r="C507"/>
          <cell r="D507"/>
        </row>
        <row r="508">
          <cell r="A508" t="str">
            <v>US13102026</v>
          </cell>
          <cell r="B508" t="str">
            <v>US13102026</v>
          </cell>
          <cell r="C508">
            <v>0</v>
          </cell>
          <cell r="D508">
            <v>0</v>
          </cell>
          <cell r="E508">
            <v>0.99886440337457016</v>
          </cell>
          <cell r="F508">
            <v>0.99897062235404499</v>
          </cell>
          <cell r="G508">
            <v>0.99927863854620635</v>
          </cell>
          <cell r="H508">
            <v>0.99937913092337005</v>
          </cell>
          <cell r="I508">
            <v>0.99948344504911213</v>
          </cell>
          <cell r="J508">
            <v>0.99958546506116341</v>
          </cell>
          <cell r="K508">
            <v>1</v>
          </cell>
          <cell r="L508">
            <v>1</v>
          </cell>
          <cell r="M508">
            <v>1</v>
          </cell>
        </row>
        <row r="509">
          <cell r="A509" t="str">
            <v>US27102026</v>
          </cell>
          <cell r="B509" t="str">
            <v>US27102026</v>
          </cell>
          <cell r="C509">
            <v>0</v>
          </cell>
          <cell r="D509">
            <v>0</v>
          </cell>
          <cell r="E509">
            <v>0.99740721943840094</v>
          </cell>
          <cell r="F509">
            <v>0.99748607274418333</v>
          </cell>
          <cell r="G509">
            <v>0.99781159414426202</v>
          </cell>
          <cell r="H509">
            <v>0.99791847875447959</v>
          </cell>
          <cell r="I509">
            <v>0.99800881655753604</v>
          </cell>
          <cell r="J509">
            <v>0.99811120716617363</v>
          </cell>
          <cell r="K509">
            <v>0.99822003693168004</v>
          </cell>
          <cell r="L509">
            <v>0.99864495917499729</v>
          </cell>
          <cell r="M509">
            <v>0.99874719341093465</v>
          </cell>
        </row>
        <row r="510">
          <cell r="A510" t="str">
            <v>US03112026</v>
          </cell>
          <cell r="B510" t="str">
            <v>US03112026</v>
          </cell>
          <cell r="C510">
            <v>0</v>
          </cell>
          <cell r="D510">
            <v>0</v>
          </cell>
          <cell r="E510">
            <v>0.99664019211684141</v>
          </cell>
          <cell r="F510">
            <v>0.99673657522131986</v>
          </cell>
          <cell r="G510">
            <v>0.99704467217952419</v>
          </cell>
          <cell r="H510">
            <v>0.99715028654083315</v>
          </cell>
          <cell r="I510">
            <v>0.99725398328923642</v>
          </cell>
          <cell r="J510">
            <v>0.99734971391433336</v>
          </cell>
          <cell r="K510">
            <v>0.99745283884478586</v>
          </cell>
          <cell r="L510">
            <v>0.99787417260511158</v>
          </cell>
          <cell r="M510">
            <v>0.99799025542628228</v>
          </cell>
        </row>
        <row r="511">
          <cell r="A511" t="str">
            <v>US19112026</v>
          </cell>
          <cell r="B511" t="str">
            <v>US19112026</v>
          </cell>
          <cell r="C511">
            <v>0</v>
          </cell>
          <cell r="D511">
            <v>0</v>
          </cell>
          <cell r="E511">
            <v>0.99488412592762443</v>
          </cell>
          <cell r="F511">
            <v>0.99500164603258601</v>
          </cell>
          <cell r="G511">
            <v>0.99529805926476933</v>
          </cell>
          <cell r="H511">
            <v>0.9953910069318701</v>
          </cell>
          <cell r="I511">
            <v>0.99548425432463727</v>
          </cell>
          <cell r="J511">
            <v>0.99558194555074508</v>
          </cell>
          <cell r="K511">
            <v>0.99569640916411706</v>
          </cell>
          <cell r="L511">
            <v>0.99613488747114487</v>
          </cell>
          <cell r="M511">
            <v>0.99623042782501603</v>
          </cell>
        </row>
        <row r="512">
          <cell r="A512" t="str">
            <v>US01122026</v>
          </cell>
          <cell r="B512" t="str">
            <v>US01122026</v>
          </cell>
          <cell r="C512">
            <v>0</v>
          </cell>
          <cell r="D512">
            <v>0</v>
          </cell>
          <cell r="E512">
            <v>0.99355019875631478</v>
          </cell>
          <cell r="F512">
            <v>0.9936594075953975</v>
          </cell>
          <cell r="G512">
            <v>0.99396410531466339</v>
          </cell>
          <cell r="H512">
            <v>0.99407095231806586</v>
          </cell>
          <cell r="I512">
            <v>0.99416394170869815</v>
          </cell>
          <cell r="J512">
            <v>0.9942856090587755</v>
          </cell>
          <cell r="K512">
            <v>0.99440014862495318</v>
          </cell>
          <cell r="L512">
            <v>0.99483557684655111</v>
          </cell>
          <cell r="M512">
            <v>0.99493510430836929</v>
          </cell>
        </row>
        <row r="513">
          <cell r="A513" t="str">
            <v>US10122026</v>
          </cell>
          <cell r="B513" t="str">
            <v>US10122026</v>
          </cell>
          <cell r="C513">
            <v>0</v>
          </cell>
          <cell r="D513">
            <v>0</v>
          </cell>
          <cell r="L513">
            <v>0.993862536688776</v>
          </cell>
          <cell r="M513">
            <v>0.9939403081169208</v>
          </cell>
        </row>
        <row r="514">
          <cell r="A514"/>
          <cell r="B514"/>
          <cell r="C514"/>
          <cell r="D514"/>
        </row>
        <row r="515">
          <cell r="A515" t="str">
            <v>Pagarés $</v>
          </cell>
          <cell r="B515"/>
          <cell r="C515"/>
          <cell r="D515"/>
        </row>
        <row r="516">
          <cell r="A516"/>
          <cell r="B516"/>
          <cell r="C516"/>
          <cell r="D516"/>
        </row>
        <row r="517">
          <cell r="A517" t="str">
            <v>#MAV150270009</v>
          </cell>
          <cell r="B517" t="str">
            <v>#MAV150270009</v>
          </cell>
          <cell r="C517"/>
          <cell r="D517"/>
          <cell r="E517">
            <v>0.90183579176240958</v>
          </cell>
          <cell r="F517">
            <v>0.90377853711682266</v>
          </cell>
          <cell r="G517">
            <v>0.90442798027603644</v>
          </cell>
          <cell r="H517">
            <v>0.90507835746875631</v>
          </cell>
          <cell r="I517">
            <v>0.90572967071143207</v>
          </cell>
          <cell r="J517">
            <v>0.90638192202632228</v>
          </cell>
          <cell r="K517">
            <v>0.90900034865766799</v>
          </cell>
          <cell r="L517">
            <v>0.90965732087227413</v>
          </cell>
          <cell r="M517">
            <v>0.91031524341580217</v>
          </cell>
        </row>
        <row r="518">
          <cell r="A518" t="str">
            <v>#MAV150270010</v>
          </cell>
          <cell r="B518" t="str">
            <v>#MAV150270010</v>
          </cell>
          <cell r="C518"/>
          <cell r="D518"/>
          <cell r="E518">
            <v>0.90183579176240958</v>
          </cell>
          <cell r="F518">
            <v>0.90377853711682266</v>
          </cell>
          <cell r="G518">
            <v>0.90442798027603644</v>
          </cell>
          <cell r="H518">
            <v>0.90507835746875631</v>
          </cell>
          <cell r="I518">
            <v>0.90572967071143207</v>
          </cell>
          <cell r="J518">
            <v>0.90638192202632228</v>
          </cell>
          <cell r="K518">
            <v>0.90900034865766799</v>
          </cell>
          <cell r="L518">
            <v>0.90965732087227413</v>
          </cell>
          <cell r="M518">
            <v>0.91031524341580217</v>
          </cell>
        </row>
        <row r="519">
          <cell r="A519" t="str">
            <v>#MAV101260047</v>
          </cell>
          <cell r="B519" t="str">
            <v>#MAV101260047</v>
          </cell>
          <cell r="C519"/>
          <cell r="D519"/>
          <cell r="J519">
            <v>0.95570878898604539</v>
          </cell>
          <cell r="K519">
            <v>0.95840395545128343</v>
          </cell>
          <cell r="L519">
            <v>0.95908012391840725</v>
          </cell>
          <cell r="M519">
            <v>0.95975724715326793</v>
          </cell>
        </row>
        <row r="520">
          <cell r="A520"/>
          <cell r="B520"/>
          <cell r="C520"/>
          <cell r="D520"/>
        </row>
        <row r="521">
          <cell r="A521" t="str">
            <v>Pagarés USD</v>
          </cell>
          <cell r="B521"/>
          <cell r="C521"/>
          <cell r="D521"/>
        </row>
        <row r="522">
          <cell r="A522"/>
          <cell r="B522"/>
          <cell r="C522"/>
          <cell r="D522"/>
        </row>
        <row r="523">
          <cell r="A523" t="str">
            <v>#UMV130170010</v>
          </cell>
          <cell r="B523" t="str">
            <v>#UMV130170010</v>
          </cell>
          <cell r="C523"/>
          <cell r="D523"/>
          <cell r="E523">
            <v>1489.5872549347944</v>
          </cell>
          <cell r="F523">
            <v>1490.3920891565037</v>
          </cell>
          <cell r="G523">
            <v>1486.9487220740707</v>
          </cell>
          <cell r="H523">
            <v>1488.2917339412631</v>
          </cell>
          <cell r="I523">
            <v>1489.0099269928094</v>
          </cell>
          <cell r="J523">
            <v>1487.0932630878499</v>
          </cell>
          <cell r="K523">
            <v>1485.8382427580502</v>
          </cell>
          <cell r="L523">
            <v>1486.1296707901279</v>
          </cell>
          <cell r="M523">
            <v>1485.1792948831612</v>
          </cell>
        </row>
        <row r="524">
          <cell r="A524" t="str">
            <v>#UMV130170012</v>
          </cell>
          <cell r="B524" t="str">
            <v>#UMV130170012</v>
          </cell>
          <cell r="C524"/>
          <cell r="D524"/>
          <cell r="E524">
            <v>1489.5872549347944</v>
          </cell>
          <cell r="F524">
            <v>1490.3920891565037</v>
          </cell>
          <cell r="G524">
            <v>1486.9487220740707</v>
          </cell>
          <cell r="H524">
            <v>1488.2917339412631</v>
          </cell>
          <cell r="I524">
            <v>1489.0099269928094</v>
          </cell>
          <cell r="J524">
            <v>1487.0932630878499</v>
          </cell>
          <cell r="K524">
            <v>1485.8382427580502</v>
          </cell>
          <cell r="L524">
            <v>1486.1296707901279</v>
          </cell>
          <cell r="M524">
            <v>1485.1792948831612</v>
          </cell>
        </row>
        <row r="525">
          <cell r="A525" t="str">
            <v>#UMV150270056</v>
          </cell>
          <cell r="B525" t="str">
            <v>#UMV150270056</v>
          </cell>
          <cell r="C525"/>
          <cell r="D525"/>
          <cell r="E525">
            <v>1479.9382207008166</v>
          </cell>
          <cell r="F525">
            <v>1480.7317857290304</v>
          </cell>
          <cell r="G525">
            <v>1477.3087219803815</v>
          </cell>
          <cell r="H525">
            <v>1478.6410087307329</v>
          </cell>
          <cell r="I525">
            <v>1479.3525246198744</v>
          </cell>
          <cell r="J525">
            <v>1477.4462734570873</v>
          </cell>
          <cell r="K525">
            <v>1476.1913196598298</v>
          </cell>
          <cell r="L525">
            <v>1476.4788343198109</v>
          </cell>
          <cell r="M525">
            <v>1475.5326092904013</v>
          </cell>
        </row>
        <row r="526">
          <cell r="A526" t="str">
            <v>#UMV150270055</v>
          </cell>
          <cell r="B526" t="str">
            <v>#UMV150270055</v>
          </cell>
          <cell r="C526"/>
          <cell r="D526"/>
          <cell r="E526">
            <v>1479.9382207008166</v>
          </cell>
          <cell r="F526">
            <v>1480.7317857290304</v>
          </cell>
          <cell r="G526">
            <v>1477.3087219803815</v>
          </cell>
          <cell r="H526">
            <v>1478.6410087307329</v>
          </cell>
          <cell r="I526">
            <v>1479.3525246198744</v>
          </cell>
          <cell r="J526">
            <v>1477.4462734570873</v>
          </cell>
          <cell r="K526">
            <v>1476.1913196598298</v>
          </cell>
          <cell r="L526">
            <v>1476.4788343198109</v>
          </cell>
          <cell r="M526">
            <v>1475.5326092904013</v>
          </cell>
        </row>
        <row r="527">
          <cell r="A527" t="str">
            <v>#UMV150370062</v>
          </cell>
          <cell r="B527" t="str">
            <v>#UMV150370062</v>
          </cell>
          <cell r="C527"/>
          <cell r="D527"/>
          <cell r="E527">
            <v>1471.3297845313516</v>
          </cell>
          <cell r="F527">
            <v>1472.1133623822782</v>
          </cell>
          <cell r="G527">
            <v>1468.7084344210193</v>
          </cell>
          <cell r="H527">
            <v>1470.031175037717</v>
          </cell>
          <cell r="I527">
            <v>1470.7367561996064</v>
          </cell>
          <cell r="J527">
            <v>1468.8398169215093</v>
          </cell>
          <cell r="K527">
            <v>1467.5850115580338</v>
          </cell>
          <cell r="L527">
            <v>1467.8690572835419</v>
          </cell>
          <cell r="M527">
            <v>1466.9265576676348</v>
          </cell>
        </row>
        <row r="528">
          <cell r="A528" t="str">
            <v>#UMV150370061</v>
          </cell>
          <cell r="B528" t="str">
            <v>#UMV150370061</v>
          </cell>
          <cell r="C528"/>
          <cell r="D528"/>
          <cell r="E528">
            <v>1471.3297845313516</v>
          </cell>
          <cell r="F528">
            <v>1472.1133623822782</v>
          </cell>
          <cell r="G528">
            <v>1468.7084344210193</v>
          </cell>
          <cell r="H528">
            <v>1470.031175037717</v>
          </cell>
          <cell r="I528">
            <v>1470.7367561996064</v>
          </cell>
          <cell r="J528">
            <v>1468.8398169215093</v>
          </cell>
          <cell r="K528">
            <v>1467.5850115580338</v>
          </cell>
          <cell r="L528">
            <v>1467.8690572835419</v>
          </cell>
          <cell r="M528">
            <v>1466.9265576676348</v>
          </cell>
        </row>
        <row r="529">
          <cell r="A529" t="str">
            <v>#UMV150170072</v>
          </cell>
          <cell r="B529" t="str">
            <v>#UMV150170072</v>
          </cell>
          <cell r="C529"/>
          <cell r="D529"/>
          <cell r="E529">
            <v>1488.3351541199256</v>
          </cell>
          <cell r="F529">
            <v>1489.1385215404439</v>
          </cell>
          <cell r="G529">
            <v>1485.6977876313656</v>
          </cell>
          <cell r="H529">
            <v>1487.0394062664136</v>
          </cell>
          <cell r="I529">
            <v>1487.7567313658665</v>
          </cell>
          <cell r="J529">
            <v>1485.8414171852003</v>
          </cell>
          <cell r="K529">
            <v>1484.586399529908</v>
          </cell>
          <cell r="L529">
            <v>1484.8773182471427</v>
          </cell>
          <cell r="M529">
            <v>1483.9274794919147</v>
          </cell>
        </row>
        <row r="530">
          <cell r="A530" t="str">
            <v>#UMV150170073</v>
          </cell>
          <cell r="B530" t="str">
            <v>#UMV150170073</v>
          </cell>
          <cell r="C530"/>
          <cell r="D530"/>
          <cell r="E530">
            <v>1488.3351541199256</v>
          </cell>
          <cell r="F530">
            <v>1489.1385215404439</v>
          </cell>
          <cell r="G530">
            <v>1485.6977876313656</v>
          </cell>
          <cell r="H530">
            <v>1487.0394062664136</v>
          </cell>
          <cell r="I530">
            <v>1487.7567313658665</v>
          </cell>
          <cell r="J530">
            <v>1485.8414171852003</v>
          </cell>
          <cell r="K530">
            <v>1484.586399529908</v>
          </cell>
          <cell r="L530">
            <v>1484.8773182471427</v>
          </cell>
          <cell r="M530">
            <v>1483.9274794919147</v>
          </cell>
        </row>
        <row r="531">
          <cell r="A531" t="str">
            <v>#UMV150370068</v>
          </cell>
          <cell r="B531" t="str">
            <v>#UMV150370068</v>
          </cell>
          <cell r="C531"/>
          <cell r="D531"/>
          <cell r="E531">
            <v>1471.3297845313516</v>
          </cell>
          <cell r="F531">
            <v>1472.1133623822782</v>
          </cell>
          <cell r="G531">
            <v>1468.7084344210193</v>
          </cell>
          <cell r="H531">
            <v>1470.031175037717</v>
          </cell>
          <cell r="I531">
            <v>1470.7367561996064</v>
          </cell>
          <cell r="J531">
            <v>1468.8398169215093</v>
          </cell>
          <cell r="K531">
            <v>1467.5850115580338</v>
          </cell>
          <cell r="L531">
            <v>1467.8690572835419</v>
          </cell>
          <cell r="M531">
            <v>1466.9265576676348</v>
          </cell>
        </row>
        <row r="532">
          <cell r="A532" t="str">
            <v>#UMV150370069</v>
          </cell>
          <cell r="B532" t="str">
            <v>#UMV150370069</v>
          </cell>
          <cell r="C532"/>
          <cell r="D532"/>
          <cell r="E532">
            <v>1471.3297845313516</v>
          </cell>
          <cell r="F532">
            <v>1472.1133623822782</v>
          </cell>
          <cell r="G532">
            <v>1468.7084344210193</v>
          </cell>
          <cell r="H532">
            <v>1470.031175037717</v>
          </cell>
          <cell r="I532">
            <v>1470.7367561996064</v>
          </cell>
          <cell r="J532">
            <v>1468.8398169215093</v>
          </cell>
          <cell r="K532">
            <v>1467.5850115580338</v>
          </cell>
          <cell r="L532">
            <v>1467.8690572835419</v>
          </cell>
          <cell r="M532">
            <v>1466.9265576676348</v>
          </cell>
        </row>
        <row r="533">
          <cell r="A533" t="str">
            <v>#UMV080470014</v>
          </cell>
          <cell r="B533" t="str">
            <v>#UMV080470014</v>
          </cell>
          <cell r="C533"/>
          <cell r="D533"/>
          <cell r="E533">
            <v>1464.0304378051287</v>
          </cell>
          <cell r="F533">
            <v>1464.8055965061362</v>
          </cell>
          <cell r="G533">
            <v>1461.4160627128113</v>
          </cell>
          <cell r="H533">
            <v>1462.7307253822501</v>
          </cell>
          <cell r="I533">
            <v>1463.4312908167165</v>
          </cell>
          <cell r="J533">
            <v>1461.5422636887097</v>
          </cell>
          <cell r="K533">
            <v>1460.2876499922802</v>
          </cell>
          <cell r="L533">
            <v>1460.5687708544517</v>
          </cell>
          <cell r="M533">
            <v>1459.6294465163867</v>
          </cell>
        </row>
        <row r="534">
          <cell r="A534" t="str">
            <v>#UMV110270016</v>
          </cell>
          <cell r="B534" t="str">
            <v>#UMV110270016</v>
          </cell>
          <cell r="C534"/>
          <cell r="D534"/>
          <cell r="E534">
            <v>1481.176227215328</v>
          </cell>
          <cell r="F534">
            <v>1481.9712337038306</v>
          </cell>
          <cell r="G534">
            <v>1478.5455635012052</v>
          </cell>
          <cell r="H534">
            <v>1479.8792248436205</v>
          </cell>
          <cell r="I534">
            <v>1480.5915959572251</v>
          </cell>
          <cell r="J534">
            <v>1478.6840073370017</v>
          </cell>
          <cell r="K534">
            <v>1477.4290391016252</v>
          </cell>
          <cell r="L534">
            <v>1477.7170543774371</v>
          </cell>
          <cell r="M534">
            <v>1476.7702953052228</v>
          </cell>
        </row>
        <row r="535">
          <cell r="A535" t="str">
            <v>#UMV140170019</v>
          </cell>
          <cell r="B535" t="str">
            <v>#UMV140170019</v>
          </cell>
          <cell r="C535"/>
          <cell r="D535"/>
          <cell r="E535">
            <v>1489.9006093835419</v>
          </cell>
          <cell r="F535">
            <v>1490.7058108994086</v>
          </cell>
          <cell r="G535">
            <v>1487.261784900094</v>
          </cell>
          <cell r="H535">
            <v>1488.6051455113923</v>
          </cell>
          <cell r="I535">
            <v>1489.3235558489159</v>
          </cell>
          <cell r="J535">
            <v>1487.4065542269559</v>
          </cell>
          <cell r="K535">
            <v>1486.1515335058643</v>
          </cell>
          <cell r="L535">
            <v>1486.4430890705012</v>
          </cell>
          <cell r="M535">
            <v>1485.4925788036066</v>
          </cell>
        </row>
        <row r="536">
          <cell r="A536" t="str">
            <v>#UMV150470068</v>
          </cell>
          <cell r="B536" t="str">
            <v>#UMV150470068</v>
          </cell>
          <cell r="C536"/>
          <cell r="D536"/>
          <cell r="E536">
            <v>1461.9150845039869</v>
          </cell>
          <cell r="F536">
            <v>1462.6878117830306</v>
          </cell>
          <cell r="G536">
            <v>1459.3027420205872</v>
          </cell>
          <cell r="H536">
            <v>1460.6150665280393</v>
          </cell>
          <cell r="I536">
            <v>1461.314181233241</v>
          </cell>
          <cell r="J536">
            <v>1459.4274498496413</v>
          </cell>
          <cell r="K536">
            <v>1458.1729029843666</v>
          </cell>
          <cell r="L536">
            <v>1458.4531790581905</v>
          </cell>
          <cell r="M536">
            <v>1457.5147777276836</v>
          </cell>
        </row>
        <row r="537">
          <cell r="A537" t="str">
            <v>#UMV180370015</v>
          </cell>
          <cell r="B537" t="str">
            <v>#UMV180370015</v>
          </cell>
          <cell r="C537"/>
          <cell r="D537"/>
          <cell r="E537">
            <v>1470.4133881851687</v>
          </cell>
          <cell r="F537">
            <v>1471.1959065720318</v>
          </cell>
          <cell r="G537">
            <v>1467.7929104502302</v>
          </cell>
          <cell r="H537">
            <v>1469.1146360899827</v>
          </cell>
          <cell r="I537">
            <v>1469.8195867211632</v>
          </cell>
          <cell r="J537">
            <v>1467.9236399512661</v>
          </cell>
          <cell r="K537">
            <v>1466.6688553357756</v>
          </cell>
          <cell r="L537">
            <v>1466.9525330257775</v>
          </cell>
          <cell r="M537">
            <v>1466.0104312244589</v>
          </cell>
        </row>
        <row r="538">
          <cell r="A538" t="str">
            <v>#UMV250270018</v>
          </cell>
          <cell r="B538" t="str">
            <v>#UMV250270018</v>
          </cell>
          <cell r="C538"/>
          <cell r="D538"/>
          <cell r="E538">
            <v>1476.8522396742292</v>
          </cell>
          <cell r="F538">
            <v>1477.642217234079</v>
          </cell>
          <cell r="G538">
            <v>1474.2256524709755</v>
          </cell>
          <cell r="H538">
            <v>1475.5545146695349</v>
          </cell>
          <cell r="I538">
            <v>1476.2639006356553</v>
          </cell>
          <cell r="J538">
            <v>1474.3609852318962</v>
          </cell>
          <cell r="K538">
            <v>1473.1060749871874</v>
          </cell>
          <cell r="L538">
            <v>1473.3923436630369</v>
          </cell>
          <cell r="M538">
            <v>1472.4474517267049</v>
          </cell>
        </row>
        <row r="539">
          <cell r="A539" t="str">
            <v>#UMV290370010</v>
          </cell>
          <cell r="B539" t="str">
            <v>#UMV290370010</v>
          </cell>
          <cell r="C539"/>
          <cell r="D539"/>
          <cell r="E539">
            <v>1467.0630124045779</v>
          </cell>
          <cell r="F539">
            <v>1467.8416634212351</v>
          </cell>
          <cell r="G539">
            <v>1464.4457321759155</v>
          </cell>
          <cell r="H539">
            <v>1465.7637490573336</v>
          </cell>
          <cell r="I539">
            <v>1466.4663964787505</v>
          </cell>
          <cell r="J539">
            <v>1464.5740803623453</v>
          </cell>
          <cell r="K539">
            <v>1463.3193797034987</v>
          </cell>
          <cell r="L539">
            <v>1463.6017138806076</v>
          </cell>
          <cell r="M539">
            <v>1462.6610685205151</v>
          </cell>
        </row>
        <row r="540">
          <cell r="A540" t="str">
            <v>#UMV040370018</v>
          </cell>
          <cell r="B540" t="str">
            <v>#UMV040370018</v>
          </cell>
          <cell r="C540"/>
          <cell r="D540"/>
          <cell r="E540">
            <v>1474.699699345244</v>
          </cell>
          <cell r="F540">
            <v>1475.4871793510715</v>
          </cell>
          <cell r="G540">
            <v>1472.0751493576395</v>
          </cell>
          <cell r="H540">
            <v>1473.4016244576731</v>
          </cell>
          <cell r="I540">
            <v>1474.1095263577927</v>
          </cell>
          <cell r="J540">
            <v>1472.2089393057979</v>
          </cell>
          <cell r="K540">
            <v>1470.9540658306462</v>
          </cell>
          <cell r="L540">
            <v>1471.2394670119938</v>
          </cell>
          <cell r="M540">
            <v>1470.2955065294291</v>
          </cell>
        </row>
        <row r="541">
          <cell r="A541" t="str">
            <v>#UMV110370016</v>
          </cell>
          <cell r="B541" t="str">
            <v>#UMV110370016</v>
          </cell>
          <cell r="C541"/>
          <cell r="D541"/>
          <cell r="E541">
            <v>1472.5534246212524</v>
          </cell>
          <cell r="F541">
            <v>1473.3384182580246</v>
          </cell>
          <cell r="G541">
            <v>1469.9309111296077</v>
          </cell>
          <cell r="H541">
            <v>1471.2550073906154</v>
          </cell>
          <cell r="I541">
            <v>1471.9614308558459</v>
          </cell>
          <cell r="J541">
            <v>1470.0631666757295</v>
          </cell>
          <cell r="K541">
            <v>1468.8083350920438</v>
          </cell>
          <cell r="L541">
            <v>1469.09287261894</v>
          </cell>
          <cell r="M541">
            <v>1468.1498421812321</v>
          </cell>
        </row>
        <row r="542">
          <cell r="A542" t="str">
            <v>#UMV210170045</v>
          </cell>
          <cell r="B542" t="str">
            <v>#UMV210170045</v>
          </cell>
          <cell r="C542"/>
          <cell r="D542"/>
          <cell r="E542">
            <v>1487.7098927386889</v>
          </cell>
          <cell r="F542">
            <v>1488.5125281810444</v>
          </cell>
          <cell r="G542">
            <v>1485.0731093640993</v>
          </cell>
          <cell r="H542">
            <v>1486.4140324278569</v>
          </cell>
          <cell r="I542">
            <v>1487.1309242650555</v>
          </cell>
          <cell r="J542">
            <v>1485.2162842610758</v>
          </cell>
          <cell r="K542">
            <v>1483.9612686066782</v>
          </cell>
          <cell r="L542">
            <v>1484.251933154761</v>
          </cell>
          <cell r="M542">
            <v>1483.3023628026283</v>
          </cell>
        </row>
        <row r="543">
          <cell r="A543" t="str">
            <v>#UMV210170044</v>
          </cell>
          <cell r="B543" t="str">
            <v>#UMV210170044</v>
          </cell>
          <cell r="C543"/>
          <cell r="D543"/>
          <cell r="E543">
            <v>1487.7098927386889</v>
          </cell>
          <cell r="F543">
            <v>1488.5125281810444</v>
          </cell>
          <cell r="G543">
            <v>1485.0731093640993</v>
          </cell>
          <cell r="H543">
            <v>1486.4140324278569</v>
          </cell>
          <cell r="I543">
            <v>1487.1309242650555</v>
          </cell>
          <cell r="J543">
            <v>1485.2162842610758</v>
          </cell>
          <cell r="K543">
            <v>1483.9612686066782</v>
          </cell>
          <cell r="L543">
            <v>1484.251933154761</v>
          </cell>
          <cell r="M543">
            <v>1483.3023628026283</v>
          </cell>
        </row>
        <row r="544">
          <cell r="A544" t="str">
            <v>#UMV180270022</v>
          </cell>
          <cell r="B544" t="str">
            <v>#UMV180270022</v>
          </cell>
          <cell r="C544"/>
          <cell r="D544"/>
          <cell r="E544">
            <v>1479.0110730850213</v>
          </cell>
          <cell r="F544">
            <v>1479.8035594501646</v>
          </cell>
          <cell r="G544">
            <v>1476.3824479662408</v>
          </cell>
          <cell r="H544">
            <v>1477.7137055648313</v>
          </cell>
          <cell r="I544">
            <v>1478.4245812585484</v>
          </cell>
          <cell r="J544">
            <v>1476.5193320048381</v>
          </cell>
          <cell r="K544">
            <v>1475.2643901580598</v>
          </cell>
          <cell r="L544">
            <v>1475.5515301911221</v>
          </cell>
          <cell r="M544">
            <v>1474.6057053917007</v>
          </cell>
        </row>
        <row r="545">
          <cell r="A545" t="str">
            <v>#UMV140170018</v>
          </cell>
          <cell r="B545" t="str">
            <v>#UMV140170018</v>
          </cell>
          <cell r="C545"/>
          <cell r="D545"/>
          <cell r="E545">
            <v>1489.9006093835419</v>
          </cell>
          <cell r="F545">
            <v>1490.7058108994086</v>
          </cell>
          <cell r="G545">
            <v>1487.261784900094</v>
          </cell>
          <cell r="H545">
            <v>1488.6051455113923</v>
          </cell>
          <cell r="I545">
            <v>1489.3235558489159</v>
          </cell>
          <cell r="J545">
            <v>1487.4065542269559</v>
          </cell>
          <cell r="K545">
            <v>1486.1515335058643</v>
          </cell>
          <cell r="L545">
            <v>1486.4430890705012</v>
          </cell>
          <cell r="M545">
            <v>1485.4925788036066</v>
          </cell>
        </row>
        <row r="546">
          <cell r="A546" t="str">
            <v>#UMV280170011</v>
          </cell>
          <cell r="B546" t="str">
            <v>#UMV280170011</v>
          </cell>
          <cell r="C546"/>
          <cell r="D546"/>
          <cell r="E546">
            <v>1485.5256089968818</v>
          </cell>
          <cell r="F546">
            <v>1486.3256899559526</v>
          </cell>
          <cell r="G546">
            <v>1482.8908661341518</v>
          </cell>
          <cell r="H546">
            <v>1484.2293601661538</v>
          </cell>
          <cell r="I546">
            <v>1484.9447393202636</v>
          </cell>
          <cell r="J546">
            <v>1483.032455343465</v>
          </cell>
          <cell r="K546">
            <v>1481.7774501572712</v>
          </cell>
          <cell r="L546">
            <v>1482.0672276673426</v>
          </cell>
          <cell r="M546">
            <v>1481.118595819072</v>
          </cell>
        </row>
        <row r="547">
          <cell r="A547" t="str">
            <v>#UMV070170014</v>
          </cell>
          <cell r="B547" t="str">
            <v>#UMV070170014</v>
          </cell>
          <cell r="C547"/>
          <cell r="D547"/>
          <cell r="E547">
            <v>1492.0977873915267</v>
          </cell>
          <cell r="F547">
            <v>1492.9055666404388</v>
          </cell>
          <cell r="G547">
            <v>1489.4569212235815</v>
          </cell>
          <cell r="H547">
            <v>1490.8027279419273</v>
          </cell>
          <cell r="I547">
            <v>1491.5226626287977</v>
          </cell>
          <cell r="J547">
            <v>1489.6032937793129</v>
          </cell>
          <cell r="K547">
            <v>1488.3482734410939</v>
          </cell>
          <cell r="L547">
            <v>1488.640724024511</v>
          </cell>
          <cell r="M547">
            <v>1487.6892724317399</v>
          </cell>
        </row>
        <row r="548">
          <cell r="A548" t="str">
            <v>#UMV070170013</v>
          </cell>
          <cell r="B548" t="str">
            <v>#UMV070170013</v>
          </cell>
          <cell r="C548"/>
          <cell r="D548"/>
          <cell r="E548">
            <v>1492.0977873915267</v>
          </cell>
          <cell r="F548">
            <v>1492.9055666404388</v>
          </cell>
          <cell r="G548">
            <v>1489.4569212235815</v>
          </cell>
          <cell r="H548">
            <v>1490.8027279419273</v>
          </cell>
          <cell r="I548">
            <v>1491.5226626287977</v>
          </cell>
          <cell r="J548">
            <v>1489.6032937793129</v>
          </cell>
          <cell r="K548">
            <v>1488.3482734410939</v>
          </cell>
          <cell r="L548">
            <v>1488.640724024511</v>
          </cell>
          <cell r="M548">
            <v>1487.6892724317399</v>
          </cell>
        </row>
        <row r="549">
          <cell r="A549" t="str">
            <v>#UMV050470018</v>
          </cell>
          <cell r="B549" t="str">
            <v>#UMV050470018</v>
          </cell>
          <cell r="C549"/>
          <cell r="D549"/>
          <cell r="E549">
            <v>1464.938892951011</v>
          </cell>
          <cell r="F549">
            <v>1465.7150970109703</v>
          </cell>
          <cell r="G549">
            <v>1462.3236464899917</v>
          </cell>
          <cell r="H549">
            <v>1463.6393136918732</v>
          </cell>
          <cell r="I549">
            <v>1464.3405025438497</v>
          </cell>
          <cell r="J549">
            <v>1462.4504898765877</v>
          </cell>
          <cell r="K549">
            <v>1461.195849035676</v>
          </cell>
          <cell r="L549">
            <v>1461.4773330903201</v>
          </cell>
          <cell r="M549">
            <v>1460.5376127470925</v>
          </cell>
        </row>
        <row r="550">
          <cell r="A550" t="str">
            <v>#UMV030270021</v>
          </cell>
          <cell r="B550" t="str">
            <v>#UMV030270021</v>
          </cell>
          <cell r="C550"/>
          <cell r="D550"/>
          <cell r="E550">
            <v>1483.658464404084</v>
          </cell>
          <cell r="F550">
            <v>1484.4563649787649</v>
          </cell>
          <cell r="G550">
            <v>1481.02547006036</v>
          </cell>
          <cell r="H550">
            <v>1482.3618888100839</v>
          </cell>
          <cell r="I550">
            <v>1483.0759759848022</v>
          </cell>
          <cell r="J550">
            <v>1481.1657070242088</v>
          </cell>
          <cell r="K550">
            <v>1479.9107150738023</v>
          </cell>
          <cell r="L550">
            <v>1480.199735414348</v>
          </cell>
          <cell r="M550">
            <v>1479.2519068751865</v>
          </cell>
        </row>
        <row r="551">
          <cell r="A551" t="str">
            <v>#UMV010670037</v>
          </cell>
          <cell r="B551" t="str">
            <v>#UMV010670037</v>
          </cell>
          <cell r="C551"/>
          <cell r="D551"/>
          <cell r="E551">
            <v>1447.2770581589677</v>
          </cell>
          <cell r="F551">
            <v>1448.0330643092218</v>
          </cell>
          <cell r="G551">
            <v>1444.6789196019176</v>
          </cell>
          <cell r="H551">
            <v>1445.9750991175506</v>
          </cell>
          <cell r="I551">
            <v>1446.6642097773422</v>
          </cell>
          <cell r="J551">
            <v>1444.7933991910941</v>
          </cell>
          <cell r="K551">
            <v>1443.5394537563545</v>
          </cell>
          <cell r="L551">
            <v>1443.813918927382</v>
          </cell>
          <cell r="M551">
            <v>1442.8819393240215</v>
          </cell>
        </row>
        <row r="552">
          <cell r="A552" t="str">
            <v>#UMV290670004</v>
          </cell>
          <cell r="B552" t="str">
            <v>#UMV290670004</v>
          </cell>
          <cell r="C552"/>
          <cell r="D552"/>
          <cell r="E552">
            <v>1439.0433361287116</v>
          </cell>
          <cell r="F552">
            <v>1439.7900167436514</v>
          </cell>
          <cell r="G552">
            <v>1436.4532934581571</v>
          </cell>
          <cell r="H552">
            <v>1437.7404183599574</v>
          </cell>
          <cell r="I552">
            <v>1438.4239286204813</v>
          </cell>
          <cell r="J552">
            <v>1436.5620997790322</v>
          </cell>
          <cell r="K552">
            <v>1435.3085993486186</v>
          </cell>
          <cell r="L552">
            <v>1435.5798227861239</v>
          </cell>
          <cell r="M552">
            <v>1434.6514819058393</v>
          </cell>
        </row>
        <row r="553">
          <cell r="A553" t="str">
            <v>#UMV150470071</v>
          </cell>
          <cell r="B553" t="str">
            <v>#UMV150470071</v>
          </cell>
          <cell r="C553"/>
          <cell r="D553"/>
          <cell r="E553">
            <v>1460.7090534822653</v>
          </cell>
          <cell r="F553">
            <v>1461.4803962290935</v>
          </cell>
          <cell r="G553">
            <v>1458.0978721166423</v>
          </cell>
          <cell r="H553">
            <v>1459.4088641318783</v>
          </cell>
          <cell r="I553">
            <v>1460.1071522988921</v>
          </cell>
          <cell r="J553">
            <v>1458.2217303563536</v>
          </cell>
          <cell r="K553">
            <v>1456.9672238636185</v>
          </cell>
          <cell r="L553">
            <v>1457.2470188672289</v>
          </cell>
          <cell r="M553">
            <v>1456.3091443383973</v>
          </cell>
        </row>
        <row r="554">
          <cell r="A554" t="str">
            <v>#UMV040570009</v>
          </cell>
          <cell r="B554" t="str">
            <v>#UMV040570009</v>
          </cell>
          <cell r="C554"/>
          <cell r="D554"/>
          <cell r="E554">
            <v>1455.6055435704636</v>
          </cell>
          <cell r="F554">
            <v>1456.3710411151617</v>
          </cell>
          <cell r="G554">
            <v>1452.9992938408247</v>
          </cell>
          <cell r="H554">
            <v>1454.3046517814203</v>
          </cell>
          <cell r="I554">
            <v>1454.9994468983055</v>
          </cell>
          <cell r="J554">
            <v>1453.1195705893842</v>
          </cell>
          <cell r="K554">
            <v>1451.8652531865621</v>
          </cell>
          <cell r="L554">
            <v>1452.1430170544913</v>
          </cell>
          <cell r="M554">
            <v>1451.207376314363</v>
          </cell>
        </row>
        <row r="555">
          <cell r="A555" t="str">
            <v>#UMV140170021</v>
          </cell>
          <cell r="B555" t="str">
            <v>#UMV140170021</v>
          </cell>
          <cell r="C555"/>
          <cell r="D555"/>
          <cell r="E555">
            <v>1488.6479819427118</v>
          </cell>
          <cell r="F555">
            <v>1489.4517157076164</v>
          </cell>
          <cell r="G555">
            <v>1486.0103238790452</v>
          </cell>
          <cell r="H555">
            <v>1487.3522905607426</v>
          </cell>
          <cell r="I555">
            <v>1488.0698324696318</v>
          </cell>
          <cell r="J555">
            <v>1486.1541810293397</v>
          </cell>
          <cell r="K555">
            <v>1484.8991625393001</v>
          </cell>
          <cell r="L555">
            <v>1485.1902084630747</v>
          </cell>
          <cell r="M555">
            <v>1484.2402354631065</v>
          </cell>
        </row>
        <row r="556">
          <cell r="A556" t="str">
            <v>#UMV200470019</v>
          </cell>
          <cell r="B556" t="str">
            <v>#UMV200470019</v>
          </cell>
          <cell r="C556"/>
          <cell r="D556"/>
          <cell r="H556">
            <v>1459.1076247510236</v>
          </cell>
          <cell r="I556">
            <v>1459.8057065610462</v>
          </cell>
          <cell r="J556">
            <v>1457.920611705101</v>
          </cell>
          <cell r="K556">
            <v>1456.6661155523495</v>
          </cell>
          <cell r="L556">
            <v>1456.9457904770934</v>
          </cell>
          <cell r="M556">
            <v>1456.0080475769696</v>
          </cell>
        </row>
        <row r="557">
          <cell r="A557" t="str">
            <v>#UMV200470018</v>
          </cell>
          <cell r="B557" t="str">
            <v>#UMV200470018</v>
          </cell>
          <cell r="C557"/>
          <cell r="D557"/>
          <cell r="H557">
            <v>1459.1076247510236</v>
          </cell>
          <cell r="I557">
            <v>1459.8057065610462</v>
          </cell>
          <cell r="J557">
            <v>1457.920611705101</v>
          </cell>
          <cell r="K557">
            <v>1456.6661155523495</v>
          </cell>
          <cell r="L557">
            <v>1456.9457904770934</v>
          </cell>
          <cell r="M557">
            <v>1456.0080475769696</v>
          </cell>
        </row>
        <row r="558">
          <cell r="A558" t="str">
            <v>#UMV200470017</v>
          </cell>
          <cell r="B558" t="str">
            <v>#UMV200470017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</row>
        <row r="559">
          <cell r="A559" t="str">
            <v>#UMV200470016</v>
          </cell>
          <cell r="B559" t="str">
            <v>#UMV200470016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</row>
        <row r="560">
          <cell r="A560" t="str">
            <v>#UMV040570010</v>
          </cell>
          <cell r="B560" t="str">
            <v>#UMV040570010</v>
          </cell>
          <cell r="C560"/>
          <cell r="D560"/>
          <cell r="H560">
            <v>1454.9032934677305</v>
          </cell>
          <cell r="I560">
            <v>1455.5984978810893</v>
          </cell>
          <cell r="J560">
            <v>1453.7179707776666</v>
          </cell>
          <cell r="K560">
            <v>1452.4636296695901</v>
          </cell>
          <cell r="L560">
            <v>1452.741631373455</v>
          </cell>
          <cell r="M560">
            <v>1451.8057282645948</v>
          </cell>
        </row>
        <row r="561">
          <cell r="A561" t="str">
            <v>#UMV180570011</v>
          </cell>
          <cell r="B561" t="str">
            <v>#UMV180570011</v>
          </cell>
          <cell r="C561"/>
          <cell r="D561"/>
          <cell r="H561">
            <v>1450.7231216283162</v>
          </cell>
          <cell r="I561">
            <v>1451.4154701420141</v>
          </cell>
          <cell r="J561">
            <v>1449.5394894971473</v>
          </cell>
          <cell r="K561">
            <v>1448.2853223988934</v>
          </cell>
          <cell r="L561">
            <v>1448.5616654797934</v>
          </cell>
          <cell r="M561">
            <v>1447.6275965460127</v>
          </cell>
        </row>
        <row r="562">
          <cell r="A562" t="str">
            <v>#UMV010670043</v>
          </cell>
          <cell r="B562" t="str">
            <v>#UMV010670043</v>
          </cell>
          <cell r="C562"/>
          <cell r="D562"/>
          <cell r="H562">
            <v>1446.5669015874423</v>
          </cell>
          <cell r="I562">
            <v>1447.2564154711806</v>
          </cell>
          <cell r="J562">
            <v>1445.3849601314394</v>
          </cell>
          <cell r="K562">
            <v>1444.1309856747062</v>
          </cell>
          <cell r="L562">
            <v>1444.4056845622692</v>
          </cell>
          <cell r="M562">
            <v>1443.4734441930509</v>
          </cell>
        </row>
        <row r="563">
          <cell r="A563" t="str">
            <v>#UMV220670013</v>
          </cell>
          <cell r="B563" t="str">
            <v>#UMV220670013</v>
          </cell>
          <cell r="C563"/>
          <cell r="D563"/>
          <cell r="H563">
            <v>1440.3770327550985</v>
          </cell>
          <cell r="I563">
            <v>1441.0623340849406</v>
          </cell>
          <cell r="J563">
            <v>1439.1976273448699</v>
          </cell>
          <cell r="K563">
            <v>1437.9439760695666</v>
          </cell>
          <cell r="L563">
            <v>1438.216235360479</v>
          </cell>
          <cell r="M563">
            <v>1437.2867273318166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workbookViewId="0">
      <pane ySplit="1" topLeftCell="A197" activePane="bottomLeft" state="frozen"/>
      <selection pane="bottomLeft" activeCell="F226" sqref="F226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>
        <f>+WORKDAY(A200,1,Feriados!$A$2:$A$38)</f>
        <v>46302</v>
      </c>
      <c r="B201">
        <f>INDEX('[1]Precios historicos'!$A:$AZ,MATCH(B$1,'[1]Precios historicos'!$A:$A,0),MATCH($A201,'[1]Precios historicos'!$7:$7,0))</f>
        <v>1.0368340300000001</v>
      </c>
      <c r="C201">
        <f>INDEX('[1]Precios historicos'!$A:$AZ,MATCH(C$1,'[1]Precios historicos'!$A:$A,0),MATCH($A201,'[1]Precios historicos'!$7:$7,0))</f>
        <v>1.2838353899999999</v>
      </c>
      <c r="D201">
        <f>INDEX('[1]Precios historicos'!$A:$AZ,MATCH(D$1,'[1]Precios historicos'!$A:$A,0),MATCH($A201,'[1]Precios historicos'!$7:$7,0))</f>
        <v>1.0285748800000001</v>
      </c>
      <c r="E201">
        <f>INDEX('[1]Precios historicos'!$A:$AZ,MATCH(E$1,'[1]Precios historicos'!$A:$A,0),MATCH($A201,'[1]Precios historicos'!$7:$7,0))</f>
        <v>1.2525073600000001</v>
      </c>
      <c r="F201">
        <f>INDEX('[1]Precios historicos'!$A:$AZ,MATCH(F$1,'[1]Precios historicos'!$A:$A,0),MATCH($A201,'[1]Precios historicos'!$7:$7,0))</f>
        <v>1.2563465</v>
      </c>
      <c r="G201">
        <f>INDEX('[1]Precios historicos'!$A:$AZ,MATCH(G$1,'[1]Precios historicos'!$A:$A,0),MATCH($A201,'[1]Precios historicos'!$7:$7,0))</f>
        <v>1.3638211099999999</v>
      </c>
      <c r="H201">
        <f>INDEX('[1]Precios historicos'!$A:$AZ,MATCH(H$1,'[1]Precios historicos'!$A:$A,0),MATCH($A201,'[1]Precios historicos'!$7:$7,0))</f>
        <v>1.2972002300000001</v>
      </c>
      <c r="I201">
        <f>INDEX('[1]Precios historicos'!$A:$AZ,MATCH(I$1,'[1]Precios historicos'!$A:$A,0),MATCH($A201,'[1]Precios historicos'!$7:$7,0))</f>
        <v>4.0877081000000004</v>
      </c>
      <c r="J201">
        <f>INDEX('[1]Precios historicos'!$A:$AZ,MATCH(J$1,'[1]Precios historicos'!$A:$A,0),MATCH($A201,'[1]Precios historicos'!$7:$7,0))</f>
        <v>1.2782489500000001</v>
      </c>
      <c r="K201">
        <f>INDEX('[1]Precios historicos'!$A:$AZ,MATCH(K$1,'[1]Precios historicos'!$A:$A,0),MATCH($A201,'[1]Precios historicos'!$7:$7,0))</f>
        <v>1.27552815</v>
      </c>
    </row>
    <row r="202" spans="1:11" x14ac:dyDescent="0.25">
      <c r="A202" s="4">
        <f>+WORKDAY(A201,1,Feriados!$A$2:$A$38)</f>
        <v>46303</v>
      </c>
      <c r="B202">
        <f>INDEX('[1]Precios historicos'!$A:$AZ,MATCH(B$1,'[1]Precios historicos'!$A:$A,0),MATCH($A202,'[1]Precios historicos'!$7:$7,0))</f>
        <v>1.0378953</v>
      </c>
      <c r="C202">
        <f>INDEX('[1]Precios historicos'!$A:$AZ,MATCH(C$1,'[1]Precios historicos'!$A:$A,0),MATCH($A202,'[1]Precios historicos'!$7:$7,0))</f>
        <v>1.284648</v>
      </c>
      <c r="D202">
        <f>INDEX('[1]Precios historicos'!$A:$AZ,MATCH(D$1,'[1]Precios historicos'!$A:$A,0),MATCH($A202,'[1]Precios historicos'!$7:$7,0))</f>
        <v>1.0286919000000001</v>
      </c>
      <c r="E202">
        <f>INDEX('[1]Precios historicos'!$A:$AZ,MATCH(E$1,'[1]Precios historicos'!$A:$A,0),MATCH($A202,'[1]Precios historicos'!$7:$7,0))</f>
        <v>1.2515807800000001</v>
      </c>
      <c r="F202">
        <f>INDEX('[1]Precios historicos'!$A:$AZ,MATCH(F$1,'[1]Precios historicos'!$A:$A,0),MATCH($A202,'[1]Precios historicos'!$7:$7,0))</f>
        <v>1.2574978000000001</v>
      </c>
      <c r="G202">
        <f>INDEX('[1]Precios historicos'!$A:$AZ,MATCH(G$1,'[1]Precios historicos'!$A:$A,0),MATCH($A202,'[1]Precios historicos'!$7:$7,0))</f>
        <v>1.3664060499999999</v>
      </c>
      <c r="H202">
        <f>INDEX('[1]Precios historicos'!$A:$AZ,MATCH(H$1,'[1]Precios historicos'!$A:$A,0),MATCH($A202,'[1]Precios historicos'!$7:$7,0))</f>
        <v>1.30047062</v>
      </c>
      <c r="I202">
        <f>INDEX('[1]Precios historicos'!$A:$AZ,MATCH(I$1,'[1]Precios historicos'!$A:$A,0),MATCH($A202,'[1]Precios historicos'!$7:$7,0))</f>
        <v>4.0897800000000002</v>
      </c>
      <c r="J202">
        <f>INDEX('[1]Precios historicos'!$A:$AZ,MATCH(J$1,'[1]Precios historicos'!$A:$A,0),MATCH($A202,'[1]Precios historicos'!$7:$7,0))</f>
        <v>1.277136</v>
      </c>
      <c r="K202">
        <f>INDEX('[1]Precios historicos'!$A:$AZ,MATCH(K$1,'[1]Precios historicos'!$A:$A,0),MATCH($A202,'[1]Precios historicos'!$7:$7,0))</f>
        <v>1.2763398500000001</v>
      </c>
    </row>
    <row r="203" spans="1:11" x14ac:dyDescent="0.25">
      <c r="A203" s="4">
        <f>+WORKDAY(A202,1,Feriados!$A$2:$A$38)</f>
        <v>46304</v>
      </c>
      <c r="B203">
        <f>INDEX('[1]Precios historicos'!$A:$AZ,MATCH(B$1,'[1]Precios historicos'!$A:$A,0),MATCH($A203,'[1]Precios historicos'!$7:$7,0))</f>
        <v>1.0415968799999999</v>
      </c>
      <c r="C203">
        <f>INDEX('[1]Precios historicos'!$A:$AZ,MATCH(C$1,'[1]Precios historicos'!$A:$A,0),MATCH($A203,'[1]Precios historicos'!$7:$7,0))</f>
        <v>1.2905880999999999</v>
      </c>
      <c r="D203">
        <f>INDEX('[1]Precios historicos'!$A:$AZ,MATCH(D$1,'[1]Precios historicos'!$A:$A,0),MATCH($A203,'[1]Precios historicos'!$7:$7,0))</f>
        <v>1.0299231099999999</v>
      </c>
      <c r="E203">
        <f>INDEX('[1]Precios historicos'!$A:$AZ,MATCH(E$1,'[1]Precios historicos'!$A:$A,0),MATCH($A203,'[1]Precios historicos'!$7:$7,0))</f>
        <v>1.25329863</v>
      </c>
      <c r="F203">
        <f>INDEX('[1]Precios historicos'!$A:$AZ,MATCH(F$1,'[1]Precios historicos'!$A:$A,0),MATCH($A203,'[1]Precios historicos'!$7:$7,0))</f>
        <v>1.26211111</v>
      </c>
      <c r="G203">
        <f>INDEX('[1]Precios historicos'!$A:$AZ,MATCH(G$1,'[1]Precios historicos'!$A:$A,0),MATCH($A203,'[1]Precios historicos'!$7:$7,0))</f>
        <v>1.36954767</v>
      </c>
      <c r="H203">
        <f>INDEX('[1]Precios historicos'!$A:$AZ,MATCH(H$1,'[1]Precios historicos'!$A:$A,0),MATCH($A203,'[1]Precios historicos'!$7:$7,0))</f>
        <v>1.3063048799999999</v>
      </c>
      <c r="I203">
        <f>INDEX('[1]Precios historicos'!$A:$AZ,MATCH(I$1,'[1]Precios historicos'!$A:$A,0),MATCH($A203,'[1]Precios historicos'!$7:$7,0))</f>
        <v>4.0949929899999997</v>
      </c>
      <c r="J203">
        <f>INDEX('[1]Precios historicos'!$A:$AZ,MATCH(J$1,'[1]Precios historicos'!$A:$A,0),MATCH($A203,'[1]Precios historicos'!$7:$7,0))</f>
        <v>1.27508665</v>
      </c>
      <c r="K203">
        <f>INDEX('[1]Precios historicos'!$A:$AZ,MATCH(K$1,'[1]Precios historicos'!$A:$A,0),MATCH($A203,'[1]Precios historicos'!$7:$7,0))</f>
        <v>1.27997136</v>
      </c>
    </row>
    <row r="204" spans="1:11" x14ac:dyDescent="0.25">
      <c r="A204" s="4">
        <f>+WORKDAY(A203,1,Feriados!$A$2:$A$38)</f>
        <v>46308</v>
      </c>
      <c r="B204">
        <f>INDEX('[1]Precios historicos'!$A:$AZ,MATCH(B$1,'[1]Precios historicos'!$A:$A,0),MATCH($A204,'[1]Precios historicos'!$7:$7,0))</f>
        <v>1.0406137799999999</v>
      </c>
      <c r="C204">
        <f>INDEX('[1]Precios historicos'!$A:$AZ,MATCH(C$1,'[1]Precios historicos'!$A:$A,0),MATCH($A204,'[1]Precios historicos'!$7:$7,0))</f>
        <v>1.2911038800000001</v>
      </c>
      <c r="D204">
        <f>INDEX('[1]Precios historicos'!$A:$AZ,MATCH(D$1,'[1]Precios historicos'!$A:$A,0),MATCH($A204,'[1]Precios historicos'!$7:$7,0))</f>
        <v>1.0300585799999999</v>
      </c>
      <c r="E204">
        <f>INDEX('[1]Precios historicos'!$A:$AZ,MATCH(E$1,'[1]Precios historicos'!$A:$A,0),MATCH($A204,'[1]Precios historicos'!$7:$7,0))</f>
        <v>1.25503353</v>
      </c>
      <c r="F204">
        <f>INDEX('[1]Precios historicos'!$A:$AZ,MATCH(F$1,'[1]Precios historicos'!$A:$A,0),MATCH($A204,'[1]Precios historicos'!$7:$7,0))</f>
        <v>1.2606297799999999</v>
      </c>
      <c r="G204">
        <f>INDEX('[1]Precios historicos'!$A:$AZ,MATCH(G$1,'[1]Precios historicos'!$A:$A,0),MATCH($A204,'[1]Precios historicos'!$7:$7,0))</f>
        <v>1.3711843500000001</v>
      </c>
      <c r="H204">
        <f>INDEX('[1]Precios historicos'!$A:$AZ,MATCH(H$1,'[1]Precios historicos'!$A:$A,0),MATCH($A204,'[1]Precios historicos'!$7:$7,0))</f>
        <v>1.3084733</v>
      </c>
      <c r="I204">
        <f>INDEX('[1]Precios historicos'!$A:$AZ,MATCH(I$1,'[1]Precios historicos'!$A:$A,0),MATCH($A204,'[1]Precios historicos'!$7:$7,0))</f>
        <v>4.1012386899999997</v>
      </c>
      <c r="J204">
        <f>INDEX('[1]Precios historicos'!$A:$AZ,MATCH(J$1,'[1]Precios historicos'!$A:$A,0),MATCH($A204,'[1]Precios historicos'!$7:$7,0))</f>
        <v>1.2767506399999999</v>
      </c>
      <c r="K204">
        <f>INDEX('[1]Precios historicos'!$A:$AZ,MATCH(K$1,'[1]Precios historicos'!$A:$A,0),MATCH($A204,'[1]Precios historicos'!$7:$7,0))</f>
        <v>1.2802404700000001</v>
      </c>
    </row>
    <row r="205" spans="1:11" x14ac:dyDescent="0.25">
      <c r="A205" s="4">
        <f>+WORKDAY(A204,1,Feriados!$A$2:$A$38)</f>
        <v>46309</v>
      </c>
      <c r="B205">
        <f>INDEX('[1]Precios historicos'!$A:$AZ,MATCH(B$1,'[1]Precios historicos'!$A:$A,0),MATCH($A205,'[1]Precios historicos'!$7:$7,0))</f>
        <v>1.04013471</v>
      </c>
      <c r="C205">
        <f>INDEX('[1]Precios historicos'!$A:$AZ,MATCH(C$1,'[1]Precios historicos'!$A:$A,0),MATCH($A205,'[1]Precios historicos'!$7:$7,0))</f>
        <v>1.291304</v>
      </c>
      <c r="D205">
        <f>INDEX('[1]Precios historicos'!$A:$AZ,MATCH(D$1,'[1]Precios historicos'!$A:$A,0),MATCH($A205,'[1]Precios historicos'!$7:$7,0))</f>
        <v>1.0310101599999999</v>
      </c>
      <c r="E205">
        <f>INDEX('[1]Precios historicos'!$A:$AZ,MATCH(E$1,'[1]Precios historicos'!$A:$A,0),MATCH($A205,'[1]Precios historicos'!$7:$7,0))</f>
        <v>1.2571690799999999</v>
      </c>
      <c r="F205">
        <f>INDEX('[1]Precios historicos'!$A:$AZ,MATCH(F$1,'[1]Precios historicos'!$A:$A,0),MATCH($A205,'[1]Precios historicos'!$7:$7,0))</f>
        <v>1.26006102</v>
      </c>
      <c r="G205">
        <f>INDEX('[1]Precios historicos'!$A:$AZ,MATCH(G$1,'[1]Precios historicos'!$A:$A,0),MATCH($A205,'[1]Precios historicos'!$7:$7,0))</f>
        <v>1.37126331</v>
      </c>
      <c r="H205">
        <f>INDEX('[1]Precios historicos'!$A:$AZ,MATCH(H$1,'[1]Precios historicos'!$A:$A,0),MATCH($A205,'[1]Precios historicos'!$7:$7,0))</f>
        <v>1.3090459999999999</v>
      </c>
      <c r="I205">
        <f>INDEX('[1]Precios historicos'!$A:$AZ,MATCH(I$1,'[1]Precios historicos'!$A:$A,0),MATCH($A205,'[1]Precios historicos'!$7:$7,0))</f>
        <v>4.1108232600000001</v>
      </c>
      <c r="J205">
        <f>INDEX('[1]Precios historicos'!$A:$AZ,MATCH(J$1,'[1]Precios historicos'!$A:$A,0),MATCH($A205,'[1]Precios historicos'!$7:$7,0))</f>
        <v>1.2759046999999999</v>
      </c>
      <c r="K205">
        <f>INDEX('[1]Precios historicos'!$A:$AZ,MATCH(K$1,'[1]Precios historicos'!$A:$A,0),MATCH($A205,'[1]Precios historicos'!$7:$7,0))</f>
        <v>1.2795586299999999</v>
      </c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B496" sqref="B496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>
        <f>+IFERROR(VLOOKUP(A490,[2]Variables!$M:$N,2,0),0)</f>
        <v>24.1875</v>
      </c>
    </row>
    <row r="491" spans="1:2" x14ac:dyDescent="0.25">
      <c r="A491" s="2">
        <f>+WORKDAY(A490,1,Feriados!$A$2:$A$38)</f>
        <v>46302</v>
      </c>
      <c r="B491" s="3">
        <f>+IFERROR(VLOOKUP(A491,[2]Variables!$M:$N,2,0),0)</f>
        <v>24</v>
      </c>
    </row>
    <row r="492" spans="1:2" x14ac:dyDescent="0.25">
      <c r="A492" s="2">
        <f>+WORKDAY(A491,1,Feriados!$A$2:$A$38)</f>
        <v>46303</v>
      </c>
      <c r="B492" s="3">
        <f>+IFERROR(VLOOKUP(A492,[2]Variables!$M:$N,2,0),0)</f>
        <v>24.125</v>
      </c>
    </row>
    <row r="493" spans="1:2" x14ac:dyDescent="0.25">
      <c r="A493" s="2">
        <f>+WORKDAY(A492,1,Feriados!$A$2:$A$38)</f>
        <v>46304</v>
      </c>
      <c r="B493" s="3">
        <f>+IFERROR(VLOOKUP(A493,[2]Variables!$M:$N,2,0),0)</f>
        <v>24.0625</v>
      </c>
    </row>
    <row r="494" spans="1:2" x14ac:dyDescent="0.25">
      <c r="A494" s="2">
        <f>+WORKDAY(A493,1,Feriados!$A$2:$A$38)</f>
        <v>46308</v>
      </c>
      <c r="B494" s="3">
        <f>+IFERROR(VLOOKUP(A494,[2]Variables!$M:$N,2,0),0)</f>
        <v>23.8125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abSelected="1" topLeftCell="A437" workbookViewId="0">
      <selection activeCell="B453" sqref="B453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854.97756035401005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8" sqref="A8:A1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J20" sqref="J20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2026-10-16T13:48:38Z</dcterms:modified>
</cp:coreProperties>
</file>