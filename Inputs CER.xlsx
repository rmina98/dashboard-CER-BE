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 activeTab="1"/>
  </bookViews>
  <sheets>
    <sheet name="Precios" sheetId="3" r:id="rId1"/>
    <sheet name="TAMAR" sheetId="6" r:id="rId2"/>
    <sheet name="CER" sheetId="1" r:id="rId3"/>
    <sheet name="Feriados" sheetId="2" r:id="rId4"/>
    <sheet name="Lecaps" sheetId="4" r:id="rId5"/>
    <sheet name="LECER" sheetId="5" r:id="rId6"/>
  </sheets>
  <externalReferences>
    <externalReference r:id="rId7"/>
    <externalReference r:id="rId8"/>
  </externalReferences>
  <definedNames>
    <definedName name="_xlnm._FilterDatabase" localSheetId="0" hidden="1">Precios!$A$1:$K$198</definedName>
  </definedNames>
  <calcPr calcId="162913" calcMode="manual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20" i="1" l="1"/>
  <c r="A421" i="1" s="1"/>
  <c r="A487" i="6"/>
  <c r="A488" i="6" l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B487" i="6"/>
  <c r="A422" i="1"/>
  <c r="A423" i="1" l="1"/>
  <c r="A424" i="1" l="1"/>
  <c r="A425" i="1" l="1"/>
  <c r="B425" i="1" s="1"/>
  <c r="A426" i="1" l="1"/>
  <c r="B426" i="1" s="1"/>
  <c r="A427" i="1" l="1"/>
  <c r="B427" i="1" s="1"/>
  <c r="A428" i="1" l="1"/>
  <c r="B428" i="1" s="1"/>
  <c r="A429" i="1" l="1"/>
  <c r="B429" i="1" s="1"/>
  <c r="A430" i="1" l="1"/>
  <c r="B430" i="1" s="1"/>
  <c r="A431" i="1" l="1"/>
  <c r="B431" i="1" s="1"/>
  <c r="A432" i="1" l="1"/>
  <c r="B432" i="1" s="1"/>
  <c r="A433" i="1" l="1"/>
  <c r="A434" i="1" l="1"/>
  <c r="B433" i="1"/>
  <c r="B434" i="1" l="1"/>
  <c r="A435" i="1"/>
  <c r="A436" i="1" l="1"/>
  <c r="B435" i="1"/>
  <c r="A437" i="1" l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36" i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B593" i="1" l="1"/>
  <c r="A594" i="1"/>
  <c r="B594" i="1" l="1"/>
  <c r="A595" i="1"/>
  <c r="A596" i="1" l="1"/>
  <c r="B595" i="1"/>
  <c r="B596" i="1" l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<sst xmlns="http://schemas.openxmlformats.org/spreadsheetml/2006/main" count="33" uniqueCount="18">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</sst>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  <xf numFmtId="164" fontId="0" fillId="34" borderId="1" xfId="1" applyNumberFormat="1" applyFont="1" applyFill="1" applyBorder="1" applyAlignment="1">
      <alignment horizontal="center" vertical="center"/>
    </xf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D30S6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/>
          <cell r="N486"/>
          <cell r="P486">
            <v>38438</v>
          </cell>
          <cell r="Q486">
            <v>1.5824769999999999</v>
          </cell>
        </row>
        <row r="487">
          <cell r="M487"/>
          <cell r="N487"/>
          <cell r="P487">
            <v>38439</v>
          </cell>
          <cell r="Q487">
            <v>1.5829599999999999</v>
          </cell>
        </row>
        <row r="488">
          <cell r="M488"/>
          <cell r="N488"/>
          <cell r="P488">
            <v>38440</v>
          </cell>
          <cell r="Q488">
            <v>1.5834440000000001</v>
          </cell>
        </row>
        <row r="489">
          <cell r="M489"/>
          <cell r="N489"/>
          <cell r="P489">
            <v>38441</v>
          </cell>
          <cell r="Q489">
            <v>1.583928</v>
          </cell>
        </row>
        <row r="490">
          <cell r="M490"/>
          <cell r="N490"/>
          <cell r="P490">
            <v>38442</v>
          </cell>
          <cell r="Q490">
            <v>1.584411</v>
          </cell>
        </row>
        <row r="491">
          <cell r="M491"/>
          <cell r="N491"/>
          <cell r="P491">
            <v>38443</v>
          </cell>
          <cell r="Q491">
            <v>1.584911</v>
          </cell>
        </row>
        <row r="492">
          <cell r="M492"/>
          <cell r="N492"/>
          <cell r="P492">
            <v>38444</v>
          </cell>
          <cell r="Q492">
            <v>1.5854109999999999</v>
          </cell>
        </row>
        <row r="493">
          <cell r="M493"/>
          <cell r="N493"/>
          <cell r="P493">
            <v>38445</v>
          </cell>
          <cell r="Q493">
            <v>1.5859110000000001</v>
          </cell>
        </row>
        <row r="494">
          <cell r="M494"/>
          <cell r="N494"/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8"/>
  <sheetViews>
    <sheetView topLeftCell="A106" workbookViewId="0">
      <selection activeCell="K135" sqref="K135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0">
        <v>1.0995000000000119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0">
        <v>1.0994999999999622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/>
    </row>
    <row r="201" spans="1:11" x14ac:dyDescent="0.25">
      <c r="A201" s="4"/>
    </row>
    <row r="202" spans="1:11" x14ac:dyDescent="0.25">
      <c r="A202" s="4"/>
    </row>
    <row r="203" spans="1:11" x14ac:dyDescent="0.25">
      <c r="A203" s="4"/>
    </row>
    <row r="204" spans="1:11" x14ac:dyDescent="0.25">
      <c r="A204" s="4"/>
    </row>
    <row r="205" spans="1:11" x14ac:dyDescent="0.25">
      <c r="A205" s="4"/>
    </row>
    <row r="206" spans="1:11" x14ac:dyDescent="0.25">
      <c r="A206" s="4"/>
    </row>
    <row r="207" spans="1:11" x14ac:dyDescent="0.25">
      <c r="A207" s="4"/>
    </row>
    <row r="208" spans="1:11" x14ac:dyDescent="0.25">
      <c r="A208" s="4"/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98"/>
  <sheetViews>
    <sheetView tabSelected="1" topLeftCell="A450" workbookViewId="0">
      <selection activeCell="B491" sqref="B491"/>
    </sheetView>
  </sheetViews>
  <sheetFormatPr baseColWidth="10" defaultRowHeight="15" x14ac:dyDescent="0.25"/>
  <cols>
    <col min="1" max="1" width="11.42578125" style="2"/>
    <col min="2" max="2" width="11.42578125" style="3"/>
  </cols>
  <sheetData>
    <row r="2" spans="1:2" x14ac:dyDescent="0.25">
      <c r="A2" s="2">
        <v>45566</v>
      </c>
      <c r="B2" s="3">
        <v>44.1875</v>
      </c>
    </row>
    <row r="3" spans="1:2" x14ac:dyDescent="0.25">
      <c r="A3" s="2">
        <v>45567</v>
      </c>
      <c r="B3" s="3">
        <v>43.6875</v>
      </c>
    </row>
    <row r="4" spans="1:2" x14ac:dyDescent="0.25">
      <c r="A4" s="2">
        <v>45568</v>
      </c>
      <c r="B4" s="3">
        <v>43.6875</v>
      </c>
    </row>
    <row r="5" spans="1:2" x14ac:dyDescent="0.25">
      <c r="A5" s="2">
        <v>45569</v>
      </c>
      <c r="B5" s="3">
        <v>43.375</v>
      </c>
    </row>
    <row r="6" spans="1:2" x14ac:dyDescent="0.25">
      <c r="A6" s="2">
        <v>45572</v>
      </c>
      <c r="B6" s="3">
        <v>42.8125</v>
      </c>
    </row>
    <row r="7" spans="1:2" x14ac:dyDescent="0.25">
      <c r="A7" s="2">
        <v>45573</v>
      </c>
      <c r="B7" s="3">
        <v>40.75</v>
      </c>
    </row>
    <row r="8" spans="1:2" x14ac:dyDescent="0.25">
      <c r="A8" s="2">
        <v>45574</v>
      </c>
      <c r="B8" s="3">
        <v>43.125</v>
      </c>
    </row>
    <row r="9" spans="1:2" x14ac:dyDescent="0.25">
      <c r="A9" s="2">
        <v>45575</v>
      </c>
      <c r="B9" s="3">
        <v>44.25</v>
      </c>
    </row>
    <row r="10" spans="1:2" x14ac:dyDescent="0.25">
      <c r="A10" s="2">
        <v>45579</v>
      </c>
      <c r="B10" s="3">
        <v>43.125</v>
      </c>
    </row>
    <row r="11" spans="1:2" x14ac:dyDescent="0.25">
      <c r="A11" s="2">
        <v>45580</v>
      </c>
      <c r="B11" s="3">
        <v>40.6875</v>
      </c>
    </row>
    <row r="12" spans="1:2" x14ac:dyDescent="0.25">
      <c r="A12" s="2">
        <v>45581</v>
      </c>
      <c r="B12" s="3">
        <v>43.625</v>
      </c>
    </row>
    <row r="13" spans="1:2" x14ac:dyDescent="0.25">
      <c r="A13" s="2">
        <v>45582</v>
      </c>
      <c r="B13" s="3">
        <v>44.25</v>
      </c>
    </row>
    <row r="14" spans="1:2" x14ac:dyDescent="0.25">
      <c r="A14" s="2">
        <v>45583</v>
      </c>
      <c r="B14" s="3">
        <v>43.875</v>
      </c>
    </row>
    <row r="15" spans="1:2" x14ac:dyDescent="0.25">
      <c r="A15" s="2">
        <v>45586</v>
      </c>
      <c r="B15" s="3">
        <v>43.3125</v>
      </c>
    </row>
    <row r="16" spans="1:2" x14ac:dyDescent="0.25">
      <c r="A16" s="2">
        <v>45587</v>
      </c>
      <c r="B16" s="3">
        <v>44.25</v>
      </c>
    </row>
    <row r="17" spans="1:2" x14ac:dyDescent="0.25">
      <c r="A17" s="2">
        <v>45588</v>
      </c>
      <c r="B17" s="3">
        <v>44.125</v>
      </c>
    </row>
    <row r="18" spans="1:2" x14ac:dyDescent="0.25">
      <c r="A18" s="2">
        <v>45589</v>
      </c>
      <c r="B18" s="3">
        <v>44.3125</v>
      </c>
    </row>
    <row r="19" spans="1:2" x14ac:dyDescent="0.25">
      <c r="A19" s="2">
        <v>45590</v>
      </c>
      <c r="B19" s="3">
        <v>44</v>
      </c>
    </row>
    <row r="20" spans="1:2" x14ac:dyDescent="0.25">
      <c r="A20" s="2">
        <v>45593</v>
      </c>
      <c r="B20" s="3">
        <v>43.625</v>
      </c>
    </row>
    <row r="21" spans="1:2" x14ac:dyDescent="0.25">
      <c r="A21" s="2">
        <v>45594</v>
      </c>
      <c r="B21" s="3">
        <v>44.4375</v>
      </c>
    </row>
    <row r="22" spans="1:2" x14ac:dyDescent="0.25">
      <c r="A22" s="2">
        <v>45595</v>
      </c>
      <c r="B22" s="3">
        <v>43.875</v>
      </c>
    </row>
    <row r="23" spans="1:2" x14ac:dyDescent="0.25">
      <c r="A23" s="2">
        <v>45596</v>
      </c>
      <c r="B23" s="3">
        <v>42.125</v>
      </c>
    </row>
    <row r="24" spans="1:2" x14ac:dyDescent="0.25">
      <c r="A24" s="2">
        <v>45597</v>
      </c>
      <c r="B24" s="3">
        <v>39.75</v>
      </c>
    </row>
    <row r="25" spans="1:2" x14ac:dyDescent="0.25">
      <c r="A25" s="2">
        <v>45600</v>
      </c>
      <c r="B25" s="3">
        <v>39.1875</v>
      </c>
    </row>
    <row r="26" spans="1:2" x14ac:dyDescent="0.25">
      <c r="A26" s="2">
        <v>45601</v>
      </c>
      <c r="B26" s="3">
        <v>39.4375</v>
      </c>
    </row>
    <row r="27" spans="1:2" x14ac:dyDescent="0.25">
      <c r="A27" s="2">
        <v>45603</v>
      </c>
      <c r="B27" s="3">
        <v>38.625</v>
      </c>
    </row>
    <row r="28" spans="1:2" x14ac:dyDescent="0.25">
      <c r="A28" s="2">
        <v>45604</v>
      </c>
      <c r="B28" s="3">
        <v>39</v>
      </c>
    </row>
    <row r="29" spans="1:2" x14ac:dyDescent="0.25">
      <c r="A29" s="2">
        <v>45607</v>
      </c>
      <c r="B29" s="3">
        <v>38.4375</v>
      </c>
    </row>
    <row r="30" spans="1:2" x14ac:dyDescent="0.25">
      <c r="A30" s="2">
        <v>45608</v>
      </c>
      <c r="B30" s="3">
        <v>38.875</v>
      </c>
    </row>
    <row r="31" spans="1:2" x14ac:dyDescent="0.25">
      <c r="A31" s="2">
        <v>45609</v>
      </c>
      <c r="B31" s="3">
        <v>38.75</v>
      </c>
    </row>
    <row r="32" spans="1:2" x14ac:dyDescent="0.25">
      <c r="A32" s="2">
        <v>45610</v>
      </c>
      <c r="B32" s="3">
        <v>38.9375</v>
      </c>
    </row>
    <row r="33" spans="1:2" x14ac:dyDescent="0.25">
      <c r="A33" s="2">
        <v>45611</v>
      </c>
      <c r="B33" s="3">
        <v>38.625</v>
      </c>
    </row>
    <row r="34" spans="1:2" x14ac:dyDescent="0.25">
      <c r="A34" s="2">
        <v>45615</v>
      </c>
      <c r="B34" s="3">
        <v>37.6875</v>
      </c>
    </row>
    <row r="35" spans="1:2" x14ac:dyDescent="0.25">
      <c r="A35" s="2">
        <v>45616</v>
      </c>
      <c r="B35" s="3">
        <v>39</v>
      </c>
    </row>
    <row r="36" spans="1:2" x14ac:dyDescent="0.25">
      <c r="A36" s="2">
        <v>45617</v>
      </c>
      <c r="B36" s="3">
        <v>38.8125</v>
      </c>
    </row>
    <row r="37" spans="1:2" x14ac:dyDescent="0.25">
      <c r="A37" s="2">
        <v>45618</v>
      </c>
      <c r="B37" s="3">
        <v>38.4375</v>
      </c>
    </row>
    <row r="38" spans="1:2" x14ac:dyDescent="0.25">
      <c r="A38" s="2">
        <v>45621</v>
      </c>
      <c r="B38" s="3">
        <v>38.4375</v>
      </c>
    </row>
    <row r="39" spans="1:2" x14ac:dyDescent="0.25">
      <c r="A39" s="2">
        <v>45622</v>
      </c>
      <c r="B39" s="3">
        <v>38.4375</v>
      </c>
    </row>
    <row r="40" spans="1:2" x14ac:dyDescent="0.25">
      <c r="A40" s="2">
        <v>45623</v>
      </c>
      <c r="B40" s="3">
        <v>38.8125</v>
      </c>
    </row>
    <row r="41" spans="1:2" x14ac:dyDescent="0.25">
      <c r="A41" s="2">
        <v>45624</v>
      </c>
      <c r="B41" s="3">
        <v>38.625</v>
      </c>
    </row>
    <row r="42" spans="1:2" x14ac:dyDescent="0.25">
      <c r="A42" s="2">
        <v>45625</v>
      </c>
      <c r="B42" s="3">
        <v>38.625</v>
      </c>
    </row>
    <row r="43" spans="1:2" x14ac:dyDescent="0.25">
      <c r="A43" s="2">
        <v>45628</v>
      </c>
      <c r="B43" s="3">
        <v>38.4375</v>
      </c>
    </row>
    <row r="44" spans="1:2" x14ac:dyDescent="0.25">
      <c r="A44" s="2">
        <v>45629</v>
      </c>
      <c r="B44" s="3">
        <v>38.8125</v>
      </c>
    </row>
    <row r="45" spans="1:2" x14ac:dyDescent="0.25">
      <c r="A45" s="2">
        <v>45630</v>
      </c>
      <c r="B45" s="3">
        <v>38.5</v>
      </c>
    </row>
    <row r="46" spans="1:2" x14ac:dyDescent="0.25">
      <c r="A46" s="2">
        <v>45631</v>
      </c>
      <c r="B46" s="3">
        <v>38.5625</v>
      </c>
    </row>
    <row r="47" spans="1:2" x14ac:dyDescent="0.25">
      <c r="A47" s="2">
        <v>45632</v>
      </c>
      <c r="B47" s="3">
        <v>35</v>
      </c>
    </row>
    <row r="48" spans="1:2" x14ac:dyDescent="0.25">
      <c r="A48" s="2">
        <v>45635</v>
      </c>
      <c r="B48" s="3">
        <v>34.375</v>
      </c>
    </row>
    <row r="49" spans="1:2" x14ac:dyDescent="0.25">
      <c r="A49" s="2">
        <v>45636</v>
      </c>
      <c r="B49" s="3">
        <v>34.875</v>
      </c>
    </row>
    <row r="50" spans="1:2" x14ac:dyDescent="0.25">
      <c r="A50" s="2">
        <v>45637</v>
      </c>
      <c r="B50" s="3">
        <v>34.4375</v>
      </c>
    </row>
    <row r="51" spans="1:2" x14ac:dyDescent="0.25">
      <c r="A51" s="2">
        <v>45638</v>
      </c>
      <c r="B51" s="3">
        <v>35.25</v>
      </c>
    </row>
    <row r="52" spans="1:2" x14ac:dyDescent="0.25">
      <c r="A52" s="2">
        <v>45639</v>
      </c>
      <c r="B52" s="3">
        <v>34.5625</v>
      </c>
    </row>
    <row r="53" spans="1:2" x14ac:dyDescent="0.25">
      <c r="A53" s="2">
        <v>45642</v>
      </c>
      <c r="B53" s="3">
        <v>34.375</v>
      </c>
    </row>
    <row r="54" spans="1:2" x14ac:dyDescent="0.25">
      <c r="A54" s="2">
        <v>45643</v>
      </c>
      <c r="B54" s="3">
        <v>34.3125</v>
      </c>
    </row>
    <row r="55" spans="1:2" x14ac:dyDescent="0.25">
      <c r="A55" s="2">
        <v>45644</v>
      </c>
      <c r="B55" s="3">
        <v>34.5</v>
      </c>
    </row>
    <row r="56" spans="1:2" x14ac:dyDescent="0.25">
      <c r="A56" s="2">
        <v>45645</v>
      </c>
      <c r="B56" s="3">
        <v>34.125</v>
      </c>
    </row>
    <row r="57" spans="1:2" x14ac:dyDescent="0.25">
      <c r="A57" s="2">
        <v>45646</v>
      </c>
      <c r="B57" s="3">
        <v>34.875</v>
      </c>
    </row>
    <row r="58" spans="1:2" x14ac:dyDescent="0.25">
      <c r="A58" s="2">
        <v>45649</v>
      </c>
      <c r="B58" s="3">
        <v>34.3125</v>
      </c>
    </row>
    <row r="59" spans="1:2" x14ac:dyDescent="0.25">
      <c r="A59" s="2">
        <v>45652</v>
      </c>
      <c r="B59" s="3">
        <v>34.3125</v>
      </c>
    </row>
    <row r="60" spans="1:2" x14ac:dyDescent="0.25">
      <c r="A60" s="2">
        <v>45653</v>
      </c>
      <c r="B60" s="3">
        <v>34.4375</v>
      </c>
    </row>
    <row r="61" spans="1:2" x14ac:dyDescent="0.25">
      <c r="A61" s="2">
        <v>45656</v>
      </c>
      <c r="B61" s="3">
        <v>34.4375</v>
      </c>
    </row>
    <row r="62" spans="1:2" x14ac:dyDescent="0.25">
      <c r="A62" s="2">
        <v>45659</v>
      </c>
      <c r="B62" s="3">
        <v>34.3125</v>
      </c>
    </row>
    <row r="63" spans="1:2" x14ac:dyDescent="0.25">
      <c r="A63" s="2">
        <v>45660</v>
      </c>
      <c r="B63" s="3">
        <v>34.5</v>
      </c>
    </row>
    <row r="64" spans="1:2" x14ac:dyDescent="0.25">
      <c r="A64" s="2">
        <v>45663</v>
      </c>
      <c r="B64" s="3">
        <v>34.75</v>
      </c>
    </row>
    <row r="65" spans="1:2" x14ac:dyDescent="0.25">
      <c r="A65" s="2">
        <v>45664</v>
      </c>
      <c r="B65" s="3">
        <v>34.8125</v>
      </c>
    </row>
    <row r="66" spans="1:2" x14ac:dyDescent="0.25">
      <c r="A66" s="2">
        <v>45665</v>
      </c>
      <c r="B66" s="3">
        <v>33.9375</v>
      </c>
    </row>
    <row r="67" spans="1:2" x14ac:dyDescent="0.25">
      <c r="A67" s="2">
        <v>45666</v>
      </c>
      <c r="B67" s="3">
        <v>34.1875</v>
      </c>
    </row>
    <row r="68" spans="1:2" x14ac:dyDescent="0.25">
      <c r="A68" s="2">
        <v>45667</v>
      </c>
      <c r="B68" s="3">
        <v>34.1875</v>
      </c>
    </row>
    <row r="69" spans="1:2" x14ac:dyDescent="0.25">
      <c r="A69" s="2">
        <v>45670</v>
      </c>
      <c r="B69" s="3">
        <v>34.25</v>
      </c>
    </row>
    <row r="70" spans="1:2" x14ac:dyDescent="0.25">
      <c r="A70" s="2">
        <v>45671</v>
      </c>
      <c r="B70" s="3">
        <v>34.5625</v>
      </c>
    </row>
    <row r="71" spans="1:2" x14ac:dyDescent="0.25">
      <c r="A71" s="2">
        <v>45672</v>
      </c>
      <c r="B71" s="3">
        <v>32.875</v>
      </c>
    </row>
    <row r="72" spans="1:2" x14ac:dyDescent="0.25">
      <c r="A72" s="2">
        <v>45673</v>
      </c>
      <c r="B72" s="3">
        <v>33.1875</v>
      </c>
    </row>
    <row r="73" spans="1:2" x14ac:dyDescent="0.25">
      <c r="A73" s="2">
        <v>45674</v>
      </c>
      <c r="B73" s="3">
        <v>32.5625</v>
      </c>
    </row>
    <row r="74" spans="1:2" x14ac:dyDescent="0.25">
      <c r="A74" s="2">
        <v>45677</v>
      </c>
      <c r="B74" s="3">
        <v>32.8125</v>
      </c>
    </row>
    <row r="75" spans="1:2" x14ac:dyDescent="0.25">
      <c r="A75" s="2">
        <v>45678</v>
      </c>
      <c r="B75" s="3">
        <v>33.1875</v>
      </c>
    </row>
    <row r="76" spans="1:2" x14ac:dyDescent="0.25">
      <c r="A76" s="2">
        <v>45679</v>
      </c>
      <c r="B76" s="3">
        <v>33.1875</v>
      </c>
    </row>
    <row r="77" spans="1:2" x14ac:dyDescent="0.25">
      <c r="A77" s="2">
        <v>45680</v>
      </c>
      <c r="B77" s="3">
        <v>33.3125</v>
      </c>
    </row>
    <row r="78" spans="1:2" x14ac:dyDescent="0.25">
      <c r="A78" s="2">
        <v>45681</v>
      </c>
      <c r="B78" s="3">
        <v>33.9375</v>
      </c>
    </row>
    <row r="79" spans="1:2" x14ac:dyDescent="0.25">
      <c r="A79" s="2">
        <v>45684</v>
      </c>
      <c r="B79" s="3">
        <v>32.75</v>
      </c>
    </row>
    <row r="80" spans="1:2" x14ac:dyDescent="0.25">
      <c r="A80" s="2">
        <v>45685</v>
      </c>
      <c r="B80" s="3">
        <v>33.875</v>
      </c>
    </row>
    <row r="81" spans="1:2" x14ac:dyDescent="0.25">
      <c r="A81" s="2">
        <v>45686</v>
      </c>
      <c r="B81" s="3">
        <v>33.8125</v>
      </c>
    </row>
    <row r="82" spans="1:2" x14ac:dyDescent="0.25">
      <c r="A82" s="2">
        <v>45687</v>
      </c>
      <c r="B82" s="3">
        <v>33.5</v>
      </c>
    </row>
    <row r="83" spans="1:2" x14ac:dyDescent="0.25">
      <c r="A83" s="2">
        <v>45688</v>
      </c>
      <c r="B83" s="3">
        <v>30.625</v>
      </c>
    </row>
    <row r="84" spans="1:2" x14ac:dyDescent="0.25">
      <c r="A84" s="2">
        <v>45691</v>
      </c>
      <c r="B84" s="3">
        <v>30.4375</v>
      </c>
    </row>
    <row r="85" spans="1:2" x14ac:dyDescent="0.25">
      <c r="A85" s="2">
        <v>45692</v>
      </c>
      <c r="B85" s="3">
        <v>30.6875</v>
      </c>
    </row>
    <row r="86" spans="1:2" x14ac:dyDescent="0.25">
      <c r="A86" s="2">
        <v>45693</v>
      </c>
      <c r="B86" s="3">
        <v>30.8125</v>
      </c>
    </row>
    <row r="87" spans="1:2" x14ac:dyDescent="0.25">
      <c r="A87" s="2">
        <v>45694</v>
      </c>
      <c r="B87" s="3">
        <v>30.625</v>
      </c>
    </row>
    <row r="88" spans="1:2" x14ac:dyDescent="0.25">
      <c r="A88" s="2">
        <v>45695</v>
      </c>
      <c r="B88" s="3">
        <v>30.5</v>
      </c>
    </row>
    <row r="89" spans="1:2" x14ac:dyDescent="0.25">
      <c r="A89" s="2">
        <v>45698</v>
      </c>
      <c r="B89" s="3">
        <v>30.4375</v>
      </c>
    </row>
    <row r="90" spans="1:2" x14ac:dyDescent="0.25">
      <c r="A90" s="2">
        <v>45699</v>
      </c>
      <c r="B90" s="3">
        <v>30.375</v>
      </c>
    </row>
    <row r="91" spans="1:2" x14ac:dyDescent="0.25">
      <c r="A91" s="2">
        <v>45700</v>
      </c>
      <c r="B91" s="3">
        <v>30.1875</v>
      </c>
    </row>
    <row r="92" spans="1:2" x14ac:dyDescent="0.25">
      <c r="A92" s="2">
        <v>45701</v>
      </c>
      <c r="B92" s="3">
        <v>30.25</v>
      </c>
    </row>
    <row r="93" spans="1:2" x14ac:dyDescent="0.25">
      <c r="A93" s="2">
        <v>45702</v>
      </c>
      <c r="B93" s="3">
        <v>30.1875</v>
      </c>
    </row>
    <row r="94" spans="1:2" x14ac:dyDescent="0.25">
      <c r="A94" s="2">
        <v>45705</v>
      </c>
      <c r="B94" s="3">
        <v>30.3125</v>
      </c>
    </row>
    <row r="95" spans="1:2" x14ac:dyDescent="0.25">
      <c r="A95" s="2">
        <v>45706</v>
      </c>
      <c r="B95" s="3">
        <v>30.125</v>
      </c>
    </row>
    <row r="96" spans="1:2" x14ac:dyDescent="0.25">
      <c r="A96" s="2">
        <v>45707</v>
      </c>
      <c r="B96" s="3">
        <v>29.9375</v>
      </c>
    </row>
    <row r="97" spans="1:2" x14ac:dyDescent="0.25">
      <c r="A97" s="2">
        <v>45708</v>
      </c>
      <c r="B97" s="3">
        <v>28.25</v>
      </c>
    </row>
    <row r="98" spans="1:2" x14ac:dyDescent="0.25">
      <c r="A98" s="2">
        <v>45709</v>
      </c>
      <c r="B98" s="3">
        <v>29.4375</v>
      </c>
    </row>
    <row r="99" spans="1:2" x14ac:dyDescent="0.25">
      <c r="A99" s="2">
        <v>45712</v>
      </c>
      <c r="B99" s="3">
        <v>29.0625</v>
      </c>
    </row>
    <row r="100" spans="1:2" x14ac:dyDescent="0.25">
      <c r="A100" s="2">
        <v>45713</v>
      </c>
      <c r="B100" s="3">
        <v>29.0625</v>
      </c>
    </row>
    <row r="101" spans="1:2" x14ac:dyDescent="0.25">
      <c r="A101" s="2">
        <v>45714</v>
      </c>
      <c r="B101" s="3">
        <v>29.375</v>
      </c>
    </row>
    <row r="102" spans="1:2" x14ac:dyDescent="0.25">
      <c r="A102" s="2">
        <v>45715</v>
      </c>
      <c r="B102" s="3">
        <v>29.5625</v>
      </c>
    </row>
    <row r="103" spans="1:2" x14ac:dyDescent="0.25">
      <c r="A103" s="2">
        <v>45716</v>
      </c>
      <c r="B103" s="3">
        <v>29.625</v>
      </c>
    </row>
    <row r="104" spans="1:2" x14ac:dyDescent="0.25">
      <c r="A104" s="2">
        <v>45721</v>
      </c>
      <c r="B104" s="3">
        <v>29.5625</v>
      </c>
    </row>
    <row r="105" spans="1:2" x14ac:dyDescent="0.25">
      <c r="A105" s="2">
        <v>45722</v>
      </c>
      <c r="B105" s="3">
        <v>29.8125</v>
      </c>
    </row>
    <row r="106" spans="1:2" x14ac:dyDescent="0.25">
      <c r="A106" s="2">
        <v>45723</v>
      </c>
      <c r="B106" s="3">
        <v>29.875</v>
      </c>
    </row>
    <row r="107" spans="1:2" x14ac:dyDescent="0.25">
      <c r="A107" s="2">
        <v>45726</v>
      </c>
      <c r="B107" s="3">
        <v>29.875</v>
      </c>
    </row>
    <row r="108" spans="1:2" x14ac:dyDescent="0.25">
      <c r="A108" s="2">
        <v>45727</v>
      </c>
      <c r="B108" s="3">
        <v>29.9375</v>
      </c>
    </row>
    <row r="109" spans="1:2" x14ac:dyDescent="0.25">
      <c r="A109" s="2">
        <v>45728</v>
      </c>
      <c r="B109" s="3">
        <v>30.125</v>
      </c>
    </row>
    <row r="110" spans="1:2" x14ac:dyDescent="0.25">
      <c r="A110" s="2">
        <v>45729</v>
      </c>
      <c r="B110" s="3">
        <v>30.1875</v>
      </c>
    </row>
    <row r="111" spans="1:2" x14ac:dyDescent="0.25">
      <c r="A111" s="2">
        <v>45730</v>
      </c>
      <c r="B111" s="3">
        <v>30.625</v>
      </c>
    </row>
    <row r="112" spans="1:2" x14ac:dyDescent="0.25">
      <c r="A112" s="2">
        <v>45733</v>
      </c>
      <c r="B112" s="3">
        <v>30.8125</v>
      </c>
    </row>
    <row r="113" spans="1:2" x14ac:dyDescent="0.25">
      <c r="A113" s="2">
        <v>45734</v>
      </c>
      <c r="B113" s="3">
        <v>31.0625</v>
      </c>
    </row>
    <row r="114" spans="1:2" x14ac:dyDescent="0.25">
      <c r="A114" s="2">
        <v>45735</v>
      </c>
      <c r="B114" s="3">
        <v>31.375</v>
      </c>
    </row>
    <row r="115" spans="1:2" x14ac:dyDescent="0.25">
      <c r="A115" s="2">
        <v>45736</v>
      </c>
      <c r="B115" s="3">
        <v>31.625</v>
      </c>
    </row>
    <row r="116" spans="1:2" x14ac:dyDescent="0.25">
      <c r="A116" s="2">
        <v>45737</v>
      </c>
      <c r="B116" s="3">
        <v>31.5</v>
      </c>
    </row>
    <row r="117" spans="1:2" x14ac:dyDescent="0.25">
      <c r="A117" s="2">
        <v>45741</v>
      </c>
      <c r="B117" s="3">
        <v>31.3125</v>
      </c>
    </row>
    <row r="118" spans="1:2" x14ac:dyDescent="0.25">
      <c r="A118" s="2">
        <v>45742</v>
      </c>
      <c r="B118" s="3">
        <v>31.875</v>
      </c>
    </row>
    <row r="119" spans="1:2" x14ac:dyDescent="0.25">
      <c r="A119" s="2">
        <v>45743</v>
      </c>
      <c r="B119" s="3">
        <v>31.6875</v>
      </c>
    </row>
    <row r="120" spans="1:2" x14ac:dyDescent="0.25">
      <c r="A120" s="2">
        <v>45744</v>
      </c>
      <c r="B120" s="3">
        <v>31.875</v>
      </c>
    </row>
    <row r="121" spans="1:2" x14ac:dyDescent="0.25">
      <c r="A121" s="2">
        <v>45747</v>
      </c>
      <c r="B121" s="3">
        <v>32.0625</v>
      </c>
    </row>
    <row r="122" spans="1:2" x14ac:dyDescent="0.25">
      <c r="A122" s="2">
        <v>45748</v>
      </c>
      <c r="B122" s="3">
        <v>32.625</v>
      </c>
    </row>
    <row r="123" spans="1:2" x14ac:dyDescent="0.25">
      <c r="A123" s="2">
        <v>45750</v>
      </c>
      <c r="B123" s="3">
        <v>32.9375</v>
      </c>
    </row>
    <row r="124" spans="1:2" x14ac:dyDescent="0.25">
      <c r="A124" s="2">
        <v>45751</v>
      </c>
      <c r="B124" s="3">
        <v>32.4375</v>
      </c>
    </row>
    <row r="125" spans="1:2" x14ac:dyDescent="0.25">
      <c r="A125" s="2">
        <v>45754</v>
      </c>
      <c r="B125" s="3">
        <v>33.25</v>
      </c>
    </row>
    <row r="126" spans="1:2" x14ac:dyDescent="0.25">
      <c r="A126" s="2">
        <v>45755</v>
      </c>
      <c r="B126" s="3">
        <v>32.8125</v>
      </c>
    </row>
    <row r="127" spans="1:2" x14ac:dyDescent="0.25">
      <c r="A127" s="2">
        <v>45756</v>
      </c>
      <c r="B127" s="3">
        <v>32.875</v>
      </c>
    </row>
    <row r="128" spans="1:2" x14ac:dyDescent="0.25">
      <c r="A128" s="2">
        <v>45757</v>
      </c>
      <c r="B128" s="3">
        <v>33.875</v>
      </c>
    </row>
    <row r="129" spans="1:2" x14ac:dyDescent="0.25">
      <c r="A129" s="2">
        <v>45758</v>
      </c>
      <c r="B129" s="3">
        <v>34.1875</v>
      </c>
    </row>
    <row r="130" spans="1:2" x14ac:dyDescent="0.25">
      <c r="A130" s="2">
        <v>45761</v>
      </c>
      <c r="B130" s="3">
        <v>39.1875</v>
      </c>
    </row>
    <row r="131" spans="1:2" x14ac:dyDescent="0.25">
      <c r="A131" s="2">
        <v>45762</v>
      </c>
      <c r="B131" s="3">
        <v>36.5</v>
      </c>
    </row>
    <row r="132" spans="1:2" x14ac:dyDescent="0.25">
      <c r="A132" s="2">
        <v>45763</v>
      </c>
      <c r="B132" s="3">
        <v>39.125</v>
      </c>
    </row>
    <row r="133" spans="1:2" x14ac:dyDescent="0.25">
      <c r="A133" s="2">
        <v>45768</v>
      </c>
      <c r="B133" s="3">
        <v>36.5</v>
      </c>
    </row>
    <row r="134" spans="1:2" x14ac:dyDescent="0.25">
      <c r="A134" s="2">
        <v>45769</v>
      </c>
      <c r="B134" s="3">
        <v>35.6875</v>
      </c>
    </row>
    <row r="135" spans="1:2" x14ac:dyDescent="0.25">
      <c r="A135" s="2">
        <v>45770</v>
      </c>
      <c r="B135" s="3">
        <v>35.625</v>
      </c>
    </row>
    <row r="136" spans="1:2" x14ac:dyDescent="0.25">
      <c r="A136" s="2">
        <v>45771</v>
      </c>
      <c r="B136" s="3">
        <v>35.0625</v>
      </c>
    </row>
    <row r="137" spans="1:2" x14ac:dyDescent="0.25">
      <c r="A137" s="2">
        <v>45772</v>
      </c>
      <c r="B137" s="3">
        <v>34.875</v>
      </c>
    </row>
    <row r="138" spans="1:2" x14ac:dyDescent="0.25">
      <c r="A138" s="2">
        <v>45775</v>
      </c>
      <c r="B138" s="3">
        <v>34.8125</v>
      </c>
    </row>
    <row r="139" spans="1:2" x14ac:dyDescent="0.25">
      <c r="A139" s="2">
        <v>45776</v>
      </c>
      <c r="B139" s="3">
        <v>34.0625</v>
      </c>
    </row>
    <row r="140" spans="1:2" x14ac:dyDescent="0.25">
      <c r="A140" s="2">
        <v>45777</v>
      </c>
      <c r="B140" s="3">
        <v>34.625</v>
      </c>
    </row>
    <row r="141" spans="1:2" x14ac:dyDescent="0.25">
      <c r="A141" s="2">
        <v>45782</v>
      </c>
      <c r="B141" s="3">
        <v>33.4375</v>
      </c>
    </row>
    <row r="142" spans="1:2" x14ac:dyDescent="0.25">
      <c r="A142" s="2">
        <v>45783</v>
      </c>
      <c r="B142" s="3">
        <v>35.3125</v>
      </c>
    </row>
    <row r="143" spans="1:2" x14ac:dyDescent="0.25">
      <c r="A143" s="2">
        <v>45784</v>
      </c>
      <c r="B143" s="3">
        <v>34.8125</v>
      </c>
    </row>
    <row r="144" spans="1:2" x14ac:dyDescent="0.25">
      <c r="A144" s="2">
        <v>45785</v>
      </c>
      <c r="B144" s="3">
        <v>34.5</v>
      </c>
    </row>
    <row r="145" spans="1:2" x14ac:dyDescent="0.25">
      <c r="A145" s="2">
        <v>45786</v>
      </c>
      <c r="B145" s="3">
        <v>34.25</v>
      </c>
    </row>
    <row r="146" spans="1:2" x14ac:dyDescent="0.25">
      <c r="A146" s="2">
        <v>45789</v>
      </c>
      <c r="B146" s="3">
        <v>33.8125</v>
      </c>
    </row>
    <row r="147" spans="1:2" x14ac:dyDescent="0.25">
      <c r="A147" s="2">
        <v>45790</v>
      </c>
      <c r="B147" s="3">
        <v>34.875</v>
      </c>
    </row>
    <row r="148" spans="1:2" x14ac:dyDescent="0.25">
      <c r="A148" s="2">
        <v>45791</v>
      </c>
      <c r="B148" s="3">
        <v>34.5</v>
      </c>
    </row>
    <row r="149" spans="1:2" x14ac:dyDescent="0.25">
      <c r="A149" s="2">
        <v>45792</v>
      </c>
      <c r="B149" s="3">
        <v>34.5625</v>
      </c>
    </row>
    <row r="150" spans="1:2" x14ac:dyDescent="0.25">
      <c r="A150" s="2">
        <v>45793</v>
      </c>
      <c r="B150" s="3">
        <v>32.0625</v>
      </c>
    </row>
    <row r="151" spans="1:2" x14ac:dyDescent="0.25">
      <c r="A151" s="2">
        <v>45796</v>
      </c>
      <c r="B151" s="3">
        <v>34.6875</v>
      </c>
    </row>
    <row r="152" spans="1:2" x14ac:dyDescent="0.25">
      <c r="A152" s="2">
        <v>45797</v>
      </c>
      <c r="B152" s="3">
        <v>34.6875</v>
      </c>
    </row>
    <row r="153" spans="1:2" x14ac:dyDescent="0.25">
      <c r="A153" s="2">
        <v>45798</v>
      </c>
      <c r="B153" s="3">
        <v>34.125</v>
      </c>
    </row>
    <row r="154" spans="1:2" x14ac:dyDescent="0.25">
      <c r="A154" s="2">
        <v>45799</v>
      </c>
      <c r="B154" s="3">
        <v>34.0625</v>
      </c>
    </row>
    <row r="155" spans="1:2" x14ac:dyDescent="0.25">
      <c r="A155" s="2">
        <v>45800</v>
      </c>
      <c r="B155" s="3">
        <v>34.5625</v>
      </c>
    </row>
    <row r="156" spans="1:2" x14ac:dyDescent="0.25">
      <c r="A156" s="2">
        <v>45803</v>
      </c>
      <c r="B156" s="3">
        <v>33.6875</v>
      </c>
    </row>
    <row r="157" spans="1:2" x14ac:dyDescent="0.25">
      <c r="A157" s="2">
        <v>45804</v>
      </c>
      <c r="B157" s="3">
        <v>34.1875</v>
      </c>
    </row>
    <row r="158" spans="1:2" x14ac:dyDescent="0.25">
      <c r="A158" s="2">
        <v>45805</v>
      </c>
      <c r="B158" s="3">
        <v>33.875</v>
      </c>
    </row>
    <row r="159" spans="1:2" x14ac:dyDescent="0.25">
      <c r="A159" s="2">
        <v>45806</v>
      </c>
      <c r="B159" s="3">
        <v>34.0625</v>
      </c>
    </row>
    <row r="160" spans="1:2" x14ac:dyDescent="0.25">
      <c r="A160" s="2">
        <v>45807</v>
      </c>
      <c r="B160" s="3">
        <v>33.1875</v>
      </c>
    </row>
    <row r="161" spans="1:2" x14ac:dyDescent="0.25">
      <c r="A161" s="2">
        <v>45810</v>
      </c>
      <c r="B161" s="3">
        <v>34.25</v>
      </c>
    </row>
    <row r="162" spans="1:2" x14ac:dyDescent="0.25">
      <c r="A162" s="2">
        <v>45811</v>
      </c>
      <c r="B162" s="3">
        <v>34.4375</v>
      </c>
    </row>
    <row r="163" spans="1:2" x14ac:dyDescent="0.25">
      <c r="A163" s="2">
        <v>45812</v>
      </c>
      <c r="B163" s="3">
        <v>33</v>
      </c>
    </row>
    <row r="164" spans="1:2" x14ac:dyDescent="0.25">
      <c r="A164" s="2">
        <v>45813</v>
      </c>
      <c r="B164" s="3">
        <v>33.5625</v>
      </c>
    </row>
    <row r="165" spans="1:2" x14ac:dyDescent="0.25">
      <c r="A165" s="2">
        <v>45814</v>
      </c>
      <c r="B165" s="3">
        <v>34.0625</v>
      </c>
    </row>
    <row r="166" spans="1:2" x14ac:dyDescent="0.25">
      <c r="A166" s="2">
        <v>45817</v>
      </c>
      <c r="B166" s="3">
        <v>32.9375</v>
      </c>
    </row>
    <row r="167" spans="1:2" x14ac:dyDescent="0.25">
      <c r="A167" s="2">
        <v>45818</v>
      </c>
      <c r="B167" s="3">
        <v>34</v>
      </c>
    </row>
    <row r="168" spans="1:2" x14ac:dyDescent="0.25">
      <c r="A168" s="2">
        <v>45819</v>
      </c>
      <c r="B168" s="3">
        <v>33.75</v>
      </c>
    </row>
    <row r="169" spans="1:2" x14ac:dyDescent="0.25">
      <c r="A169" s="2">
        <v>45820</v>
      </c>
      <c r="B169" s="3">
        <v>33.8125</v>
      </c>
    </row>
    <row r="170" spans="1:2" x14ac:dyDescent="0.25">
      <c r="A170" s="2">
        <v>45821</v>
      </c>
      <c r="B170" s="3">
        <v>33.5625</v>
      </c>
    </row>
    <row r="171" spans="1:2" x14ac:dyDescent="0.25">
      <c r="A171" s="2">
        <v>45825</v>
      </c>
      <c r="B171" s="3">
        <v>33.9375</v>
      </c>
    </row>
    <row r="172" spans="1:2" x14ac:dyDescent="0.25">
      <c r="A172" s="2">
        <v>45826</v>
      </c>
      <c r="B172" s="3">
        <v>32.375</v>
      </c>
    </row>
    <row r="173" spans="1:2" x14ac:dyDescent="0.25">
      <c r="A173" s="2">
        <v>45827</v>
      </c>
      <c r="B173" s="3">
        <v>34.0625</v>
      </c>
    </row>
    <row r="174" spans="1:2" x14ac:dyDescent="0.25">
      <c r="A174" s="2">
        <v>45831</v>
      </c>
      <c r="B174" s="3">
        <v>33.25</v>
      </c>
    </row>
    <row r="175" spans="1:2" x14ac:dyDescent="0.25">
      <c r="A175" s="2">
        <v>45832</v>
      </c>
      <c r="B175" s="3">
        <v>34.25</v>
      </c>
    </row>
    <row r="176" spans="1:2" x14ac:dyDescent="0.25">
      <c r="A176" s="2">
        <v>45833</v>
      </c>
      <c r="B176" s="3">
        <v>34</v>
      </c>
    </row>
    <row r="177" spans="1:2" x14ac:dyDescent="0.25">
      <c r="A177" s="2">
        <v>45834</v>
      </c>
      <c r="B177" s="3">
        <v>33.25</v>
      </c>
    </row>
    <row r="178" spans="1:2" x14ac:dyDescent="0.25">
      <c r="A178" s="2">
        <v>45835</v>
      </c>
      <c r="B178" s="3">
        <v>34.3125</v>
      </c>
    </row>
    <row r="179" spans="1:2" x14ac:dyDescent="0.25">
      <c r="A179" s="2">
        <v>45838</v>
      </c>
      <c r="B179" s="3">
        <v>33.625</v>
      </c>
    </row>
    <row r="180" spans="1:2" x14ac:dyDescent="0.25">
      <c r="A180" s="2">
        <v>45839</v>
      </c>
      <c r="B180" s="3">
        <v>34.1875</v>
      </c>
    </row>
    <row r="181" spans="1:2" x14ac:dyDescent="0.25">
      <c r="A181" s="2">
        <v>45840</v>
      </c>
      <c r="B181" s="3">
        <v>34.1875</v>
      </c>
    </row>
    <row r="182" spans="1:2" x14ac:dyDescent="0.25">
      <c r="A182" s="2">
        <v>45841</v>
      </c>
      <c r="B182" s="3">
        <v>34.0625</v>
      </c>
    </row>
    <row r="183" spans="1:2" x14ac:dyDescent="0.25">
      <c r="A183" s="2">
        <v>45842</v>
      </c>
      <c r="B183" s="3">
        <v>33.75</v>
      </c>
    </row>
    <row r="184" spans="1:2" x14ac:dyDescent="0.25">
      <c r="A184" s="2">
        <v>45845</v>
      </c>
      <c r="B184" s="3">
        <v>33.625</v>
      </c>
    </row>
    <row r="185" spans="1:2" x14ac:dyDescent="0.25">
      <c r="A185" s="2">
        <v>45846</v>
      </c>
      <c r="B185" s="3">
        <v>33.5</v>
      </c>
    </row>
    <row r="186" spans="1:2" x14ac:dyDescent="0.25">
      <c r="A186" s="2">
        <v>45848</v>
      </c>
      <c r="B186" s="3">
        <v>32.8125</v>
      </c>
    </row>
    <row r="187" spans="1:2" x14ac:dyDescent="0.25">
      <c r="A187" s="2">
        <v>45849</v>
      </c>
      <c r="B187" s="3">
        <v>31.125</v>
      </c>
    </row>
    <row r="188" spans="1:2" x14ac:dyDescent="0.25">
      <c r="A188" s="2">
        <v>45852</v>
      </c>
      <c r="B188" s="3">
        <v>29.1875</v>
      </c>
    </row>
    <row r="189" spans="1:2" x14ac:dyDescent="0.25">
      <c r="A189" s="2">
        <v>45853</v>
      </c>
      <c r="B189" s="3">
        <v>29.5</v>
      </c>
    </row>
    <row r="190" spans="1:2" x14ac:dyDescent="0.25">
      <c r="A190" s="2">
        <v>45854</v>
      </c>
      <c r="B190" s="3">
        <v>31.25</v>
      </c>
    </row>
    <row r="191" spans="1:2" x14ac:dyDescent="0.25">
      <c r="A191" s="2">
        <v>45855</v>
      </c>
      <c r="B191" s="3">
        <v>32.375</v>
      </c>
    </row>
    <row r="192" spans="1:2" x14ac:dyDescent="0.25">
      <c r="A192" s="2">
        <v>45856</v>
      </c>
      <c r="B192" s="3">
        <v>33.3125</v>
      </c>
    </row>
    <row r="193" spans="1:2" x14ac:dyDescent="0.25">
      <c r="A193" s="2">
        <v>45859</v>
      </c>
      <c r="B193" s="3">
        <v>34.1875</v>
      </c>
    </row>
    <row r="194" spans="1:2" x14ac:dyDescent="0.25">
      <c r="A194" s="2">
        <v>45860</v>
      </c>
      <c r="B194" s="3">
        <v>37.875</v>
      </c>
    </row>
    <row r="195" spans="1:2" x14ac:dyDescent="0.25">
      <c r="A195" s="2">
        <v>45861</v>
      </c>
      <c r="B195" s="3">
        <v>36.875</v>
      </c>
    </row>
    <row r="196" spans="1:2" x14ac:dyDescent="0.25">
      <c r="A196" s="2">
        <v>45862</v>
      </c>
      <c r="B196" s="3">
        <v>37</v>
      </c>
    </row>
    <row r="197" spans="1:2" x14ac:dyDescent="0.25">
      <c r="A197" s="2">
        <v>45863</v>
      </c>
      <c r="B197" s="3">
        <v>35.625</v>
      </c>
    </row>
    <row r="198" spans="1:2" x14ac:dyDescent="0.25">
      <c r="A198" s="2">
        <v>45866</v>
      </c>
      <c r="B198" s="3">
        <v>35.25</v>
      </c>
    </row>
    <row r="199" spans="1:2" x14ac:dyDescent="0.25">
      <c r="A199" s="2">
        <v>45867</v>
      </c>
      <c r="B199" s="3">
        <v>38</v>
      </c>
    </row>
    <row r="200" spans="1:2" x14ac:dyDescent="0.25">
      <c r="A200" s="2">
        <v>45868</v>
      </c>
      <c r="B200" s="3">
        <v>39.125</v>
      </c>
    </row>
    <row r="201" spans="1:2" x14ac:dyDescent="0.25">
      <c r="A201" s="2">
        <v>45869</v>
      </c>
      <c r="B201" s="3">
        <v>40.25</v>
      </c>
    </row>
    <row r="202" spans="1:2" x14ac:dyDescent="0.25">
      <c r="A202" s="2">
        <v>45870</v>
      </c>
      <c r="B202" s="3">
        <v>41.75</v>
      </c>
    </row>
    <row r="203" spans="1:2" x14ac:dyDescent="0.25">
      <c r="A203" s="2">
        <v>45873</v>
      </c>
      <c r="B203" s="3">
        <v>42.1875</v>
      </c>
    </row>
    <row r="204" spans="1:2" x14ac:dyDescent="0.25">
      <c r="A204" s="2">
        <v>45874</v>
      </c>
      <c r="B204" s="3">
        <v>42.625</v>
      </c>
    </row>
    <row r="205" spans="1:2" x14ac:dyDescent="0.25">
      <c r="A205" s="2">
        <v>45875</v>
      </c>
      <c r="B205" s="3">
        <v>41.75</v>
      </c>
    </row>
    <row r="206" spans="1:2" x14ac:dyDescent="0.25">
      <c r="A206" s="2">
        <v>45876</v>
      </c>
      <c r="B206" s="3">
        <v>43.75</v>
      </c>
    </row>
    <row r="207" spans="1:2" x14ac:dyDescent="0.25">
      <c r="A207" s="2">
        <v>45877</v>
      </c>
      <c r="B207" s="3">
        <v>45.375</v>
      </c>
    </row>
    <row r="208" spans="1:2" x14ac:dyDescent="0.25">
      <c r="A208" s="2">
        <v>45880</v>
      </c>
      <c r="B208" s="3">
        <v>47.75</v>
      </c>
    </row>
    <row r="209" spans="1:2" x14ac:dyDescent="0.25">
      <c r="A209" s="2">
        <v>45881</v>
      </c>
      <c r="B209" s="3">
        <v>49.75</v>
      </c>
    </row>
    <row r="210" spans="1:2" x14ac:dyDescent="0.25">
      <c r="A210" s="2">
        <v>45882</v>
      </c>
      <c r="B210" s="3">
        <v>49.9375</v>
      </c>
    </row>
    <row r="211" spans="1:2" x14ac:dyDescent="0.25">
      <c r="A211" s="2">
        <v>45883</v>
      </c>
      <c r="B211" s="3">
        <v>52.5625</v>
      </c>
    </row>
    <row r="212" spans="1:2" x14ac:dyDescent="0.25">
      <c r="A212" s="2">
        <v>45887</v>
      </c>
      <c r="B212" s="3">
        <v>56.5625</v>
      </c>
    </row>
    <row r="213" spans="1:2" x14ac:dyDescent="0.25">
      <c r="A213" s="2">
        <v>45888</v>
      </c>
      <c r="B213" s="3">
        <v>58.3125</v>
      </c>
    </row>
    <row r="214" spans="1:2" x14ac:dyDescent="0.25">
      <c r="A214" s="2">
        <v>45889</v>
      </c>
      <c r="B214" s="3">
        <v>58.8125</v>
      </c>
    </row>
    <row r="215" spans="1:2" x14ac:dyDescent="0.25">
      <c r="A215" s="2">
        <v>45890</v>
      </c>
      <c r="B215" s="3">
        <v>59.25</v>
      </c>
    </row>
    <row r="216" spans="1:2" x14ac:dyDescent="0.25">
      <c r="A216" s="2">
        <v>45891</v>
      </c>
      <c r="B216" s="3">
        <v>59.8125</v>
      </c>
    </row>
    <row r="217" spans="1:2" x14ac:dyDescent="0.25">
      <c r="A217" s="2">
        <v>45894</v>
      </c>
      <c r="B217" s="3">
        <v>60.25</v>
      </c>
    </row>
    <row r="218" spans="1:2" x14ac:dyDescent="0.25">
      <c r="A218" s="2">
        <v>45895</v>
      </c>
      <c r="B218" s="3">
        <v>64.125</v>
      </c>
    </row>
    <row r="219" spans="1:2" x14ac:dyDescent="0.25">
      <c r="A219" s="2">
        <v>45896</v>
      </c>
      <c r="B219" s="3">
        <v>61.1875</v>
      </c>
    </row>
    <row r="220" spans="1:2" x14ac:dyDescent="0.25">
      <c r="A220" s="2">
        <v>45897</v>
      </c>
      <c r="B220" s="3">
        <v>66.125</v>
      </c>
    </row>
    <row r="221" spans="1:2" x14ac:dyDescent="0.25">
      <c r="A221" s="2">
        <v>45898</v>
      </c>
      <c r="B221" s="3">
        <v>66.1875</v>
      </c>
    </row>
    <row r="222" spans="1:2" x14ac:dyDescent="0.25">
      <c r="A222" s="2">
        <v>45901</v>
      </c>
      <c r="B222" s="3">
        <v>67</v>
      </c>
    </row>
    <row r="223" spans="1:2" x14ac:dyDescent="0.25">
      <c r="A223" s="2">
        <v>45902</v>
      </c>
      <c r="B223" s="3">
        <v>58.4375</v>
      </c>
    </row>
    <row r="224" spans="1:2" x14ac:dyDescent="0.25">
      <c r="A224" s="2">
        <v>45903</v>
      </c>
      <c r="B224" s="3">
        <v>66</v>
      </c>
    </row>
    <row r="225" spans="1:2" x14ac:dyDescent="0.25">
      <c r="A225" s="2">
        <v>45904</v>
      </c>
      <c r="B225" s="3">
        <v>65.9375</v>
      </c>
    </row>
    <row r="226" spans="1:2" x14ac:dyDescent="0.25">
      <c r="A226" s="2">
        <v>45905</v>
      </c>
      <c r="B226" s="3">
        <v>64.0625</v>
      </c>
    </row>
    <row r="227" spans="1:2" x14ac:dyDescent="0.25">
      <c r="A227" s="2">
        <v>45908</v>
      </c>
      <c r="B227" s="3">
        <v>63.5</v>
      </c>
    </row>
    <row r="228" spans="1:2" x14ac:dyDescent="0.25">
      <c r="A228" s="2">
        <v>45909</v>
      </c>
      <c r="B228" s="3">
        <v>64.9375</v>
      </c>
    </row>
    <row r="229" spans="1:2" x14ac:dyDescent="0.25">
      <c r="A229" s="2">
        <v>45910</v>
      </c>
      <c r="B229" s="3">
        <v>59</v>
      </c>
    </row>
    <row r="230" spans="1:2" x14ac:dyDescent="0.25">
      <c r="A230" s="2">
        <v>45911</v>
      </c>
      <c r="B230" s="3">
        <v>52.5</v>
      </c>
    </row>
    <row r="231" spans="1:2" x14ac:dyDescent="0.25">
      <c r="A231" s="2">
        <v>45912</v>
      </c>
      <c r="B231" s="3">
        <v>47.6875</v>
      </c>
    </row>
    <row r="232" spans="1:2" x14ac:dyDescent="0.25">
      <c r="A232" s="2">
        <v>45915</v>
      </c>
      <c r="B232" s="3">
        <v>45.9375</v>
      </c>
    </row>
    <row r="233" spans="1:2" x14ac:dyDescent="0.25">
      <c r="A233" s="2">
        <v>45916</v>
      </c>
      <c r="B233" s="3">
        <v>43.6875</v>
      </c>
    </row>
    <row r="234" spans="1:2" x14ac:dyDescent="0.25">
      <c r="A234" s="2">
        <v>45917</v>
      </c>
      <c r="B234" s="3">
        <v>45.125</v>
      </c>
    </row>
    <row r="235" spans="1:2" x14ac:dyDescent="0.25">
      <c r="A235" s="2">
        <v>45918</v>
      </c>
      <c r="B235" s="3">
        <v>46.375</v>
      </c>
    </row>
    <row r="236" spans="1:2" x14ac:dyDescent="0.25">
      <c r="A236" s="2">
        <v>45919</v>
      </c>
      <c r="B236" s="3">
        <v>47.5625</v>
      </c>
    </row>
    <row r="237" spans="1:2" x14ac:dyDescent="0.25">
      <c r="A237" s="2">
        <v>45922</v>
      </c>
      <c r="B237" s="3">
        <v>48.1875</v>
      </c>
    </row>
    <row r="238" spans="1:2" x14ac:dyDescent="0.25">
      <c r="A238" s="2">
        <v>45923</v>
      </c>
      <c r="B238" s="3">
        <v>48.8125</v>
      </c>
    </row>
    <row r="239" spans="1:2" x14ac:dyDescent="0.25">
      <c r="A239" s="2">
        <v>45924</v>
      </c>
      <c r="B239" s="3">
        <v>44.1875</v>
      </c>
    </row>
    <row r="240" spans="1:2" x14ac:dyDescent="0.25">
      <c r="A240" s="2">
        <v>45925</v>
      </c>
      <c r="B240" s="3">
        <v>41.625</v>
      </c>
    </row>
    <row r="241" spans="1:2" x14ac:dyDescent="0.25">
      <c r="A241" s="2">
        <v>45926</v>
      </c>
      <c r="B241" s="3">
        <v>41</v>
      </c>
    </row>
    <row r="242" spans="1:2" x14ac:dyDescent="0.25">
      <c r="A242" s="2">
        <v>45929</v>
      </c>
      <c r="B242" s="3">
        <v>41.5</v>
      </c>
    </row>
    <row r="243" spans="1:2" x14ac:dyDescent="0.25">
      <c r="A243" s="2">
        <v>45930</v>
      </c>
      <c r="B243" s="3">
        <v>42.375</v>
      </c>
    </row>
    <row r="244" spans="1:2" x14ac:dyDescent="0.25">
      <c r="A244" s="2">
        <v>45931</v>
      </c>
      <c r="B244" s="3">
        <v>42.875</v>
      </c>
    </row>
    <row r="245" spans="1:2" x14ac:dyDescent="0.25">
      <c r="A245" s="2">
        <v>45932</v>
      </c>
      <c r="B245" s="3">
        <v>42</v>
      </c>
    </row>
    <row r="246" spans="1:2" x14ac:dyDescent="0.25">
      <c r="A246" s="2">
        <v>45933</v>
      </c>
      <c r="B246" s="3">
        <v>44.125</v>
      </c>
    </row>
    <row r="247" spans="1:2" x14ac:dyDescent="0.25">
      <c r="A247" s="2">
        <v>45936</v>
      </c>
      <c r="B247" s="3">
        <v>44.75</v>
      </c>
    </row>
    <row r="248" spans="1:2" x14ac:dyDescent="0.25">
      <c r="A248" s="2">
        <v>45937</v>
      </c>
      <c r="B248" s="3">
        <v>47.125</v>
      </c>
    </row>
    <row r="249" spans="1:2" x14ac:dyDescent="0.25">
      <c r="A249" s="2">
        <v>45938</v>
      </c>
      <c r="B249" s="3">
        <v>50.1875</v>
      </c>
    </row>
    <row r="250" spans="1:2" x14ac:dyDescent="0.25">
      <c r="A250" s="2">
        <v>45939</v>
      </c>
      <c r="B250" s="3">
        <v>54.375</v>
      </c>
    </row>
    <row r="251" spans="1:2" x14ac:dyDescent="0.25">
      <c r="A251" s="2">
        <v>45940</v>
      </c>
      <c r="B251" s="3">
        <v>54.375</v>
      </c>
    </row>
    <row r="252" spans="1:2" x14ac:dyDescent="0.25">
      <c r="A252" s="2">
        <v>45943</v>
      </c>
      <c r="B252" s="3">
        <v>53.75</v>
      </c>
    </row>
    <row r="253" spans="1:2" x14ac:dyDescent="0.25">
      <c r="A253" s="2">
        <v>45944</v>
      </c>
      <c r="B253" s="3">
        <v>59.125</v>
      </c>
    </row>
    <row r="254" spans="1:2" x14ac:dyDescent="0.25">
      <c r="A254" s="2">
        <v>45945</v>
      </c>
      <c r="B254" s="3">
        <v>66</v>
      </c>
    </row>
    <row r="255" spans="1:2" x14ac:dyDescent="0.25">
      <c r="A255" s="2">
        <v>45946</v>
      </c>
      <c r="B255" s="3">
        <v>60.125</v>
      </c>
    </row>
    <row r="256" spans="1:2" x14ac:dyDescent="0.25">
      <c r="A256" s="2">
        <v>45947</v>
      </c>
      <c r="B256" s="3">
        <v>57.9375</v>
      </c>
    </row>
    <row r="257" spans="1:2" x14ac:dyDescent="0.25">
      <c r="A257" s="2">
        <v>45950</v>
      </c>
      <c r="B257" s="3">
        <v>53.0625</v>
      </c>
    </row>
    <row r="258" spans="1:2" x14ac:dyDescent="0.25">
      <c r="A258" s="2">
        <v>45951</v>
      </c>
      <c r="B258" s="3">
        <v>52.8125</v>
      </c>
    </row>
    <row r="259" spans="1:2" x14ac:dyDescent="0.25">
      <c r="A259" s="2">
        <v>45952</v>
      </c>
      <c r="B259" s="3">
        <v>53.6875</v>
      </c>
    </row>
    <row r="260" spans="1:2" x14ac:dyDescent="0.25">
      <c r="A260" s="2">
        <v>45953</v>
      </c>
      <c r="B260" s="3">
        <v>54.875</v>
      </c>
    </row>
    <row r="261" spans="1:2" x14ac:dyDescent="0.25">
      <c r="A261" s="2">
        <v>45954</v>
      </c>
      <c r="B261" s="3">
        <v>58.5</v>
      </c>
    </row>
    <row r="262" spans="1:2" x14ac:dyDescent="0.25">
      <c r="A262" s="2">
        <v>45957</v>
      </c>
      <c r="B262" s="3">
        <v>45.9375</v>
      </c>
    </row>
    <row r="263" spans="1:2" x14ac:dyDescent="0.25">
      <c r="A263" s="2">
        <v>45958</v>
      </c>
      <c r="B263" s="3">
        <v>49.1875</v>
      </c>
    </row>
    <row r="264" spans="1:2" x14ac:dyDescent="0.25">
      <c r="A264" s="2">
        <v>45959</v>
      </c>
      <c r="B264" s="3">
        <v>44.625</v>
      </c>
    </row>
    <row r="265" spans="1:2" x14ac:dyDescent="0.25">
      <c r="A265" s="2">
        <v>45960</v>
      </c>
      <c r="B265" s="3">
        <v>43.375</v>
      </c>
    </row>
    <row r="266" spans="1:2" x14ac:dyDescent="0.25">
      <c r="A266" s="2">
        <v>45961</v>
      </c>
      <c r="B266" s="3">
        <v>38.3125</v>
      </c>
    </row>
    <row r="267" spans="1:2" x14ac:dyDescent="0.25">
      <c r="A267" s="2">
        <v>45964</v>
      </c>
      <c r="B267" s="3">
        <v>36.75</v>
      </c>
    </row>
    <row r="268" spans="1:2" x14ac:dyDescent="0.25">
      <c r="A268" s="2">
        <v>45965</v>
      </c>
      <c r="B268" s="3">
        <v>37.5625</v>
      </c>
    </row>
    <row r="269" spans="1:2" x14ac:dyDescent="0.25">
      <c r="A269" s="2">
        <v>45966</v>
      </c>
      <c r="B269" s="3">
        <v>36.3125</v>
      </c>
    </row>
    <row r="270" spans="1:2" x14ac:dyDescent="0.25">
      <c r="A270" s="2">
        <v>45968</v>
      </c>
      <c r="B270" s="3">
        <v>34.8125</v>
      </c>
    </row>
    <row r="271" spans="1:2" x14ac:dyDescent="0.25">
      <c r="A271" s="2">
        <v>45971</v>
      </c>
      <c r="B271" s="3">
        <v>34.75</v>
      </c>
    </row>
    <row r="272" spans="1:2" x14ac:dyDescent="0.25">
      <c r="A272" s="2">
        <v>45972</v>
      </c>
      <c r="B272" s="3">
        <v>35</v>
      </c>
    </row>
    <row r="273" spans="1:2" x14ac:dyDescent="0.25">
      <c r="A273" s="2">
        <v>45973</v>
      </c>
      <c r="B273" s="3">
        <v>34.625</v>
      </c>
    </row>
    <row r="274" spans="1:2" x14ac:dyDescent="0.25">
      <c r="A274" s="2">
        <v>45974</v>
      </c>
      <c r="B274" s="3">
        <v>33.9375</v>
      </c>
    </row>
    <row r="275" spans="1:2" x14ac:dyDescent="0.25">
      <c r="A275" s="2">
        <v>45975</v>
      </c>
      <c r="B275" s="3">
        <v>33.4375</v>
      </c>
    </row>
    <row r="276" spans="1:2" x14ac:dyDescent="0.25">
      <c r="A276" s="2">
        <v>45978</v>
      </c>
      <c r="B276" s="3">
        <v>33</v>
      </c>
    </row>
    <row r="277" spans="1:2" x14ac:dyDescent="0.25">
      <c r="A277" s="2">
        <v>45979</v>
      </c>
      <c r="B277" s="3">
        <v>33.5</v>
      </c>
    </row>
    <row r="278" spans="1:2" x14ac:dyDescent="0.25">
      <c r="A278" s="2">
        <v>45980</v>
      </c>
      <c r="B278" s="3">
        <v>33.8125</v>
      </c>
    </row>
    <row r="279" spans="1:2" x14ac:dyDescent="0.25">
      <c r="A279" s="2">
        <v>45981</v>
      </c>
      <c r="B279" s="3">
        <v>31.6875</v>
      </c>
    </row>
    <row r="280" spans="1:2" x14ac:dyDescent="0.25">
      <c r="A280" s="2">
        <v>45986</v>
      </c>
      <c r="B280" s="3">
        <v>32.0625</v>
      </c>
    </row>
    <row r="281" spans="1:2" x14ac:dyDescent="0.25">
      <c r="A281" s="2">
        <v>45987</v>
      </c>
      <c r="B281" s="3">
        <v>31.6875</v>
      </c>
    </row>
    <row r="282" spans="1:2" x14ac:dyDescent="0.25">
      <c r="A282" s="2">
        <v>45988</v>
      </c>
      <c r="B282" s="3">
        <v>31.75</v>
      </c>
    </row>
    <row r="283" spans="1:2" x14ac:dyDescent="0.25">
      <c r="A283" s="2">
        <v>45989</v>
      </c>
      <c r="B283" s="3">
        <v>31.4375</v>
      </c>
    </row>
    <row r="284" spans="1:2" x14ac:dyDescent="0.25">
      <c r="A284" s="2">
        <v>45992</v>
      </c>
      <c r="B284" s="3">
        <v>30.9375</v>
      </c>
    </row>
    <row r="285" spans="1:2" x14ac:dyDescent="0.25">
      <c r="A285" s="2">
        <v>45993</v>
      </c>
      <c r="B285" s="3">
        <v>29.6875</v>
      </c>
    </row>
    <row r="286" spans="1:2" x14ac:dyDescent="0.25">
      <c r="A286" s="2">
        <v>45994</v>
      </c>
      <c r="B286" s="3">
        <v>27.8125</v>
      </c>
    </row>
    <row r="287" spans="1:2" x14ac:dyDescent="0.25">
      <c r="A287" s="2">
        <v>45995</v>
      </c>
      <c r="B287" s="3">
        <v>26.625</v>
      </c>
    </row>
    <row r="288" spans="1:2" x14ac:dyDescent="0.25">
      <c r="A288" s="2">
        <v>45996</v>
      </c>
      <c r="B288" s="3">
        <v>26.8125</v>
      </c>
    </row>
    <row r="289" spans="1:2" x14ac:dyDescent="0.25">
      <c r="A289" s="2">
        <v>46000</v>
      </c>
      <c r="B289" s="3">
        <v>26.4375</v>
      </c>
    </row>
    <row r="290" spans="1:2" x14ac:dyDescent="0.25">
      <c r="A290" s="2">
        <v>46001</v>
      </c>
      <c r="B290" s="3">
        <v>26.6875</v>
      </c>
    </row>
    <row r="291" spans="1:2" x14ac:dyDescent="0.25">
      <c r="A291" s="2">
        <v>46002</v>
      </c>
      <c r="B291" s="3">
        <v>26.75</v>
      </c>
    </row>
    <row r="292" spans="1:2" x14ac:dyDescent="0.25">
      <c r="A292" s="2">
        <v>46003</v>
      </c>
      <c r="B292" s="3">
        <v>26.75</v>
      </c>
    </row>
    <row r="293" spans="1:2" x14ac:dyDescent="0.25">
      <c r="A293" s="2">
        <v>46006</v>
      </c>
      <c r="B293" s="3">
        <v>26.75</v>
      </c>
    </row>
    <row r="294" spans="1:2" x14ac:dyDescent="0.25">
      <c r="A294" s="2">
        <v>46007</v>
      </c>
      <c r="B294" s="3">
        <v>27.125</v>
      </c>
    </row>
    <row r="295" spans="1:2" x14ac:dyDescent="0.25">
      <c r="A295" s="2">
        <v>46008</v>
      </c>
      <c r="B295" s="3">
        <v>27.375</v>
      </c>
    </row>
    <row r="296" spans="1:2" x14ac:dyDescent="0.25">
      <c r="A296" s="2">
        <v>46009</v>
      </c>
      <c r="B296" s="3">
        <v>27.3125</v>
      </c>
    </row>
    <row r="297" spans="1:2" x14ac:dyDescent="0.25">
      <c r="A297" s="2">
        <v>46010</v>
      </c>
      <c r="B297" s="3">
        <v>28.25</v>
      </c>
    </row>
    <row r="298" spans="1:2" x14ac:dyDescent="0.25">
      <c r="A298" s="2">
        <v>46013</v>
      </c>
      <c r="B298" s="3">
        <v>28.375</v>
      </c>
    </row>
    <row r="299" spans="1:2" x14ac:dyDescent="0.25">
      <c r="A299" s="2">
        <v>46014</v>
      </c>
      <c r="B299" s="3">
        <v>29.4375</v>
      </c>
    </row>
    <row r="300" spans="1:2" x14ac:dyDescent="0.25">
      <c r="A300" s="2">
        <v>46015</v>
      </c>
      <c r="B300" s="3">
        <v>29.4375</v>
      </c>
    </row>
    <row r="301" spans="1:2" x14ac:dyDescent="0.25">
      <c r="A301" s="2">
        <v>46017</v>
      </c>
      <c r="B301" s="3">
        <v>28.6875</v>
      </c>
    </row>
    <row r="302" spans="1:2" x14ac:dyDescent="0.25">
      <c r="A302" s="2">
        <v>46020</v>
      </c>
      <c r="B302" s="3">
        <v>27.9375</v>
      </c>
    </row>
    <row r="303" spans="1:2" x14ac:dyDescent="0.25">
      <c r="A303" s="2">
        <v>46021</v>
      </c>
      <c r="B303" s="3">
        <v>28.875</v>
      </c>
    </row>
    <row r="304" spans="1:2" x14ac:dyDescent="0.25">
      <c r="A304" s="2">
        <v>46022</v>
      </c>
      <c r="B304" s="3">
        <v>28.875</v>
      </c>
    </row>
    <row r="305" spans="1:2" x14ac:dyDescent="0.25">
      <c r="A305" s="2">
        <v>46024</v>
      </c>
      <c r="B305" s="3">
        <v>29.375</v>
      </c>
    </row>
    <row r="306" spans="1:2" x14ac:dyDescent="0.25">
      <c r="A306" s="2">
        <v>46027</v>
      </c>
      <c r="B306" s="3">
        <v>28.75</v>
      </c>
    </row>
    <row r="307" spans="1:2" x14ac:dyDescent="0.25">
      <c r="A307" s="2">
        <v>46028</v>
      </c>
      <c r="B307" s="3">
        <v>29.375</v>
      </c>
    </row>
    <row r="308" spans="1:2" x14ac:dyDescent="0.25">
      <c r="A308" s="2">
        <v>46029</v>
      </c>
      <c r="B308" s="3">
        <v>31.75</v>
      </c>
    </row>
    <row r="309" spans="1:2" x14ac:dyDescent="0.25">
      <c r="A309" s="2">
        <v>46030</v>
      </c>
      <c r="B309" s="3">
        <v>33.125</v>
      </c>
    </row>
    <row r="310" spans="1:2" x14ac:dyDescent="0.25">
      <c r="A310" s="2">
        <v>46031</v>
      </c>
      <c r="B310" s="3">
        <v>32.625</v>
      </c>
    </row>
    <row r="311" spans="1:2" x14ac:dyDescent="0.25">
      <c r="A311" s="2">
        <v>46034</v>
      </c>
      <c r="B311" s="3">
        <v>32.4375</v>
      </c>
    </row>
    <row r="312" spans="1:2" x14ac:dyDescent="0.25">
      <c r="A312" s="2">
        <v>46035</v>
      </c>
      <c r="B312" s="3">
        <v>34.4375</v>
      </c>
    </row>
    <row r="313" spans="1:2" x14ac:dyDescent="0.25">
      <c r="A313" s="2">
        <v>46036</v>
      </c>
      <c r="B313" s="3">
        <v>34.9375</v>
      </c>
    </row>
    <row r="314" spans="1:2" x14ac:dyDescent="0.25">
      <c r="A314" s="2">
        <v>46037</v>
      </c>
      <c r="B314" s="3">
        <v>35.6875</v>
      </c>
    </row>
    <row r="315" spans="1:2" x14ac:dyDescent="0.25">
      <c r="A315" s="2">
        <v>46038</v>
      </c>
      <c r="B315" s="3">
        <v>35.5625</v>
      </c>
    </row>
    <row r="316" spans="1:2" x14ac:dyDescent="0.25">
      <c r="A316" s="2">
        <v>46041</v>
      </c>
      <c r="B316" s="3">
        <v>36.6875</v>
      </c>
    </row>
    <row r="317" spans="1:2" x14ac:dyDescent="0.25">
      <c r="A317" s="2">
        <v>46042</v>
      </c>
      <c r="B317" s="3">
        <v>36.6875</v>
      </c>
    </row>
    <row r="318" spans="1:2" x14ac:dyDescent="0.25">
      <c r="A318" s="2">
        <v>46043</v>
      </c>
      <c r="B318" s="3">
        <v>36.9375</v>
      </c>
    </row>
    <row r="319" spans="1:2" x14ac:dyDescent="0.25">
      <c r="A319" s="2">
        <v>46044</v>
      </c>
      <c r="B319" s="3">
        <v>38.0625</v>
      </c>
    </row>
    <row r="320" spans="1:2" x14ac:dyDescent="0.25">
      <c r="A320" s="2">
        <v>46045</v>
      </c>
      <c r="B320" s="3">
        <v>37.8125</v>
      </c>
    </row>
    <row r="321" spans="1:2" x14ac:dyDescent="0.25">
      <c r="A321" s="2">
        <v>46048</v>
      </c>
      <c r="B321" s="3">
        <v>35.625</v>
      </c>
    </row>
    <row r="322" spans="1:2" x14ac:dyDescent="0.25">
      <c r="A322" s="2">
        <v>46049</v>
      </c>
      <c r="B322" s="3">
        <v>34.5</v>
      </c>
    </row>
    <row r="323" spans="1:2" x14ac:dyDescent="0.25">
      <c r="A323" s="2">
        <v>46050</v>
      </c>
      <c r="B323" s="3">
        <v>32.625</v>
      </c>
    </row>
    <row r="324" spans="1:2" x14ac:dyDescent="0.25">
      <c r="A324" s="2">
        <v>46051</v>
      </c>
      <c r="B324" s="3">
        <v>31.75</v>
      </c>
    </row>
    <row r="325" spans="1:2" x14ac:dyDescent="0.25">
      <c r="A325" s="2">
        <v>46052</v>
      </c>
      <c r="B325" s="3">
        <v>32.9375</v>
      </c>
    </row>
    <row r="326" spans="1:2" x14ac:dyDescent="0.25">
      <c r="A326" s="2">
        <v>46055</v>
      </c>
      <c r="B326" s="3">
        <v>32.6875</v>
      </c>
    </row>
    <row r="327" spans="1:2" x14ac:dyDescent="0.25">
      <c r="A327" s="2">
        <v>46056</v>
      </c>
      <c r="B327" s="3">
        <v>34</v>
      </c>
    </row>
    <row r="328" spans="1:2" x14ac:dyDescent="0.25">
      <c r="A328" s="2">
        <v>46057</v>
      </c>
      <c r="B328" s="3">
        <v>32.5625</v>
      </c>
    </row>
    <row r="329" spans="1:2" x14ac:dyDescent="0.25">
      <c r="A329" s="2">
        <v>46058</v>
      </c>
      <c r="B329" s="3">
        <v>32.1875</v>
      </c>
    </row>
    <row r="330" spans="1:2" x14ac:dyDescent="0.25">
      <c r="A330" s="2">
        <v>46059</v>
      </c>
      <c r="B330" s="3">
        <v>31.8125</v>
      </c>
    </row>
    <row r="331" spans="1:2" x14ac:dyDescent="0.25">
      <c r="A331" s="2">
        <v>46062</v>
      </c>
      <c r="B331" s="3">
        <v>31.1875</v>
      </c>
    </row>
    <row r="332" spans="1:2" x14ac:dyDescent="0.25">
      <c r="A332" s="2">
        <v>46063</v>
      </c>
      <c r="B332" s="3">
        <v>31.375</v>
      </c>
    </row>
    <row r="333" spans="1:2" x14ac:dyDescent="0.25">
      <c r="A333" s="2">
        <v>46064</v>
      </c>
      <c r="B333" s="3">
        <v>31.5625</v>
      </c>
    </row>
    <row r="334" spans="1:2" x14ac:dyDescent="0.25">
      <c r="A334" s="2">
        <v>46065</v>
      </c>
      <c r="B334" s="3">
        <v>32.375</v>
      </c>
    </row>
    <row r="335" spans="1:2" x14ac:dyDescent="0.25">
      <c r="A335" s="2">
        <v>46066</v>
      </c>
      <c r="B335" s="3">
        <v>33.4375</v>
      </c>
    </row>
    <row r="336" spans="1:2" x14ac:dyDescent="0.25">
      <c r="A336" s="2">
        <v>46071</v>
      </c>
      <c r="B336" s="3">
        <v>33.6875</v>
      </c>
    </row>
    <row r="337" spans="1:2" x14ac:dyDescent="0.25">
      <c r="A337" s="2">
        <v>46072</v>
      </c>
      <c r="B337" s="3">
        <v>34.625</v>
      </c>
    </row>
    <row r="338" spans="1:2" x14ac:dyDescent="0.25">
      <c r="A338" s="2">
        <v>46073</v>
      </c>
      <c r="B338" s="3">
        <v>34.875</v>
      </c>
    </row>
    <row r="339" spans="1:2" x14ac:dyDescent="0.25">
      <c r="A339" s="2">
        <v>46076</v>
      </c>
      <c r="B339" s="3">
        <v>36.5</v>
      </c>
    </row>
    <row r="340" spans="1:2" x14ac:dyDescent="0.25">
      <c r="A340" s="2">
        <v>46077</v>
      </c>
      <c r="B340" s="3">
        <v>35.625</v>
      </c>
    </row>
    <row r="341" spans="1:2" x14ac:dyDescent="0.25">
      <c r="A341" s="2">
        <v>46078</v>
      </c>
      <c r="B341" s="3">
        <v>33.25</v>
      </c>
    </row>
    <row r="342" spans="1:2" x14ac:dyDescent="0.25">
      <c r="A342" s="2">
        <v>46079</v>
      </c>
      <c r="B342" s="3">
        <v>31.25</v>
      </c>
    </row>
    <row r="343" spans="1:2" x14ac:dyDescent="0.25">
      <c r="A343" s="2">
        <v>46080</v>
      </c>
      <c r="B343" s="3">
        <v>31.0625</v>
      </c>
    </row>
    <row r="344" spans="1:2" x14ac:dyDescent="0.25">
      <c r="A344" s="2">
        <v>46083</v>
      </c>
      <c r="B344" s="3">
        <v>30.75</v>
      </c>
    </row>
    <row r="345" spans="1:2" x14ac:dyDescent="0.25">
      <c r="A345" s="2">
        <v>46084</v>
      </c>
      <c r="B345" s="3">
        <v>31</v>
      </c>
    </row>
    <row r="346" spans="1:2" x14ac:dyDescent="0.25">
      <c r="A346" s="2">
        <v>46085</v>
      </c>
      <c r="B346" s="3">
        <v>31</v>
      </c>
    </row>
    <row r="347" spans="1:2" x14ac:dyDescent="0.25">
      <c r="A347" s="2">
        <v>46086</v>
      </c>
      <c r="B347" s="3">
        <v>31.25</v>
      </c>
    </row>
    <row r="348" spans="1:2" x14ac:dyDescent="0.25">
      <c r="A348" s="2">
        <v>46087</v>
      </c>
      <c r="B348" s="3">
        <v>30.875</v>
      </c>
    </row>
    <row r="349" spans="1:2" x14ac:dyDescent="0.25">
      <c r="A349" s="2">
        <v>46090</v>
      </c>
      <c r="B349" s="3">
        <v>30.875</v>
      </c>
    </row>
    <row r="350" spans="1:2" x14ac:dyDescent="0.25">
      <c r="A350" s="2">
        <v>46091</v>
      </c>
      <c r="B350" s="3">
        <v>31.0625</v>
      </c>
    </row>
    <row r="351" spans="1:2" x14ac:dyDescent="0.25">
      <c r="A351" s="2">
        <v>46092</v>
      </c>
      <c r="B351" s="3">
        <v>31</v>
      </c>
    </row>
    <row r="352" spans="1:2" x14ac:dyDescent="0.25">
      <c r="A352" s="2">
        <v>46093</v>
      </c>
      <c r="B352" s="3">
        <v>31</v>
      </c>
    </row>
    <row r="353" spans="1:2" x14ac:dyDescent="0.25">
      <c r="A353" s="2">
        <v>46094</v>
      </c>
      <c r="B353" s="3">
        <v>31.0625</v>
      </c>
    </row>
    <row r="354" spans="1:2" x14ac:dyDescent="0.25">
      <c r="A354" s="2">
        <v>46097</v>
      </c>
      <c r="B354" s="3">
        <v>30.625</v>
      </c>
    </row>
    <row r="355" spans="1:2" x14ac:dyDescent="0.25">
      <c r="A355" s="2">
        <v>46098</v>
      </c>
      <c r="B355" s="3">
        <v>28.8125</v>
      </c>
    </row>
    <row r="356" spans="1:2" x14ac:dyDescent="0.25">
      <c r="A356" s="2">
        <v>46099</v>
      </c>
      <c r="B356" s="3">
        <v>27.1875</v>
      </c>
    </row>
    <row r="357" spans="1:2" x14ac:dyDescent="0.25">
      <c r="A357" s="2">
        <v>46100</v>
      </c>
      <c r="B357" s="3">
        <v>26.5625</v>
      </c>
    </row>
    <row r="358" spans="1:2" x14ac:dyDescent="0.25">
      <c r="A358" s="2">
        <v>46101</v>
      </c>
      <c r="B358" s="3">
        <v>26.75</v>
      </c>
    </row>
    <row r="359" spans="1:2" x14ac:dyDescent="0.25">
      <c r="A359" s="2">
        <v>46106</v>
      </c>
      <c r="B359" s="3">
        <v>26.4375</v>
      </c>
    </row>
    <row r="360" spans="1:2" x14ac:dyDescent="0.25">
      <c r="A360" s="2">
        <v>46107</v>
      </c>
      <c r="B360" s="3">
        <v>26.3125</v>
      </c>
    </row>
    <row r="361" spans="1:2" x14ac:dyDescent="0.25">
      <c r="A361" s="2">
        <v>46108</v>
      </c>
      <c r="B361" s="3">
        <v>26.125</v>
      </c>
    </row>
    <row r="362" spans="1:2" x14ac:dyDescent="0.25">
      <c r="A362" s="2">
        <v>46111</v>
      </c>
      <c r="B362" s="3">
        <v>26.1875</v>
      </c>
    </row>
    <row r="363" spans="1:2" x14ac:dyDescent="0.25">
      <c r="A363" s="2">
        <v>46112</v>
      </c>
      <c r="B363" s="3">
        <v>26.3125</v>
      </c>
    </row>
    <row r="364" spans="1:2" x14ac:dyDescent="0.25">
      <c r="A364" s="2">
        <v>46113</v>
      </c>
      <c r="B364" s="3">
        <v>26.25</v>
      </c>
    </row>
    <row r="365" spans="1:2" x14ac:dyDescent="0.25">
      <c r="A365" s="2">
        <v>46118</v>
      </c>
      <c r="B365" s="3">
        <v>26.125</v>
      </c>
    </row>
    <row r="366" spans="1:2" x14ac:dyDescent="0.25">
      <c r="A366" s="2">
        <v>46119</v>
      </c>
      <c r="B366" s="3">
        <v>26.1875</v>
      </c>
    </row>
    <row r="367" spans="1:2" x14ac:dyDescent="0.25">
      <c r="A367" s="2">
        <v>46120</v>
      </c>
      <c r="B367" s="3">
        <v>25.625</v>
      </c>
    </row>
    <row r="368" spans="1:2" x14ac:dyDescent="0.25">
      <c r="A368" s="2">
        <v>46121</v>
      </c>
      <c r="B368" s="3">
        <v>23.4375</v>
      </c>
    </row>
    <row r="369" spans="1:2" x14ac:dyDescent="0.25">
      <c r="A369" s="2">
        <v>46122</v>
      </c>
      <c r="B369" s="3">
        <v>22.8125</v>
      </c>
    </row>
    <row r="370" spans="1:2" x14ac:dyDescent="0.25">
      <c r="A370" s="2">
        <v>46125</v>
      </c>
      <c r="B370" s="3">
        <v>22.5</v>
      </c>
    </row>
    <row r="371" spans="1:2" x14ac:dyDescent="0.25">
      <c r="A371" s="2">
        <v>46126</v>
      </c>
      <c r="B371" s="3">
        <v>23.0625</v>
      </c>
    </row>
    <row r="372" spans="1:2" x14ac:dyDescent="0.25">
      <c r="A372" s="2">
        <v>46127</v>
      </c>
      <c r="B372" s="3">
        <v>22.875</v>
      </c>
    </row>
    <row r="373" spans="1:2" x14ac:dyDescent="0.25">
      <c r="A373" s="2">
        <v>46128</v>
      </c>
      <c r="B373" s="3">
        <v>23.125</v>
      </c>
    </row>
    <row r="374" spans="1:2" x14ac:dyDescent="0.25">
      <c r="A374" s="2">
        <v>46129</v>
      </c>
      <c r="B374" s="3">
        <v>22.75</v>
      </c>
    </row>
    <row r="375" spans="1:2" x14ac:dyDescent="0.25">
      <c r="A375" s="2">
        <v>46132</v>
      </c>
      <c r="B375" s="3">
        <v>22.3125</v>
      </c>
    </row>
    <row r="376" spans="1:2" x14ac:dyDescent="0.25">
      <c r="A376" s="2">
        <v>46133</v>
      </c>
      <c r="B376" s="3">
        <v>22.4375</v>
      </c>
    </row>
    <row r="377" spans="1:2" x14ac:dyDescent="0.25">
      <c r="A377" s="2">
        <v>46134</v>
      </c>
      <c r="B377" s="3">
        <v>22.5</v>
      </c>
    </row>
    <row r="378" spans="1:2" x14ac:dyDescent="0.25">
      <c r="A378" s="2">
        <v>46135</v>
      </c>
      <c r="B378" s="3">
        <v>22.5625</v>
      </c>
    </row>
    <row r="379" spans="1:2" x14ac:dyDescent="0.25">
      <c r="A379" s="2">
        <v>46136</v>
      </c>
      <c r="B379" s="3">
        <v>22.4375</v>
      </c>
    </row>
    <row r="380" spans="1:2" x14ac:dyDescent="0.25">
      <c r="A380" s="2">
        <v>46139</v>
      </c>
      <c r="B380" s="3">
        <v>22.3125</v>
      </c>
    </row>
    <row r="381" spans="1:2" x14ac:dyDescent="0.25">
      <c r="A381" s="2">
        <v>46140</v>
      </c>
      <c r="B381" s="3">
        <v>22.625</v>
      </c>
    </row>
    <row r="382" spans="1:2" x14ac:dyDescent="0.25">
      <c r="A382" s="2">
        <v>46141</v>
      </c>
      <c r="B382" s="3">
        <v>22.625</v>
      </c>
    </row>
    <row r="383" spans="1:2" x14ac:dyDescent="0.25">
      <c r="A383" s="2">
        <v>46142</v>
      </c>
      <c r="B383" s="3">
        <v>23.125</v>
      </c>
    </row>
    <row r="384" spans="1:2" x14ac:dyDescent="0.25">
      <c r="A384" s="2">
        <v>46146</v>
      </c>
      <c r="B384" s="3">
        <v>23.125</v>
      </c>
    </row>
    <row r="385" spans="1:2" x14ac:dyDescent="0.25">
      <c r="A385" s="2">
        <v>46147</v>
      </c>
      <c r="B385" s="3">
        <v>23.4375</v>
      </c>
    </row>
    <row r="386" spans="1:2" x14ac:dyDescent="0.25">
      <c r="A386" s="2">
        <v>46148</v>
      </c>
      <c r="B386" s="3">
        <v>22.75</v>
      </c>
    </row>
    <row r="387" spans="1:2" x14ac:dyDescent="0.25">
      <c r="A387" s="2">
        <v>46149</v>
      </c>
      <c r="B387" s="3">
        <v>22.8125</v>
      </c>
    </row>
    <row r="388" spans="1:2" x14ac:dyDescent="0.25">
      <c r="A388" s="2">
        <v>46150</v>
      </c>
      <c r="B388" s="3">
        <v>22.5625</v>
      </c>
    </row>
    <row r="389" spans="1:2" x14ac:dyDescent="0.25">
      <c r="A389" s="2">
        <v>46153</v>
      </c>
      <c r="B389" s="3">
        <v>22.75</v>
      </c>
    </row>
    <row r="390" spans="1:2" x14ac:dyDescent="0.25">
      <c r="A390" s="2">
        <v>46154</v>
      </c>
      <c r="B390" s="3">
        <v>22.625</v>
      </c>
    </row>
    <row r="391" spans="1:2" x14ac:dyDescent="0.25">
      <c r="A391" s="2">
        <v>46155</v>
      </c>
      <c r="B391" s="3">
        <v>22.5</v>
      </c>
    </row>
    <row r="392" spans="1:2" x14ac:dyDescent="0.25">
      <c r="A392" s="2">
        <v>46156</v>
      </c>
      <c r="B392" s="3">
        <v>22.8125</v>
      </c>
    </row>
    <row r="393" spans="1:2" x14ac:dyDescent="0.25">
      <c r="A393" s="2">
        <v>46157</v>
      </c>
      <c r="B393" s="3">
        <v>22.8125</v>
      </c>
    </row>
    <row r="394" spans="1:2" x14ac:dyDescent="0.25">
      <c r="A394" s="2">
        <v>46160</v>
      </c>
      <c r="B394" s="3">
        <v>22.8125</v>
      </c>
    </row>
    <row r="395" spans="1:2" x14ac:dyDescent="0.25">
      <c r="A395" s="2">
        <v>46161</v>
      </c>
      <c r="B395" s="3">
        <v>22.9375</v>
      </c>
    </row>
    <row r="396" spans="1:2" x14ac:dyDescent="0.25">
      <c r="A396" s="2">
        <v>46162</v>
      </c>
      <c r="B396" s="3">
        <v>22.75</v>
      </c>
    </row>
    <row r="397" spans="1:2" x14ac:dyDescent="0.25">
      <c r="A397" s="2">
        <v>46163</v>
      </c>
      <c r="B397" s="3">
        <v>22.9375</v>
      </c>
    </row>
    <row r="398" spans="1:2" x14ac:dyDescent="0.25">
      <c r="A398" s="2">
        <v>46164</v>
      </c>
      <c r="B398" s="3">
        <v>22.9375</v>
      </c>
    </row>
    <row r="399" spans="1:2" x14ac:dyDescent="0.25">
      <c r="A399" s="2">
        <v>46168</v>
      </c>
      <c r="B399" s="3">
        <v>22.8125</v>
      </c>
    </row>
    <row r="400" spans="1:2" x14ac:dyDescent="0.25">
      <c r="A400" s="2">
        <v>46169</v>
      </c>
      <c r="B400" s="3">
        <v>22.8125</v>
      </c>
    </row>
    <row r="401" spans="1:2" x14ac:dyDescent="0.25">
      <c r="A401" s="2">
        <v>46170</v>
      </c>
      <c r="B401" s="3">
        <v>23</v>
      </c>
    </row>
    <row r="402" spans="1:2" x14ac:dyDescent="0.25">
      <c r="A402" s="2">
        <v>46171</v>
      </c>
      <c r="B402" s="3">
        <v>22.25</v>
      </c>
    </row>
    <row r="403" spans="1:2" x14ac:dyDescent="0.25">
      <c r="A403" s="2">
        <v>46174</v>
      </c>
      <c r="B403" s="3">
        <v>22.9375</v>
      </c>
    </row>
    <row r="404" spans="1:2" x14ac:dyDescent="0.25">
      <c r="A404" s="2">
        <v>46175</v>
      </c>
      <c r="B404" s="3">
        <v>22.75</v>
      </c>
    </row>
    <row r="405" spans="1:2" x14ac:dyDescent="0.25">
      <c r="A405" s="2">
        <v>46176</v>
      </c>
      <c r="B405" s="3">
        <v>22.125</v>
      </c>
    </row>
    <row r="406" spans="1:2" x14ac:dyDescent="0.25">
      <c r="A406" s="2">
        <v>46177</v>
      </c>
      <c r="B406" s="3">
        <v>22.25</v>
      </c>
    </row>
    <row r="407" spans="1:2" x14ac:dyDescent="0.25">
      <c r="A407" s="2">
        <v>46178</v>
      </c>
      <c r="B407" s="3">
        <v>21.8125</v>
      </c>
    </row>
    <row r="408" spans="1:2" x14ac:dyDescent="0.25">
      <c r="A408" s="2">
        <v>46181</v>
      </c>
      <c r="B408" s="3">
        <v>21.625</v>
      </c>
    </row>
    <row r="409" spans="1:2" x14ac:dyDescent="0.25">
      <c r="A409" s="2">
        <v>46182</v>
      </c>
      <c r="B409" s="3">
        <v>21.5</v>
      </c>
    </row>
    <row r="410" spans="1:2" x14ac:dyDescent="0.25">
      <c r="A410" s="2">
        <v>46183</v>
      </c>
      <c r="B410" s="3">
        <v>21.5625</v>
      </c>
    </row>
    <row r="411" spans="1:2" x14ac:dyDescent="0.25">
      <c r="A411" s="2">
        <v>46184</v>
      </c>
      <c r="B411" s="3">
        <v>21.5</v>
      </c>
    </row>
    <row r="412" spans="1:2" x14ac:dyDescent="0.25">
      <c r="A412" s="2">
        <v>46185</v>
      </c>
      <c r="B412" s="3">
        <v>21.375</v>
      </c>
    </row>
    <row r="413" spans="1:2" x14ac:dyDescent="0.25">
      <c r="A413" s="2">
        <v>46189</v>
      </c>
      <c r="B413" s="3">
        <v>21.75</v>
      </c>
    </row>
    <row r="414" spans="1:2" x14ac:dyDescent="0.25">
      <c r="A414" s="2">
        <v>46190</v>
      </c>
      <c r="B414" s="3">
        <v>21.9375</v>
      </c>
    </row>
    <row r="415" spans="1:2" x14ac:dyDescent="0.25">
      <c r="A415" s="2">
        <v>46191</v>
      </c>
      <c r="B415" s="3">
        <v>22.25</v>
      </c>
    </row>
    <row r="416" spans="1:2" x14ac:dyDescent="0.25">
      <c r="A416" s="2">
        <v>46192</v>
      </c>
      <c r="B416" s="3">
        <v>22.1875</v>
      </c>
    </row>
    <row r="417" spans="1:2" x14ac:dyDescent="0.25">
      <c r="A417" s="2">
        <v>46195</v>
      </c>
      <c r="B417" s="3">
        <v>22.375</v>
      </c>
    </row>
    <row r="418" spans="1:2" x14ac:dyDescent="0.25">
      <c r="A418" s="2">
        <v>46196</v>
      </c>
      <c r="B418" s="3">
        <v>22.5</v>
      </c>
    </row>
    <row r="419" spans="1:2" x14ac:dyDescent="0.25">
      <c r="A419" s="2">
        <v>46197</v>
      </c>
      <c r="B419" s="3">
        <v>22.25</v>
      </c>
    </row>
    <row r="420" spans="1:2" x14ac:dyDescent="0.25">
      <c r="A420" s="2">
        <v>46198</v>
      </c>
      <c r="B420" s="3">
        <v>22.8125</v>
      </c>
    </row>
    <row r="421" spans="1:2" x14ac:dyDescent="0.25">
      <c r="A421" s="2">
        <v>46199</v>
      </c>
      <c r="B421" s="3">
        <v>22.5625</v>
      </c>
    </row>
    <row r="422" spans="1:2" x14ac:dyDescent="0.25">
      <c r="A422" s="2">
        <v>46202</v>
      </c>
      <c r="B422" s="3">
        <v>22.9375</v>
      </c>
    </row>
    <row r="423" spans="1:2" x14ac:dyDescent="0.25">
      <c r="A423" s="2">
        <v>46203</v>
      </c>
      <c r="B423" s="3">
        <v>22.6875</v>
      </c>
    </row>
    <row r="424" spans="1:2" x14ac:dyDescent="0.25">
      <c r="A424" s="2">
        <v>46204</v>
      </c>
      <c r="B424" s="3">
        <v>22.1875</v>
      </c>
    </row>
    <row r="425" spans="1:2" x14ac:dyDescent="0.25">
      <c r="A425" s="2">
        <v>46205</v>
      </c>
      <c r="B425" s="3">
        <v>22.125</v>
      </c>
    </row>
    <row r="426" spans="1:2" x14ac:dyDescent="0.25">
      <c r="A426" s="2">
        <v>46206</v>
      </c>
      <c r="B426" s="3">
        <v>21.875</v>
      </c>
    </row>
    <row r="427" spans="1:2" x14ac:dyDescent="0.25">
      <c r="A427" s="2">
        <v>46209</v>
      </c>
      <c r="B427" s="3">
        <v>21.9375</v>
      </c>
    </row>
    <row r="428" spans="1:2" x14ac:dyDescent="0.25">
      <c r="A428" s="2">
        <v>46210</v>
      </c>
      <c r="B428" s="3">
        <v>21.9375</v>
      </c>
    </row>
    <row r="429" spans="1:2" x14ac:dyDescent="0.25">
      <c r="A429" s="2">
        <v>46211</v>
      </c>
      <c r="B429" s="3">
        <v>21.9375</v>
      </c>
    </row>
    <row r="430" spans="1:2" x14ac:dyDescent="0.25">
      <c r="A430" s="2">
        <v>46216</v>
      </c>
      <c r="B430" s="3">
        <v>22.4375</v>
      </c>
    </row>
    <row r="431" spans="1:2" x14ac:dyDescent="0.25">
      <c r="A431" s="2">
        <v>46217</v>
      </c>
      <c r="B431" s="3">
        <v>22.625</v>
      </c>
    </row>
    <row r="432" spans="1:2" x14ac:dyDescent="0.25">
      <c r="A432" s="2">
        <v>46218</v>
      </c>
      <c r="B432" s="3">
        <v>22.625</v>
      </c>
    </row>
    <row r="433" spans="1:2" x14ac:dyDescent="0.25">
      <c r="A433" s="2">
        <v>46219</v>
      </c>
      <c r="B433" s="3">
        <v>22.625</v>
      </c>
    </row>
    <row r="434" spans="1:2" x14ac:dyDescent="0.25">
      <c r="A434" s="2">
        <v>46220</v>
      </c>
      <c r="B434" s="3">
        <v>22.875</v>
      </c>
    </row>
    <row r="435" spans="1:2" x14ac:dyDescent="0.25">
      <c r="A435" s="2">
        <v>46223</v>
      </c>
      <c r="B435" s="3">
        <v>22.6875</v>
      </c>
    </row>
    <row r="436" spans="1:2" x14ac:dyDescent="0.25">
      <c r="A436" s="2">
        <v>46224</v>
      </c>
      <c r="B436" s="3">
        <v>22.9375</v>
      </c>
    </row>
    <row r="437" spans="1:2" x14ac:dyDescent="0.25">
      <c r="A437" s="2">
        <v>46225</v>
      </c>
      <c r="B437" s="3">
        <v>22.9375</v>
      </c>
    </row>
    <row r="438" spans="1:2" x14ac:dyDescent="0.25">
      <c r="A438" s="2">
        <v>46226</v>
      </c>
      <c r="B438" s="3">
        <v>22.9375</v>
      </c>
    </row>
    <row r="439" spans="1:2" x14ac:dyDescent="0.25">
      <c r="A439" s="2">
        <v>46227</v>
      </c>
      <c r="B439" s="3">
        <v>22.6875</v>
      </c>
    </row>
    <row r="440" spans="1:2" x14ac:dyDescent="0.25">
      <c r="A440" s="2">
        <v>46230</v>
      </c>
      <c r="B440" s="3">
        <v>22.8125</v>
      </c>
    </row>
    <row r="441" spans="1:2" x14ac:dyDescent="0.25">
      <c r="A441" s="2">
        <v>46231</v>
      </c>
      <c r="B441" s="3">
        <v>22.875</v>
      </c>
    </row>
    <row r="442" spans="1:2" x14ac:dyDescent="0.25">
      <c r="A442" s="2">
        <v>46232</v>
      </c>
      <c r="B442" s="3">
        <v>22.375</v>
      </c>
    </row>
    <row r="443" spans="1:2" x14ac:dyDescent="0.25">
      <c r="A443" s="2">
        <v>46233</v>
      </c>
      <c r="B443" s="3">
        <v>22.875</v>
      </c>
    </row>
    <row r="444" spans="1:2" x14ac:dyDescent="0.25">
      <c r="A444" s="2">
        <v>46234</v>
      </c>
      <c r="B444" s="3">
        <v>23.3125</v>
      </c>
    </row>
    <row r="445" spans="1:2" x14ac:dyDescent="0.25">
      <c r="A445" s="2">
        <v>46237</v>
      </c>
      <c r="B445" s="3">
        <v>22.9375</v>
      </c>
    </row>
    <row r="446" spans="1:2" x14ac:dyDescent="0.25">
      <c r="A446" s="2">
        <v>46238</v>
      </c>
      <c r="B446" s="3">
        <v>23.125</v>
      </c>
    </row>
    <row r="447" spans="1:2" x14ac:dyDescent="0.25">
      <c r="A447" s="2">
        <v>46239</v>
      </c>
      <c r="B447" s="3">
        <v>22.875</v>
      </c>
    </row>
    <row r="448" spans="1:2" x14ac:dyDescent="0.25">
      <c r="A448" s="2">
        <v>46240</v>
      </c>
      <c r="B448" s="3">
        <v>23.25</v>
      </c>
    </row>
    <row r="449" spans="1:2" x14ac:dyDescent="0.25">
      <c r="A449" s="2">
        <v>46241</v>
      </c>
      <c r="B449" s="3">
        <v>23.375</v>
      </c>
    </row>
    <row r="450" spans="1:2" x14ac:dyDescent="0.25">
      <c r="A450" s="2">
        <v>46244</v>
      </c>
      <c r="B450" s="3">
        <v>23.3125</v>
      </c>
    </row>
    <row r="451" spans="1:2" x14ac:dyDescent="0.25">
      <c r="A451" s="2">
        <v>46245</v>
      </c>
      <c r="B451" s="3">
        <v>23.875</v>
      </c>
    </row>
    <row r="452" spans="1:2" x14ac:dyDescent="0.25">
      <c r="A452" s="2">
        <v>46246</v>
      </c>
      <c r="B452" s="3">
        <v>23.1875</v>
      </c>
    </row>
    <row r="453" spans="1:2" x14ac:dyDescent="0.25">
      <c r="A453" s="2">
        <v>46247</v>
      </c>
      <c r="B453" s="3">
        <v>24.1875</v>
      </c>
    </row>
    <row r="454" spans="1:2" x14ac:dyDescent="0.25">
      <c r="A454" s="2">
        <v>46248</v>
      </c>
      <c r="B454" s="3">
        <v>24.5625</v>
      </c>
    </row>
    <row r="455" spans="1:2" x14ac:dyDescent="0.25">
      <c r="A455" s="2">
        <v>46252</v>
      </c>
      <c r="B455" s="3">
        <v>24.5</v>
      </c>
    </row>
    <row r="456" spans="1:2" x14ac:dyDescent="0.25">
      <c r="A456" s="2">
        <v>46253</v>
      </c>
      <c r="B456" s="3">
        <v>25.1875</v>
      </c>
    </row>
    <row r="457" spans="1:2" x14ac:dyDescent="0.25">
      <c r="A457" s="2">
        <v>46254</v>
      </c>
      <c r="B457" s="3">
        <v>26.5</v>
      </c>
    </row>
    <row r="458" spans="1:2" x14ac:dyDescent="0.25">
      <c r="A458" s="2">
        <v>46255</v>
      </c>
      <c r="B458" s="3">
        <v>25.3125</v>
      </c>
    </row>
    <row r="459" spans="1:2" x14ac:dyDescent="0.25">
      <c r="A459" s="2">
        <v>46258</v>
      </c>
      <c r="B459" s="3">
        <v>25.0625</v>
      </c>
    </row>
    <row r="460" spans="1:2" x14ac:dyDescent="0.25">
      <c r="A460" s="2">
        <v>46259</v>
      </c>
      <c r="B460" s="3">
        <v>25.25</v>
      </c>
    </row>
    <row r="461" spans="1:2" x14ac:dyDescent="0.25">
      <c r="A461" s="2">
        <v>46260</v>
      </c>
      <c r="B461" s="3">
        <v>25.125</v>
      </c>
    </row>
    <row r="462" spans="1:2" x14ac:dyDescent="0.25">
      <c r="A462" s="2">
        <v>46261</v>
      </c>
      <c r="B462" s="3">
        <v>25.1875</v>
      </c>
    </row>
    <row r="463" spans="1:2" x14ac:dyDescent="0.25">
      <c r="A463" s="2">
        <v>46262</v>
      </c>
      <c r="B463" s="3">
        <v>24.625</v>
      </c>
    </row>
    <row r="464" spans="1:2" x14ac:dyDescent="0.25">
      <c r="A464" s="2">
        <v>46265</v>
      </c>
      <c r="B464" s="3">
        <v>24.6875</v>
      </c>
    </row>
    <row r="465" spans="1:2" x14ac:dyDescent="0.25">
      <c r="A465" s="2">
        <v>46266</v>
      </c>
      <c r="B465" s="3">
        <v>23.8125</v>
      </c>
    </row>
    <row r="466" spans="1:2" x14ac:dyDescent="0.25">
      <c r="A466" s="2">
        <v>46267</v>
      </c>
      <c r="B466" s="3">
        <v>24.5</v>
      </c>
    </row>
    <row r="467" spans="1:2" x14ac:dyDescent="0.25">
      <c r="A467" s="2">
        <v>46268</v>
      </c>
      <c r="B467" s="3">
        <v>24.25</v>
      </c>
    </row>
    <row r="468" spans="1:2" x14ac:dyDescent="0.25">
      <c r="A468" s="2">
        <v>46269</v>
      </c>
      <c r="B468" s="3">
        <v>24.0625</v>
      </c>
    </row>
    <row r="469" spans="1:2" x14ac:dyDescent="0.25">
      <c r="A469" s="2">
        <v>46272</v>
      </c>
      <c r="B469" s="3">
        <v>24.1875</v>
      </c>
    </row>
    <row r="470" spans="1:2" x14ac:dyDescent="0.25">
      <c r="A470" s="2">
        <v>46273</v>
      </c>
      <c r="B470" s="3">
        <v>24</v>
      </c>
    </row>
    <row r="471" spans="1:2" x14ac:dyDescent="0.25">
      <c r="A471" s="2">
        <v>46274</v>
      </c>
      <c r="B471" s="3">
        <v>23.5625</v>
      </c>
    </row>
    <row r="472" spans="1:2" x14ac:dyDescent="0.25">
      <c r="A472" s="2">
        <v>46275</v>
      </c>
      <c r="B472" s="3">
        <v>23.8125</v>
      </c>
    </row>
    <row r="473" spans="1:2" x14ac:dyDescent="0.25">
      <c r="A473" s="2">
        <v>46276</v>
      </c>
      <c r="B473" s="3">
        <v>23.4375</v>
      </c>
    </row>
    <row r="474" spans="1:2" x14ac:dyDescent="0.25">
      <c r="A474" s="2">
        <v>46279</v>
      </c>
      <c r="B474" s="3">
        <v>23.625</v>
      </c>
    </row>
    <row r="475" spans="1:2" x14ac:dyDescent="0.25">
      <c r="A475" s="2">
        <v>46280</v>
      </c>
      <c r="B475" s="3">
        <v>23.625</v>
      </c>
    </row>
    <row r="476" spans="1:2" x14ac:dyDescent="0.25">
      <c r="A476" s="2">
        <v>46281</v>
      </c>
      <c r="B476" s="3">
        <v>23.625</v>
      </c>
    </row>
    <row r="477" spans="1:2" x14ac:dyDescent="0.25">
      <c r="A477" s="2">
        <v>46282</v>
      </c>
      <c r="B477" s="3">
        <v>23.5625</v>
      </c>
    </row>
    <row r="478" spans="1:2" x14ac:dyDescent="0.25">
      <c r="A478" s="2">
        <v>46283</v>
      </c>
      <c r="B478" s="3">
        <v>23.25</v>
      </c>
    </row>
    <row r="479" spans="1:2" x14ac:dyDescent="0.25">
      <c r="A479" s="2">
        <v>46286</v>
      </c>
      <c r="B479" s="3">
        <v>23.5</v>
      </c>
    </row>
    <row r="480" spans="1:2" x14ac:dyDescent="0.25">
      <c r="A480" s="2">
        <v>46287</v>
      </c>
      <c r="B480" s="3">
        <v>23.625</v>
      </c>
    </row>
    <row r="481" spans="1:2" x14ac:dyDescent="0.25">
      <c r="A481" s="2">
        <v>46288</v>
      </c>
      <c r="B481" s="3">
        <v>23.6875</v>
      </c>
    </row>
    <row r="482" spans="1:2" x14ac:dyDescent="0.25">
      <c r="A482" s="2">
        <v>46289</v>
      </c>
      <c r="B482" s="3">
        <v>23.75</v>
      </c>
    </row>
    <row r="483" spans="1:2" x14ac:dyDescent="0.25">
      <c r="A483" s="2">
        <v>46290</v>
      </c>
      <c r="B483" s="3">
        <v>23.625</v>
      </c>
    </row>
    <row r="484" spans="1:2" x14ac:dyDescent="0.25">
      <c r="A484" s="2">
        <v>46293</v>
      </c>
      <c r="B484" s="3">
        <v>23.4375</v>
      </c>
    </row>
    <row r="485" spans="1:2" x14ac:dyDescent="0.25">
      <c r="A485" s="2">
        <v>46294</v>
      </c>
      <c r="B485" s="3">
        <v>24.3125</v>
      </c>
    </row>
    <row r="486" spans="1:2" x14ac:dyDescent="0.25">
      <c r="A486" s="2">
        <v>46295</v>
      </c>
      <c r="B486" s="3">
        <v>24.125</v>
      </c>
    </row>
    <row r="487" spans="1:2" x14ac:dyDescent="0.25">
      <c r="A487" s="2">
        <f>+WORKDAY(A486,1,Feriados!$A$2:$A$38)</f>
        <v>46296</v>
      </c>
      <c r="B487" s="3">
        <f>+IFERROR(VLOOKUP(A487,[1]Variables!$M:$N,2,0),0)</f>
        <v>24.4375</v>
      </c>
    </row>
    <row r="488" spans="1:2" x14ac:dyDescent="0.25">
      <c r="A488" s="2">
        <f>+WORKDAY(A487,1,Feriados!$A$2:$A$38)</f>
        <v>46297</v>
      </c>
      <c r="B488" s="11">
        <v>24.56</v>
      </c>
    </row>
    <row r="489" spans="1:2" x14ac:dyDescent="0.25">
      <c r="A489" s="2">
        <f>+WORKDAY(A488,1,Feriados!$A$2:$A$38)</f>
        <v>46300</v>
      </c>
    </row>
    <row r="490" spans="1:2" x14ac:dyDescent="0.25">
      <c r="A490" s="2">
        <f>+WORKDAY(A489,1,Feriados!$A$2:$A$38)</f>
        <v>46301</v>
      </c>
    </row>
    <row r="491" spans="1:2" x14ac:dyDescent="0.25">
      <c r="A491" s="2">
        <f>+WORKDAY(A490,1,Feriados!$A$2:$A$38)</f>
        <v>46302</v>
      </c>
    </row>
    <row r="492" spans="1:2" x14ac:dyDescent="0.25">
      <c r="A492" s="2">
        <f>+WORKDAY(A491,1,Feriados!$A$2:$A$38)</f>
        <v>46303</v>
      </c>
    </row>
    <row r="493" spans="1:2" x14ac:dyDescent="0.25">
      <c r="A493" s="2">
        <f>+WORKDAY(A492,1,Feriados!$A$2:$A$38)</f>
        <v>46304</v>
      </c>
    </row>
    <row r="494" spans="1:2" x14ac:dyDescent="0.25">
      <c r="A494" s="2">
        <f>+WORKDAY(A493,1,Feriados!$A$2:$A$38)</f>
        <v>46308</v>
      </c>
    </row>
    <row r="495" spans="1:2" x14ac:dyDescent="0.25">
      <c r="A495" s="2">
        <f>+WORKDAY(A494,1,Feriados!$A$2:$A$38)</f>
        <v>46309</v>
      </c>
    </row>
    <row r="496" spans="1:2" x14ac:dyDescent="0.25">
      <c r="A496" s="2">
        <f>+WORKDAY(A495,1,Feriados!$A$2:$A$38)</f>
        <v>46310</v>
      </c>
    </row>
    <row r="497" spans="1:1" x14ac:dyDescent="0.25">
      <c r="A497" s="2">
        <f>+WORKDAY(A496,1,Feriados!$A$2:$A$38)</f>
        <v>46311</v>
      </c>
    </row>
    <row r="498" spans="1:1" x14ac:dyDescent="0.25">
      <c r="A498" s="2">
        <f>+WORKDAY(A497,1,Feriados!$A$2:$A$38)</f>
        <v>46314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opLeftCell="A561" workbookViewId="0">
      <selection activeCell="H582" sqref="H582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+IFERROR(VLOOKUP(A425,[1]Variables!$P:$Q,2,0),B424)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+IFERROR(VLOOKUP(A426,[1]Variables!$P:$Q,2,0),B425)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+IFERROR(VLOOKUP(A427,[1]Variables!$P:$Q,2,0),B426)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+IFERROR(VLOOKUP(A428,[1]Variables!$P:$Q,2,0),B427)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+IFERROR(VLOOKUP(A429,[1]Variables!$P:$Q,2,0),B428)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+IFERROR(VLOOKUP(A430,[1]Variables!$P:$Q,2,0),B429)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+IFERROR(VLOOKUP(A431,[1]Variables!$P:$Q,2,0),B430)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+IFERROR(VLOOKUP(A432,[1]Variables!$P:$Q,2,0),B431)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+IFERROR(VLOOKUP(A433,[1]Variables!$P:$Q,2,0),B432)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+IFERROR(VLOOKUP(A434,[1]Variables!$P:$Q,2,0),B433)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+IFERROR(VLOOKUP(A435,[1]Variables!$P:$Q,2,0),B434)</f>
        <v>854.45861540882004</v>
      </c>
    </row>
    <row r="436" spans="1:3" x14ac:dyDescent="0.25">
      <c r="A436" s="2">
        <f>+WORKDAY(A435,1,Feriados!$A$2:$A$38)</f>
        <v>46314</v>
      </c>
      <c r="B436" s="3">
        <f>+IFERROR(VLOOKUP(A436,[1]Variables!$P:$Q,2,0),B435)</f>
        <v>854.45861540882004</v>
      </c>
    </row>
    <row r="437" spans="1:3" x14ac:dyDescent="0.25">
      <c r="A437" s="2">
        <f>+WORKDAY(A436,1,Feriados!$A$2:$A$38)</f>
        <v>46315</v>
      </c>
      <c r="B437" s="3">
        <f>+IFERROR(VLOOKUP(A437,[1]Variables!$P:$Q,2,0),B436)</f>
        <v>854.45861540882004</v>
      </c>
    </row>
    <row r="438" spans="1:3" x14ac:dyDescent="0.25">
      <c r="A438" s="2">
        <f>+WORKDAY(A437,1,Feriados!$A$2:$A$38)</f>
        <v>46316</v>
      </c>
      <c r="B438" s="3">
        <f>+IFERROR(VLOOKUP(A438,[1]Variables!$P:$Q,2,0),B437)</f>
        <v>854.45861540882004</v>
      </c>
    </row>
    <row r="439" spans="1:3" x14ac:dyDescent="0.25">
      <c r="A439" s="2">
        <f>+WORKDAY(A438,1,Feriados!$A$2:$A$38)</f>
        <v>46317</v>
      </c>
      <c r="B439" s="3">
        <f>+IFERROR(VLOOKUP(A439,[1]Variables!$P:$Q,2,0),B438)</f>
        <v>854.45861540882004</v>
      </c>
    </row>
    <row r="440" spans="1:3" x14ac:dyDescent="0.25">
      <c r="A440" s="2">
        <f>+WORKDAY(A439,1,Feriados!$A$2:$A$38)</f>
        <v>46318</v>
      </c>
      <c r="B440" s="3">
        <f>+IFERROR(VLOOKUP(A440,[1]Variables!$P:$Q,2,0),B439)</f>
        <v>854.45861540882004</v>
      </c>
    </row>
    <row r="441" spans="1:3" x14ac:dyDescent="0.25">
      <c r="A441" s="2">
        <f>+WORKDAY(A440,1,Feriados!$A$2:$A$38)</f>
        <v>46321</v>
      </c>
      <c r="B441" s="3">
        <f>+IFERROR(VLOOKUP(A441,[1]Variables!$P:$Q,2,0),B440)</f>
        <v>854.45861540882004</v>
      </c>
    </row>
    <row r="442" spans="1:3" x14ac:dyDescent="0.25">
      <c r="A442" s="2">
        <f>+WORKDAY(A441,1,Feriados!$A$2:$A$38)</f>
        <v>46322</v>
      </c>
      <c r="B442" s="3">
        <f>+IFERROR(VLOOKUP(A442,[1]Variables!$P:$Q,2,0),B441)</f>
        <v>854.45861540882004</v>
      </c>
    </row>
    <row r="443" spans="1:3" x14ac:dyDescent="0.25">
      <c r="A443" s="2">
        <f>+WORKDAY(A442,1,Feriados!$A$2:$A$38)</f>
        <v>46323</v>
      </c>
      <c r="B443" s="3">
        <f>+IFERROR(VLOOKUP(A443,[1]Variables!$P:$Q,2,0),B442)</f>
        <v>854.45861540882004</v>
      </c>
    </row>
    <row r="444" spans="1:3" x14ac:dyDescent="0.25">
      <c r="A444" s="2">
        <f>+WORKDAY(A443,1,Feriados!$A$2:$A$38)</f>
        <v>46324</v>
      </c>
      <c r="B444" s="3">
        <f>+IFERROR(VLOOKUP(A444,[1]Variables!$P:$Q,2,0),B443)</f>
        <v>854.45861540882004</v>
      </c>
    </row>
    <row r="445" spans="1:3" x14ac:dyDescent="0.25">
      <c r="A445" s="2">
        <f>+WORKDAY(A444,1,Feriados!$A$2:$A$38)</f>
        <v>46325</v>
      </c>
      <c r="B445" s="3">
        <f>+IFERROR(VLOOKUP(A445,[1]Variables!$P:$Q,2,0),B444)</f>
        <v>854.45861540882004</v>
      </c>
    </row>
    <row r="446" spans="1:3" x14ac:dyDescent="0.25">
      <c r="A446" s="2">
        <f>+WORKDAY(A445,1,Feriados!$A$2:$A$38)</f>
        <v>46328</v>
      </c>
      <c r="B446" s="3">
        <f>+IFERROR(VLOOKUP(A446,[1]Variables!$P:$Q,2,0),B445)</f>
        <v>854.45861540882004</v>
      </c>
    </row>
    <row r="447" spans="1:3" x14ac:dyDescent="0.25">
      <c r="A447" s="2">
        <f>+WORKDAY(A446,1,Feriados!$A$2:$A$38)</f>
        <v>46329</v>
      </c>
      <c r="B447" s="3">
        <f>+IFERROR(VLOOKUP(A447,[1]Variables!$P:$Q,2,0),B446)</f>
        <v>854.45861540882004</v>
      </c>
    </row>
    <row r="448" spans="1:3" x14ac:dyDescent="0.25">
      <c r="A448" s="2">
        <f>+WORKDAY(A447,1,Feriados!$A$2:$A$38)</f>
        <v>46330</v>
      </c>
      <c r="B448" s="3">
        <f>+IFERROR(VLOOKUP(A448,[1]Variables!$P:$Q,2,0),B447)</f>
        <v>854.45861540882004</v>
      </c>
    </row>
    <row r="449" spans="1:2" x14ac:dyDescent="0.25">
      <c r="A449" s="2">
        <f>+WORKDAY(A448,1,Feriados!$A$2:$A$38)</f>
        <v>46331</v>
      </c>
      <c r="B449" s="3">
        <f>+IFERROR(VLOOKUP(A449,[1]Variables!$P:$Q,2,0),B448)</f>
        <v>854.45861540882004</v>
      </c>
    </row>
    <row r="450" spans="1:2" x14ac:dyDescent="0.25">
      <c r="A450" s="2">
        <f>+WORKDAY(A449,1,Feriados!$A$2:$A$38)</f>
        <v>46337</v>
      </c>
      <c r="B450" s="3">
        <f>+IFERROR(VLOOKUP(A450,[1]Variables!$P:$Q,2,0),B449)</f>
        <v>854.45861540882004</v>
      </c>
    </row>
    <row r="451" spans="1:2" x14ac:dyDescent="0.25">
      <c r="A451" s="2">
        <f>+WORKDAY(A450,1,Feriados!$A$2:$A$38)</f>
        <v>46338</v>
      </c>
      <c r="B451" s="3">
        <f>+IFERROR(VLOOKUP(A451,[1]Variables!$P:$Q,2,0),B450)</f>
        <v>854.45861540882004</v>
      </c>
    </row>
    <row r="452" spans="1:2" x14ac:dyDescent="0.25">
      <c r="A452" s="2">
        <f>+WORKDAY(A451,1,Feriados!$A$2:$A$38)</f>
        <v>46339</v>
      </c>
      <c r="B452" s="3">
        <f>+IFERROR(VLOOKUP(A452,[1]Variables!$P:$Q,2,0),B451)</f>
        <v>854.45861540882004</v>
      </c>
    </row>
    <row r="453" spans="1:2" x14ac:dyDescent="0.25">
      <c r="A453" s="2">
        <f>+WORKDAY(A452,1,Feriados!$A$2:$A$38)</f>
        <v>46342</v>
      </c>
      <c r="B453" s="3">
        <f>+IFERROR(VLOOKUP(A453,[1]Variables!$P:$Q,2,0),B452)</f>
        <v>854.45861540882004</v>
      </c>
    </row>
    <row r="454" spans="1:2" x14ac:dyDescent="0.25">
      <c r="A454" s="2">
        <f>+WORKDAY(A453,1,Feriados!$A$2:$A$38)</f>
        <v>46343</v>
      </c>
      <c r="B454" s="3">
        <f>+IFERROR(VLOOKUP(A454,[1]Variables!$P:$Q,2,0),B453)</f>
        <v>854.45861540882004</v>
      </c>
    </row>
    <row r="455" spans="1:2" x14ac:dyDescent="0.25">
      <c r="A455" s="2">
        <f>+WORKDAY(A454,1,Feriados!$A$2:$A$38)</f>
        <v>46344</v>
      </c>
      <c r="B455" s="3">
        <f>+IFERROR(VLOOKUP(A455,[1]Variables!$P:$Q,2,0),B454)</f>
        <v>854.45861540882004</v>
      </c>
    </row>
    <row r="456" spans="1:2" x14ac:dyDescent="0.25">
      <c r="A456" s="2">
        <f>+WORKDAY(A455,1,Feriados!$A$2:$A$38)</f>
        <v>46345</v>
      </c>
      <c r="B456" s="3">
        <f>+IFERROR(VLOOKUP(A456,[1]Variables!$P:$Q,2,0),B455)</f>
        <v>854.45861540882004</v>
      </c>
    </row>
    <row r="457" spans="1:2" x14ac:dyDescent="0.25">
      <c r="A457" s="2">
        <f>+WORKDAY(A456,1,Feriados!$A$2:$A$38)</f>
        <v>46346</v>
      </c>
      <c r="B457" s="3">
        <f>+IFERROR(VLOOKUP(A457,[1]Variables!$P:$Q,2,0),B456)</f>
        <v>854.45861540882004</v>
      </c>
    </row>
    <row r="458" spans="1:2" x14ac:dyDescent="0.25">
      <c r="A458" s="2">
        <f>+WORKDAY(A457,1,Feriados!$A$2:$A$38)</f>
        <v>46350</v>
      </c>
      <c r="B458" s="3">
        <f>+IFERROR(VLOOKUP(A458,[1]Variables!$P:$Q,2,0),B457)</f>
        <v>854.45861540882004</v>
      </c>
    </row>
    <row r="459" spans="1:2" x14ac:dyDescent="0.25">
      <c r="A459" s="2">
        <f>+WORKDAY(A458,1,Feriados!$A$2:$A$38)</f>
        <v>46351</v>
      </c>
      <c r="B459" s="3">
        <f>+IFERROR(VLOOKUP(A459,[1]Variables!$P:$Q,2,0),B458)</f>
        <v>854.45861540882004</v>
      </c>
    </row>
    <row r="460" spans="1:2" x14ac:dyDescent="0.25">
      <c r="A460" s="2">
        <f>+WORKDAY(A459,1,Feriados!$A$2:$A$38)</f>
        <v>46352</v>
      </c>
      <c r="B460" s="3">
        <f>+IFERROR(VLOOKUP(A460,[1]Variables!$P:$Q,2,0),B459)</f>
        <v>854.45861540882004</v>
      </c>
    </row>
    <row r="461" spans="1:2" x14ac:dyDescent="0.25">
      <c r="A461" s="2">
        <f>+WORKDAY(A460,1,Feriados!$A$2:$A$38)</f>
        <v>46353</v>
      </c>
      <c r="B461" s="3">
        <f>+IFERROR(VLOOKUP(A461,[1]Variables!$P:$Q,2,0),B460)</f>
        <v>854.45861540882004</v>
      </c>
    </row>
    <row r="462" spans="1:2" x14ac:dyDescent="0.25">
      <c r="A462" s="2">
        <f>+WORKDAY(A461,1,Feriados!$A$2:$A$38)</f>
        <v>46356</v>
      </c>
      <c r="B462" s="3">
        <f>+IFERROR(VLOOKUP(A462,[1]Variables!$P:$Q,2,0),B461)</f>
        <v>854.45861540882004</v>
      </c>
    </row>
    <row r="463" spans="1:2" x14ac:dyDescent="0.25">
      <c r="A463" s="2">
        <f>+WORKDAY(A462,1,Feriados!$A$2:$A$38)</f>
        <v>46357</v>
      </c>
      <c r="B463" s="3">
        <f>+IFERROR(VLOOKUP(A463,[1]Variables!$P:$Q,2,0),B462)</f>
        <v>854.45861540882004</v>
      </c>
    </row>
    <row r="464" spans="1:2" x14ac:dyDescent="0.25">
      <c r="A464" s="2">
        <f>+WORKDAY(A463,1,Feriados!$A$2:$A$38)</f>
        <v>46358</v>
      </c>
      <c r="B464" s="3">
        <f>+IFERROR(VLOOKUP(A464,[1]Variables!$P:$Q,2,0),B463)</f>
        <v>854.45861540882004</v>
      </c>
    </row>
    <row r="465" spans="1:2" x14ac:dyDescent="0.25">
      <c r="A465" s="2">
        <f>+WORKDAY(A464,1,Feriados!$A$2:$A$38)</f>
        <v>46359</v>
      </c>
      <c r="B465" s="3">
        <f>+IFERROR(VLOOKUP(A465,[1]Variables!$P:$Q,2,0),B464)</f>
        <v>854.45861540882004</v>
      </c>
    </row>
    <row r="466" spans="1:2" x14ac:dyDescent="0.25">
      <c r="A466" s="2">
        <f>+WORKDAY(A465,1,Feriados!$A$2:$A$38)</f>
        <v>46360</v>
      </c>
      <c r="B466" s="3">
        <f>+IFERROR(VLOOKUP(A466,[1]Variables!$P:$Q,2,0),B465)</f>
        <v>854.45861540882004</v>
      </c>
    </row>
    <row r="467" spans="1:2" x14ac:dyDescent="0.25">
      <c r="A467" s="2">
        <f>+WORKDAY(A466,1,Feriados!$A$2:$A$38)</f>
        <v>46365</v>
      </c>
      <c r="B467" s="3">
        <f>+IFERROR(VLOOKUP(A467,[1]Variables!$P:$Q,2,0),B466)</f>
        <v>854.45861540882004</v>
      </c>
    </row>
    <row r="468" spans="1:2" x14ac:dyDescent="0.25">
      <c r="A468" s="2">
        <f>+WORKDAY(A467,1,Feriados!$A$2:$A$38)</f>
        <v>46366</v>
      </c>
      <c r="B468" s="3">
        <f>+IFERROR(VLOOKUP(A468,[1]Variables!$P:$Q,2,0),B467)</f>
        <v>854.45861540882004</v>
      </c>
    </row>
    <row r="469" spans="1:2" x14ac:dyDescent="0.25">
      <c r="A469" s="2">
        <f>+WORKDAY(A468,1,Feriados!$A$2:$A$38)</f>
        <v>46367</v>
      </c>
      <c r="B469" s="3">
        <f>+IFERROR(VLOOKUP(A469,[1]Variables!$P:$Q,2,0),B468)</f>
        <v>854.45861540882004</v>
      </c>
    </row>
    <row r="470" spans="1:2" x14ac:dyDescent="0.25">
      <c r="A470" s="2">
        <f>+WORKDAY(A469,1,Feriados!$A$2:$A$38)</f>
        <v>46370</v>
      </c>
      <c r="B470" s="3">
        <f>+IFERROR(VLOOKUP(A470,[1]Variables!$P:$Q,2,0),B469)</f>
        <v>854.45861540882004</v>
      </c>
    </row>
    <row r="471" spans="1:2" x14ac:dyDescent="0.25">
      <c r="A471" s="2">
        <f>+WORKDAY(A470,1,Feriados!$A$2:$A$38)</f>
        <v>46371</v>
      </c>
      <c r="B471" s="3">
        <f>+IFERROR(VLOOKUP(A471,[1]Variables!$P:$Q,2,0),B470)</f>
        <v>854.45861540882004</v>
      </c>
    </row>
    <row r="472" spans="1:2" x14ac:dyDescent="0.25">
      <c r="A472" s="2">
        <f>+WORKDAY(A471,1,Feriados!$A$2:$A$38)</f>
        <v>46372</v>
      </c>
      <c r="B472" s="3">
        <f>+IFERROR(VLOOKUP(A472,[1]Variables!$P:$Q,2,0),B471)</f>
        <v>854.45861540882004</v>
      </c>
    </row>
    <row r="473" spans="1:2" x14ac:dyDescent="0.25">
      <c r="A473" s="2">
        <f>+WORKDAY(A472,1,Feriados!$A$2:$A$38)</f>
        <v>46373</v>
      </c>
      <c r="B473" s="3">
        <f>+IFERROR(VLOOKUP(A473,[1]Variables!$P:$Q,2,0),B472)</f>
        <v>854.45861540882004</v>
      </c>
    </row>
    <row r="474" spans="1:2" x14ac:dyDescent="0.25">
      <c r="A474" s="2">
        <f>+WORKDAY(A473,1,Feriados!$A$2:$A$38)</f>
        <v>46374</v>
      </c>
      <c r="B474" s="3">
        <f>+IFERROR(VLOOKUP(A474,[1]Variables!$P:$Q,2,0),B473)</f>
        <v>854.45861540882004</v>
      </c>
    </row>
    <row r="475" spans="1:2" x14ac:dyDescent="0.25">
      <c r="A475" s="2">
        <f>+WORKDAY(A474,1,Feriados!$A$2:$A$38)</f>
        <v>46377</v>
      </c>
      <c r="B475" s="3">
        <f>+IFERROR(VLOOKUP(A475,[1]Variables!$P:$Q,2,0),B474)</f>
        <v>854.45861540882004</v>
      </c>
    </row>
    <row r="476" spans="1:2" x14ac:dyDescent="0.25">
      <c r="A476" s="2">
        <f>+WORKDAY(A475,1,Feriados!$A$2:$A$38)</f>
        <v>46378</v>
      </c>
      <c r="B476" s="3">
        <f>+IFERROR(VLOOKUP(A476,[1]Variables!$P:$Q,2,0),B475)</f>
        <v>854.45861540882004</v>
      </c>
    </row>
    <row r="477" spans="1:2" x14ac:dyDescent="0.25">
      <c r="A477" s="2">
        <f>+WORKDAY(A476,1,Feriados!$A$2:$A$38)</f>
        <v>46379</v>
      </c>
      <c r="B477" s="3">
        <f>+IFERROR(VLOOKUP(A477,[1]Variables!$P:$Q,2,0),B476)</f>
        <v>854.45861540882004</v>
      </c>
    </row>
    <row r="478" spans="1:2" x14ac:dyDescent="0.25">
      <c r="A478" s="2">
        <f>+WORKDAY(A477,1,Feriados!$A$2:$A$38)</f>
        <v>46380</v>
      </c>
      <c r="B478" s="3">
        <f>+IFERROR(VLOOKUP(A478,[1]Variables!$P:$Q,2,0),B477)</f>
        <v>854.45861540882004</v>
      </c>
    </row>
    <row r="479" spans="1:2" x14ac:dyDescent="0.25">
      <c r="A479" s="2">
        <f>+WORKDAY(A478,1,Feriados!$A$2:$A$38)</f>
        <v>46384</v>
      </c>
      <c r="B479" s="3">
        <f>+IFERROR(VLOOKUP(A479,[1]Variables!$P:$Q,2,0),B478)</f>
        <v>854.45861540882004</v>
      </c>
    </row>
    <row r="480" spans="1:2" x14ac:dyDescent="0.25">
      <c r="A480" s="2">
        <f>+WORKDAY(A479,1,Feriados!$A$2:$A$38)</f>
        <v>46385</v>
      </c>
      <c r="B480" s="3">
        <f>+IFERROR(VLOOKUP(A480,[1]Variables!$P:$Q,2,0),B479)</f>
        <v>854.45861540882004</v>
      </c>
    </row>
    <row r="481" spans="1:2" x14ac:dyDescent="0.25">
      <c r="A481" s="2">
        <f>+WORKDAY(A480,1,Feriados!$A$2:$A$38)</f>
        <v>46386</v>
      </c>
      <c r="B481" s="3">
        <f>+IFERROR(VLOOKUP(A481,[1]Variables!$P:$Q,2,0),B480)</f>
        <v>854.45861540882004</v>
      </c>
    </row>
    <row r="482" spans="1:2" x14ac:dyDescent="0.25">
      <c r="A482" s="2">
        <f>+WORKDAY(A481,1,Feriados!$A$2:$A$38)</f>
        <v>46387</v>
      </c>
      <c r="B482" s="3">
        <f>+IFERROR(VLOOKUP(A482,[1]Variables!$P:$Q,2,0),B481)</f>
        <v>854.45861540882004</v>
      </c>
    </row>
    <row r="483" spans="1:2" x14ac:dyDescent="0.25">
      <c r="A483" s="2">
        <f>+WORKDAY(A482,1,Feriados!$A$2:$A$38)</f>
        <v>46388</v>
      </c>
      <c r="B483" s="3">
        <f>+IFERROR(VLOOKUP(A483,[1]Variables!$P:$Q,2,0),B482)</f>
        <v>854.45861540882004</v>
      </c>
    </row>
    <row r="484" spans="1:2" x14ac:dyDescent="0.25">
      <c r="A484" s="2">
        <f>+WORKDAY(A483,1,Feriados!$A$2:$A$38)</f>
        <v>46391</v>
      </c>
      <c r="B484" s="3">
        <f>+IFERROR(VLOOKUP(A484,[1]Variables!$P:$Q,2,0),B483)</f>
        <v>854.45861540882004</v>
      </c>
    </row>
    <row r="485" spans="1:2" x14ac:dyDescent="0.25">
      <c r="A485" s="2">
        <f>+WORKDAY(A484,1,Feriados!$A$2:$A$38)</f>
        <v>46392</v>
      </c>
      <c r="B485" s="3">
        <f>+IFERROR(VLOOKUP(A485,[1]Variables!$P:$Q,2,0),B484)</f>
        <v>854.45861540882004</v>
      </c>
    </row>
    <row r="486" spans="1:2" x14ac:dyDescent="0.25">
      <c r="A486" s="2">
        <f>+WORKDAY(A485,1,Feriados!$A$2:$A$38)</f>
        <v>46393</v>
      </c>
      <c r="B486" s="3">
        <f>+IFERROR(VLOOKUP(A486,[1]Variables!$P:$Q,2,0),B485)</f>
        <v>854.45861540882004</v>
      </c>
    </row>
    <row r="487" spans="1:2" x14ac:dyDescent="0.25">
      <c r="A487" s="2">
        <f>+WORKDAY(A486,1,Feriados!$A$2:$A$38)</f>
        <v>46394</v>
      </c>
      <c r="B487" s="3">
        <f>+IFERROR(VLOOKUP(A487,[1]Variables!$P:$Q,2,0),B486)</f>
        <v>854.45861540882004</v>
      </c>
    </row>
    <row r="488" spans="1:2" x14ac:dyDescent="0.25">
      <c r="A488" s="2">
        <f>+WORKDAY(A487,1,Feriados!$A$2:$A$38)</f>
        <v>46395</v>
      </c>
      <c r="B488" s="3">
        <f>+IFERROR(VLOOKUP(A488,[1]Variables!$P:$Q,2,0),B487)</f>
        <v>854.45861540882004</v>
      </c>
    </row>
    <row r="489" spans="1:2" x14ac:dyDescent="0.25">
      <c r="A489" s="2">
        <f>+WORKDAY(A488,1,Feriados!$A$2:$A$38)</f>
        <v>46398</v>
      </c>
      <c r="B489" s="3">
        <f>+IFERROR(VLOOKUP(A489,[1]Variables!$P:$Q,2,0),B488)</f>
        <v>854.45861540882004</v>
      </c>
    </row>
    <row r="490" spans="1:2" x14ac:dyDescent="0.25">
      <c r="A490" s="2">
        <f>+WORKDAY(A489,1,Feriados!$A$2:$A$38)</f>
        <v>46399</v>
      </c>
      <c r="B490" s="3">
        <f>+IFERROR(VLOOKUP(A490,[1]Variables!$P:$Q,2,0),B489)</f>
        <v>854.45861540882004</v>
      </c>
    </row>
    <row r="491" spans="1:2" x14ac:dyDescent="0.25">
      <c r="A491" s="2">
        <f>+WORKDAY(A490,1,Feriados!$A$2:$A$38)</f>
        <v>46400</v>
      </c>
      <c r="B491" s="3">
        <f>+IFERROR(VLOOKUP(A491,[1]Variables!$P:$Q,2,0),B490)</f>
        <v>854.45861540882004</v>
      </c>
    </row>
    <row r="492" spans="1:2" x14ac:dyDescent="0.25">
      <c r="A492" s="2">
        <f>+WORKDAY(A491,1,Feriados!$A$2:$A$38)</f>
        <v>46401</v>
      </c>
      <c r="B492" s="3">
        <f>+IFERROR(VLOOKUP(A492,[1]Variables!$P:$Q,2,0),B491)</f>
        <v>854.45861540882004</v>
      </c>
    </row>
    <row r="493" spans="1:2" x14ac:dyDescent="0.25">
      <c r="A493" s="2">
        <f>+WORKDAY(A492,1,Feriados!$A$2:$A$38)</f>
        <v>46402</v>
      </c>
      <c r="B493" s="3">
        <f>+IFERROR(VLOOKUP(A493,[1]Variables!$P:$Q,2,0),B492)</f>
        <v>854.45861540882004</v>
      </c>
    </row>
    <row r="494" spans="1:2" x14ac:dyDescent="0.25">
      <c r="A494" s="2">
        <f>+WORKDAY(A493,1,Feriados!$A$2:$A$38)</f>
        <v>46405</v>
      </c>
      <c r="B494" s="3">
        <f>+IFERROR(VLOOKUP(A494,[1]Variables!$P:$Q,2,0),B493)</f>
        <v>854.45861540882004</v>
      </c>
    </row>
    <row r="495" spans="1:2" x14ac:dyDescent="0.25">
      <c r="A495" s="2">
        <f>+WORKDAY(A494,1,Feriados!$A$2:$A$38)</f>
        <v>46406</v>
      </c>
      <c r="B495" s="3">
        <f>+IFERROR(VLOOKUP(A495,[1]Variables!$P:$Q,2,0),B494)</f>
        <v>854.45861540882004</v>
      </c>
    </row>
    <row r="496" spans="1:2" x14ac:dyDescent="0.25">
      <c r="A496" s="2">
        <f>+WORKDAY(A495,1,Feriados!$A$2:$A$38)</f>
        <v>46407</v>
      </c>
      <c r="B496" s="3">
        <f>+IFERROR(VLOOKUP(A496,[1]Variables!$P:$Q,2,0),B495)</f>
        <v>854.45861540882004</v>
      </c>
    </row>
    <row r="497" spans="1:2" x14ac:dyDescent="0.25">
      <c r="A497" s="2">
        <f>+WORKDAY(A496,1,Feriados!$A$2:$A$38)</f>
        <v>46408</v>
      </c>
      <c r="B497" s="3">
        <f>+IFERROR(VLOOKUP(A497,[1]Variables!$P:$Q,2,0),B496)</f>
        <v>854.45861540882004</v>
      </c>
    </row>
    <row r="498" spans="1:2" x14ac:dyDescent="0.25">
      <c r="A498" s="2">
        <f>+WORKDAY(A497,1,Feriados!$A$2:$A$38)</f>
        <v>46409</v>
      </c>
      <c r="B498" s="3">
        <f>+IFERROR(VLOOKUP(A498,[1]Variables!$P:$Q,2,0),B497)</f>
        <v>854.45861540882004</v>
      </c>
    </row>
    <row r="499" spans="1:2" x14ac:dyDescent="0.25">
      <c r="A499" s="2">
        <f>+WORKDAY(A498,1,Feriados!$A$2:$A$38)</f>
        <v>46412</v>
      </c>
      <c r="B499" s="3">
        <f>+IFERROR(VLOOKUP(A499,[1]Variables!$P:$Q,2,0),B498)</f>
        <v>854.45861540882004</v>
      </c>
    </row>
    <row r="500" spans="1:2" x14ac:dyDescent="0.25">
      <c r="A500" s="2">
        <f>+WORKDAY(A499,1,Feriados!$A$2:$A$38)</f>
        <v>46413</v>
      </c>
      <c r="B500" s="3">
        <f>+IFERROR(VLOOKUP(A500,[1]Variables!$P:$Q,2,0),B499)</f>
        <v>854.45861540882004</v>
      </c>
    </row>
    <row r="501" spans="1:2" x14ac:dyDescent="0.25">
      <c r="A501" s="2">
        <f>+WORKDAY(A500,1,Feriados!$A$2:$A$38)</f>
        <v>46414</v>
      </c>
      <c r="B501" s="3">
        <f>+IFERROR(VLOOKUP(A501,[1]Variables!$P:$Q,2,0),B500)</f>
        <v>854.45861540882004</v>
      </c>
    </row>
    <row r="502" spans="1:2" x14ac:dyDescent="0.25">
      <c r="A502" s="2">
        <f>+WORKDAY(A501,1,Feriados!$A$2:$A$38)</f>
        <v>46415</v>
      </c>
      <c r="B502" s="3">
        <f>+IFERROR(VLOOKUP(A502,[1]Variables!$P:$Q,2,0),B501)</f>
        <v>854.45861540882004</v>
      </c>
    </row>
    <row r="503" spans="1:2" x14ac:dyDescent="0.25">
      <c r="A503" s="2">
        <f>+WORKDAY(A502,1,Feriados!$A$2:$A$38)</f>
        <v>46416</v>
      </c>
      <c r="B503" s="3">
        <f>+IFERROR(VLOOKUP(A503,[1]Variables!$P:$Q,2,0),B502)</f>
        <v>854.45861540882004</v>
      </c>
    </row>
    <row r="504" spans="1:2" x14ac:dyDescent="0.25">
      <c r="A504" s="2">
        <f>+WORKDAY(A503,1,Feriados!$A$2:$A$38)</f>
        <v>46419</v>
      </c>
      <c r="B504" s="3">
        <f>+IFERROR(VLOOKUP(A504,[1]Variables!$P:$Q,2,0),B503)</f>
        <v>854.45861540882004</v>
      </c>
    </row>
    <row r="505" spans="1:2" x14ac:dyDescent="0.25">
      <c r="A505" s="2">
        <f>+WORKDAY(A504,1,Feriados!$A$2:$A$38)</f>
        <v>46420</v>
      </c>
      <c r="B505" s="3">
        <f>+IFERROR(VLOOKUP(A505,[1]Variables!$P:$Q,2,0),B504)</f>
        <v>854.45861540882004</v>
      </c>
    </row>
    <row r="506" spans="1:2" x14ac:dyDescent="0.25">
      <c r="A506" s="2">
        <f>+WORKDAY(A505,1,Feriados!$A$2:$A$38)</f>
        <v>46421</v>
      </c>
      <c r="B506" s="3">
        <f>+IFERROR(VLOOKUP(A506,[1]Variables!$P:$Q,2,0),B505)</f>
        <v>854.45861540882004</v>
      </c>
    </row>
    <row r="507" spans="1:2" x14ac:dyDescent="0.25">
      <c r="A507" s="2">
        <f>+WORKDAY(A506,1,Feriados!$A$2:$A$38)</f>
        <v>46422</v>
      </c>
      <c r="B507" s="3">
        <f>+IFERROR(VLOOKUP(A507,[1]Variables!$P:$Q,2,0),B506)</f>
        <v>854.45861540882004</v>
      </c>
    </row>
    <row r="508" spans="1:2" x14ac:dyDescent="0.25">
      <c r="A508" s="2">
        <f>+WORKDAY(A507,1,Feriados!$A$2:$A$38)</f>
        <v>46423</v>
      </c>
      <c r="B508" s="3">
        <f>+IFERROR(VLOOKUP(A508,[1]Variables!$P:$Q,2,0),B507)</f>
        <v>854.45861540882004</v>
      </c>
    </row>
    <row r="509" spans="1:2" x14ac:dyDescent="0.25">
      <c r="A509" s="2">
        <f>+WORKDAY(A508,1,Feriados!$A$2:$A$38)</f>
        <v>46426</v>
      </c>
      <c r="B509" s="3">
        <f>+IFERROR(VLOOKUP(A509,[1]Variables!$P:$Q,2,0),B508)</f>
        <v>854.45861540882004</v>
      </c>
    </row>
    <row r="510" spans="1:2" x14ac:dyDescent="0.25">
      <c r="A510" s="2">
        <f>+WORKDAY(A509,1,Feriados!$A$2:$A$38)</f>
        <v>46427</v>
      </c>
      <c r="B510" s="3">
        <f>+IFERROR(VLOOKUP(A510,[1]Variables!$P:$Q,2,0),B509)</f>
        <v>854.45861540882004</v>
      </c>
    </row>
    <row r="511" spans="1:2" x14ac:dyDescent="0.25">
      <c r="A511" s="2">
        <f>+WORKDAY(A510,1,Feriados!$A$2:$A$38)</f>
        <v>46428</v>
      </c>
      <c r="B511" s="3">
        <f>+IFERROR(VLOOKUP(A511,[1]Variables!$P:$Q,2,0),B510)</f>
        <v>854.45861540882004</v>
      </c>
    </row>
    <row r="512" spans="1:2" x14ac:dyDescent="0.25">
      <c r="A512" s="2">
        <f>+WORKDAY(A511,1,Feriados!$A$2:$A$38)</f>
        <v>46429</v>
      </c>
      <c r="B512" s="3">
        <f>+IFERROR(VLOOKUP(A512,[1]Variables!$P:$Q,2,0),B511)</f>
        <v>854.45861540882004</v>
      </c>
    </row>
    <row r="513" spans="1:2" x14ac:dyDescent="0.25">
      <c r="A513" s="2">
        <f>+WORKDAY(A512,1,Feriados!$A$2:$A$38)</f>
        <v>46430</v>
      </c>
      <c r="B513" s="3">
        <f>+IFERROR(VLOOKUP(A513,[1]Variables!$P:$Q,2,0),B512)</f>
        <v>854.45861540882004</v>
      </c>
    </row>
    <row r="514" spans="1:2" x14ac:dyDescent="0.25">
      <c r="A514" s="2">
        <f>+WORKDAY(A513,1,Feriados!$A$2:$A$38)</f>
        <v>46433</v>
      </c>
      <c r="B514" s="3">
        <f>+IFERROR(VLOOKUP(A514,[1]Variables!$P:$Q,2,0),B513)</f>
        <v>854.45861540882004</v>
      </c>
    </row>
    <row r="515" spans="1:2" x14ac:dyDescent="0.25">
      <c r="A515" s="2">
        <f>+WORKDAY(A514,1,Feriados!$A$2:$A$38)</f>
        <v>46434</v>
      </c>
      <c r="B515" s="3">
        <f>+IFERROR(VLOOKUP(A515,[1]Variables!$P:$Q,2,0),B514)</f>
        <v>854.45861540882004</v>
      </c>
    </row>
    <row r="516" spans="1:2" x14ac:dyDescent="0.25">
      <c r="A516" s="2">
        <f>+WORKDAY(A515,1,Feriados!$A$2:$A$38)</f>
        <v>46435</v>
      </c>
      <c r="B516" s="3">
        <f>+IFERROR(VLOOKUP(A516,[1]Variables!$P:$Q,2,0),B515)</f>
        <v>854.45861540882004</v>
      </c>
    </row>
    <row r="517" spans="1:2" x14ac:dyDescent="0.25">
      <c r="A517" s="2">
        <f>+WORKDAY(A516,1,Feriados!$A$2:$A$38)</f>
        <v>46436</v>
      </c>
      <c r="B517" s="3">
        <f>+IFERROR(VLOOKUP(A517,[1]Variables!$P:$Q,2,0),B516)</f>
        <v>854.45861540882004</v>
      </c>
    </row>
    <row r="518" spans="1:2" x14ac:dyDescent="0.25">
      <c r="A518" s="2">
        <f>+WORKDAY(A517,1,Feriados!$A$2:$A$38)</f>
        <v>46437</v>
      </c>
      <c r="B518" s="3">
        <f>+IFERROR(VLOOKUP(A518,[1]Variables!$P:$Q,2,0),B517)</f>
        <v>854.45861540882004</v>
      </c>
    </row>
    <row r="519" spans="1:2" x14ac:dyDescent="0.25">
      <c r="A519" s="2">
        <f>+WORKDAY(A518,1,Feriados!$A$2:$A$38)</f>
        <v>46440</v>
      </c>
      <c r="B519" s="3">
        <f>+IFERROR(VLOOKUP(A519,[1]Variables!$P:$Q,2,0),B518)</f>
        <v>854.45861540882004</v>
      </c>
    </row>
    <row r="520" spans="1:2" x14ac:dyDescent="0.25">
      <c r="A520" s="2">
        <f>+WORKDAY(A519,1,Feriados!$A$2:$A$38)</f>
        <v>46441</v>
      </c>
      <c r="B520" s="3">
        <f>+IFERROR(VLOOKUP(A520,[1]Variables!$P:$Q,2,0),B519)</f>
        <v>854.45861540882004</v>
      </c>
    </row>
    <row r="521" spans="1:2" x14ac:dyDescent="0.25">
      <c r="A521" s="2">
        <f>+WORKDAY(A520,1,Feriados!$A$2:$A$38)</f>
        <v>46442</v>
      </c>
      <c r="B521" s="3">
        <f>+IFERROR(VLOOKUP(A521,[1]Variables!$P:$Q,2,0),B520)</f>
        <v>854.45861540882004</v>
      </c>
    </row>
    <row r="522" spans="1:2" x14ac:dyDescent="0.25">
      <c r="A522" s="2">
        <f>+WORKDAY(A521,1,Feriados!$A$2:$A$38)</f>
        <v>46443</v>
      </c>
      <c r="B522" s="3">
        <f>+IFERROR(VLOOKUP(A522,[1]Variables!$P:$Q,2,0),B521)</f>
        <v>854.45861540882004</v>
      </c>
    </row>
    <row r="523" spans="1:2" x14ac:dyDescent="0.25">
      <c r="A523" s="2">
        <f>+WORKDAY(A522,1,Feriados!$A$2:$A$38)</f>
        <v>46444</v>
      </c>
      <c r="B523" s="3">
        <f>+IFERROR(VLOOKUP(A523,[1]Variables!$P:$Q,2,0),B522)</f>
        <v>854.45861540882004</v>
      </c>
    </row>
    <row r="524" spans="1:2" x14ac:dyDescent="0.25">
      <c r="A524" s="2">
        <f>+WORKDAY(A523,1,Feriados!$A$2:$A$38)</f>
        <v>46447</v>
      </c>
      <c r="B524" s="3">
        <f>+IFERROR(VLOOKUP(A524,[1]Variables!$P:$Q,2,0),B523)</f>
        <v>854.45861540882004</v>
      </c>
    </row>
    <row r="525" spans="1:2" x14ac:dyDescent="0.25">
      <c r="A525" s="2">
        <f>+WORKDAY(A524,1,Feriados!$A$2:$A$38)</f>
        <v>46448</v>
      </c>
      <c r="B525" s="3">
        <f>+IFERROR(VLOOKUP(A525,[1]Variables!$P:$Q,2,0),B524)</f>
        <v>854.45861540882004</v>
      </c>
    </row>
    <row r="526" spans="1:2" x14ac:dyDescent="0.25">
      <c r="A526" s="2">
        <f>+WORKDAY(A525,1,Feriados!$A$2:$A$38)</f>
        <v>46449</v>
      </c>
      <c r="B526" s="3">
        <f>+IFERROR(VLOOKUP(A526,[1]Variables!$P:$Q,2,0),B525)</f>
        <v>854.45861540882004</v>
      </c>
    </row>
    <row r="527" spans="1:2" x14ac:dyDescent="0.25">
      <c r="A527" s="2">
        <f>+WORKDAY(A526,1,Feriados!$A$2:$A$38)</f>
        <v>46450</v>
      </c>
      <c r="B527" s="3">
        <f>+IFERROR(VLOOKUP(A527,[1]Variables!$P:$Q,2,0),B526)</f>
        <v>854.45861540882004</v>
      </c>
    </row>
    <row r="528" spans="1:2" x14ac:dyDescent="0.25">
      <c r="A528" s="2">
        <f>+WORKDAY(A527,1,Feriados!$A$2:$A$38)</f>
        <v>46451</v>
      </c>
      <c r="B528" s="3">
        <f>+IFERROR(VLOOKUP(A528,[1]Variables!$P:$Q,2,0),B527)</f>
        <v>854.45861540882004</v>
      </c>
    </row>
    <row r="529" spans="1:2" x14ac:dyDescent="0.25">
      <c r="A529" s="2">
        <f>+WORKDAY(A528,1,Feriados!$A$2:$A$38)</f>
        <v>46454</v>
      </c>
      <c r="B529" s="3">
        <f>+IFERROR(VLOOKUP(A529,[1]Variables!$P:$Q,2,0),B528)</f>
        <v>854.45861540882004</v>
      </c>
    </row>
    <row r="530" spans="1:2" x14ac:dyDescent="0.25">
      <c r="A530" s="2">
        <f>+WORKDAY(A529,1,Feriados!$A$2:$A$38)</f>
        <v>46455</v>
      </c>
      <c r="B530" s="3">
        <f>+IFERROR(VLOOKUP(A530,[1]Variables!$P:$Q,2,0),B529)</f>
        <v>854.45861540882004</v>
      </c>
    </row>
    <row r="531" spans="1:2" x14ac:dyDescent="0.25">
      <c r="A531" s="2">
        <f>+WORKDAY(A530,1,Feriados!$A$2:$A$38)</f>
        <v>46456</v>
      </c>
      <c r="B531" s="3">
        <f>+IFERROR(VLOOKUP(A531,[1]Variables!$P:$Q,2,0),B530)</f>
        <v>854.45861540882004</v>
      </c>
    </row>
    <row r="532" spans="1:2" x14ac:dyDescent="0.25">
      <c r="A532" s="2">
        <f>+WORKDAY(A531,1,Feriados!$A$2:$A$38)</f>
        <v>46457</v>
      </c>
      <c r="B532" s="3">
        <f>+IFERROR(VLOOKUP(A532,[1]Variables!$P:$Q,2,0),B531)</f>
        <v>854.45861540882004</v>
      </c>
    </row>
    <row r="533" spans="1:2" x14ac:dyDescent="0.25">
      <c r="A533" s="2">
        <f>+WORKDAY(A532,1,Feriados!$A$2:$A$38)</f>
        <v>46458</v>
      </c>
      <c r="B533" s="3">
        <f>+IFERROR(VLOOKUP(A533,[1]Variables!$P:$Q,2,0),B532)</f>
        <v>854.45861540882004</v>
      </c>
    </row>
    <row r="534" spans="1:2" x14ac:dyDescent="0.25">
      <c r="A534" s="2">
        <f>+WORKDAY(A533,1,Feriados!$A$2:$A$38)</f>
        <v>46461</v>
      </c>
      <c r="B534" s="3">
        <f>+IFERROR(VLOOKUP(A534,[1]Variables!$P:$Q,2,0),B533)</f>
        <v>854.45861540882004</v>
      </c>
    </row>
    <row r="535" spans="1:2" x14ac:dyDescent="0.25">
      <c r="A535" s="2">
        <f>+WORKDAY(A534,1,Feriados!$A$2:$A$38)</f>
        <v>46462</v>
      </c>
      <c r="B535" s="3">
        <f>+IFERROR(VLOOKUP(A535,[1]Variables!$P:$Q,2,0),B534)</f>
        <v>854.45861540882004</v>
      </c>
    </row>
    <row r="536" spans="1:2" x14ac:dyDescent="0.25">
      <c r="A536" s="2">
        <f>+WORKDAY(A535,1,Feriados!$A$2:$A$38)</f>
        <v>46463</v>
      </c>
      <c r="B536" s="3">
        <f>+IFERROR(VLOOKUP(A536,[1]Variables!$P:$Q,2,0),B535)</f>
        <v>854.45861540882004</v>
      </c>
    </row>
    <row r="537" spans="1:2" x14ac:dyDescent="0.25">
      <c r="A537" s="2">
        <f>+WORKDAY(A536,1,Feriados!$A$2:$A$38)</f>
        <v>46464</v>
      </c>
      <c r="B537" s="3">
        <f>+IFERROR(VLOOKUP(A537,[1]Variables!$P:$Q,2,0),B536)</f>
        <v>854.45861540882004</v>
      </c>
    </row>
    <row r="538" spans="1:2" x14ac:dyDescent="0.25">
      <c r="A538" s="2">
        <f>+WORKDAY(A537,1,Feriados!$A$2:$A$38)</f>
        <v>46465</v>
      </c>
      <c r="B538" s="3">
        <f>+IFERROR(VLOOKUP(A538,[1]Variables!$P:$Q,2,0),B537)</f>
        <v>854.45861540882004</v>
      </c>
    </row>
    <row r="539" spans="1:2" x14ac:dyDescent="0.25">
      <c r="A539" s="2">
        <f>+WORKDAY(A538,1,Feriados!$A$2:$A$38)</f>
        <v>46468</v>
      </c>
      <c r="B539" s="3">
        <f>+IFERROR(VLOOKUP(A539,[1]Variables!$P:$Q,2,0),B538)</f>
        <v>854.45861540882004</v>
      </c>
    </row>
    <row r="540" spans="1:2" x14ac:dyDescent="0.25">
      <c r="A540" s="2">
        <f>+WORKDAY(A539,1,Feriados!$A$2:$A$38)</f>
        <v>46469</v>
      </c>
      <c r="B540" s="3">
        <f>+IFERROR(VLOOKUP(A540,[1]Variables!$P:$Q,2,0),B539)</f>
        <v>854.45861540882004</v>
      </c>
    </row>
    <row r="541" spans="1:2" x14ac:dyDescent="0.25">
      <c r="A541" s="2">
        <f>+WORKDAY(A540,1,Feriados!$A$2:$A$38)</f>
        <v>46470</v>
      </c>
      <c r="B541" s="3">
        <f>+IFERROR(VLOOKUP(A541,[1]Variables!$P:$Q,2,0),B540)</f>
        <v>854.45861540882004</v>
      </c>
    </row>
    <row r="542" spans="1:2" x14ac:dyDescent="0.25">
      <c r="A542" s="2">
        <f>+WORKDAY(A541,1,Feriados!$A$2:$A$38)</f>
        <v>46471</v>
      </c>
      <c r="B542" s="3">
        <f>+IFERROR(VLOOKUP(A542,[1]Variables!$P:$Q,2,0),B541)</f>
        <v>854.45861540882004</v>
      </c>
    </row>
    <row r="543" spans="1:2" x14ac:dyDescent="0.25">
      <c r="A543" s="2">
        <f>+WORKDAY(A542,1,Feriados!$A$2:$A$38)</f>
        <v>46472</v>
      </c>
      <c r="B543" s="3">
        <f>+IFERROR(VLOOKUP(A543,[1]Variables!$P:$Q,2,0),B542)</f>
        <v>854.45861540882004</v>
      </c>
    </row>
    <row r="544" spans="1:2" x14ac:dyDescent="0.25">
      <c r="A544" s="2">
        <f>+WORKDAY(A543,1,Feriados!$A$2:$A$38)</f>
        <v>46475</v>
      </c>
      <c r="B544" s="3">
        <f>+IFERROR(VLOOKUP(A544,[1]Variables!$P:$Q,2,0),B543)</f>
        <v>854.45861540882004</v>
      </c>
    </row>
    <row r="545" spans="1:2" x14ac:dyDescent="0.25">
      <c r="A545" s="2">
        <f>+WORKDAY(A544,1,Feriados!$A$2:$A$38)</f>
        <v>46476</v>
      </c>
      <c r="B545" s="3">
        <f>+IFERROR(VLOOKUP(A545,[1]Variables!$P:$Q,2,0),B544)</f>
        <v>854.45861540882004</v>
      </c>
    </row>
    <row r="546" spans="1:2" x14ac:dyDescent="0.25">
      <c r="A546" s="2">
        <f>+WORKDAY(A545,1,Feriados!$A$2:$A$38)</f>
        <v>46477</v>
      </c>
      <c r="B546" s="3">
        <f>+IFERROR(VLOOKUP(A546,[1]Variables!$P:$Q,2,0),B545)</f>
        <v>854.45861540882004</v>
      </c>
    </row>
    <row r="547" spans="1:2" x14ac:dyDescent="0.25">
      <c r="A547" s="2">
        <f>+WORKDAY(A546,1,Feriados!$A$2:$A$38)</f>
        <v>46478</v>
      </c>
      <c r="B547" s="3">
        <f>+IFERROR(VLOOKUP(A547,[1]Variables!$P:$Q,2,0),B546)</f>
        <v>854.45861540882004</v>
      </c>
    </row>
    <row r="548" spans="1:2" x14ac:dyDescent="0.25">
      <c r="A548" s="2">
        <f>+WORKDAY(A547,1,Feriados!$A$2:$A$38)</f>
        <v>46479</v>
      </c>
      <c r="B548" s="3">
        <f>+IFERROR(VLOOKUP(A548,[1]Variables!$P:$Q,2,0),B547)</f>
        <v>854.45861540882004</v>
      </c>
    </row>
    <row r="549" spans="1:2" x14ac:dyDescent="0.25">
      <c r="A549" s="2">
        <f>+WORKDAY(A548,1,Feriados!$A$2:$A$38)</f>
        <v>46482</v>
      </c>
      <c r="B549" s="3">
        <f>+IFERROR(VLOOKUP(A549,[1]Variables!$P:$Q,2,0),B548)</f>
        <v>854.45861540882004</v>
      </c>
    </row>
    <row r="550" spans="1:2" x14ac:dyDescent="0.25">
      <c r="A550" s="2">
        <f>+WORKDAY(A549,1,Feriados!$A$2:$A$38)</f>
        <v>46483</v>
      </c>
      <c r="B550" s="3">
        <f>+IFERROR(VLOOKUP(A550,[1]Variables!$P:$Q,2,0),B549)</f>
        <v>854.45861540882004</v>
      </c>
    </row>
    <row r="551" spans="1:2" x14ac:dyDescent="0.25">
      <c r="A551" s="2">
        <f>+WORKDAY(A550,1,Feriados!$A$2:$A$38)</f>
        <v>46484</v>
      </c>
      <c r="B551" s="3">
        <f>+IFERROR(VLOOKUP(A551,[1]Variables!$P:$Q,2,0),B550)</f>
        <v>854.45861540882004</v>
      </c>
    </row>
    <row r="552" spans="1:2" x14ac:dyDescent="0.25">
      <c r="A552" s="2">
        <f>+WORKDAY(A551,1,Feriados!$A$2:$A$38)</f>
        <v>46485</v>
      </c>
      <c r="B552" s="3">
        <f>+IFERROR(VLOOKUP(A552,[1]Variables!$P:$Q,2,0),B551)</f>
        <v>854.45861540882004</v>
      </c>
    </row>
    <row r="553" spans="1:2" x14ac:dyDescent="0.25">
      <c r="A553" s="2">
        <f>+WORKDAY(A552,1,Feriados!$A$2:$A$38)</f>
        <v>46486</v>
      </c>
      <c r="B553" s="3">
        <f>+IFERROR(VLOOKUP(A553,[1]Variables!$P:$Q,2,0),B552)</f>
        <v>854.45861540882004</v>
      </c>
    </row>
    <row r="554" spans="1:2" x14ac:dyDescent="0.25">
      <c r="A554" s="2">
        <f>+WORKDAY(A553,1,Feriados!$A$2:$A$38)</f>
        <v>46489</v>
      </c>
      <c r="B554" s="3">
        <f>+IFERROR(VLOOKUP(A554,[1]Variables!$P:$Q,2,0),B553)</f>
        <v>854.45861540882004</v>
      </c>
    </row>
    <row r="555" spans="1:2" x14ac:dyDescent="0.25">
      <c r="A555" s="2">
        <f>+WORKDAY(A554,1,Feriados!$A$2:$A$38)</f>
        <v>46490</v>
      </c>
      <c r="B555" s="3">
        <f>+IFERROR(VLOOKUP(A555,[1]Variables!$P:$Q,2,0),B554)</f>
        <v>854.45861540882004</v>
      </c>
    </row>
    <row r="556" spans="1:2" x14ac:dyDescent="0.25">
      <c r="A556" s="2">
        <f>+WORKDAY(A555,1,Feriados!$A$2:$A$38)</f>
        <v>46491</v>
      </c>
      <c r="B556" s="3">
        <f>+IFERROR(VLOOKUP(A556,[1]Variables!$P:$Q,2,0),B555)</f>
        <v>854.45861540882004</v>
      </c>
    </row>
    <row r="557" spans="1:2" x14ac:dyDescent="0.25">
      <c r="A557" s="2">
        <f>+WORKDAY(A556,1,Feriados!$A$2:$A$38)</f>
        <v>46492</v>
      </c>
      <c r="B557" s="3">
        <f>+IFERROR(VLOOKUP(A557,[1]Variables!$P:$Q,2,0),B556)</f>
        <v>854.45861540882004</v>
      </c>
    </row>
    <row r="558" spans="1:2" x14ac:dyDescent="0.25">
      <c r="A558" s="2">
        <f>+WORKDAY(A557,1,Feriados!$A$2:$A$38)</f>
        <v>46493</v>
      </c>
      <c r="B558" s="3">
        <f>+IFERROR(VLOOKUP(A558,[1]Variables!$P:$Q,2,0),B557)</f>
        <v>854.45861540882004</v>
      </c>
    </row>
    <row r="559" spans="1:2" x14ac:dyDescent="0.25">
      <c r="A559" s="2">
        <f>+WORKDAY(A558,1,Feriados!$A$2:$A$38)</f>
        <v>46496</v>
      </c>
      <c r="B559" s="3">
        <f>+IFERROR(VLOOKUP(A559,[1]Variables!$P:$Q,2,0),B558)</f>
        <v>854.45861540882004</v>
      </c>
    </row>
    <row r="560" spans="1:2" x14ac:dyDescent="0.25">
      <c r="A560" s="2">
        <f>+WORKDAY(A559,1,Feriados!$A$2:$A$38)</f>
        <v>46497</v>
      </c>
      <c r="B560" s="3">
        <f>+IFERROR(VLOOKUP(A560,[1]Variables!$P:$Q,2,0),B559)</f>
        <v>854.45861540882004</v>
      </c>
    </row>
    <row r="561" spans="1:2" x14ac:dyDescent="0.25">
      <c r="A561" s="2">
        <f>+WORKDAY(A560,1,Feriados!$A$2:$A$38)</f>
        <v>46498</v>
      </c>
      <c r="B561" s="3">
        <f>+IFERROR(VLOOKUP(A561,[1]Variables!$P:$Q,2,0),B560)</f>
        <v>854.45861540882004</v>
      </c>
    </row>
    <row r="562" spans="1:2" x14ac:dyDescent="0.25">
      <c r="A562" s="2">
        <f>+WORKDAY(A561,1,Feriados!$A$2:$A$38)</f>
        <v>46499</v>
      </c>
      <c r="B562" s="3">
        <f>+IFERROR(VLOOKUP(A562,[1]Variables!$P:$Q,2,0),B561)</f>
        <v>854.45861540882004</v>
      </c>
    </row>
    <row r="563" spans="1:2" x14ac:dyDescent="0.25">
      <c r="A563" s="2">
        <f>+WORKDAY(A562,1,Feriados!$A$2:$A$38)</f>
        <v>46500</v>
      </c>
      <c r="B563" s="3">
        <f>+IFERROR(VLOOKUP(A563,[1]Variables!$P:$Q,2,0),B562)</f>
        <v>854.45861540882004</v>
      </c>
    </row>
    <row r="564" spans="1:2" x14ac:dyDescent="0.25">
      <c r="A564" s="2">
        <f>+WORKDAY(A563,1,Feriados!$A$2:$A$38)</f>
        <v>46503</v>
      </c>
      <c r="B564" s="3">
        <f>+IFERROR(VLOOKUP(A564,[1]Variables!$P:$Q,2,0),B563)</f>
        <v>854.45861540882004</v>
      </c>
    </row>
    <row r="565" spans="1:2" x14ac:dyDescent="0.25">
      <c r="A565" s="2">
        <f>+WORKDAY(A564,1,Feriados!$A$2:$A$38)</f>
        <v>46504</v>
      </c>
      <c r="B565" s="3">
        <f>+IFERROR(VLOOKUP(A565,[1]Variables!$P:$Q,2,0),B564)</f>
        <v>854.45861540882004</v>
      </c>
    </row>
    <row r="566" spans="1:2" x14ac:dyDescent="0.25">
      <c r="A566" s="2">
        <f>+WORKDAY(A565,1,Feriados!$A$2:$A$38)</f>
        <v>46505</v>
      </c>
      <c r="B566" s="3">
        <f>+IFERROR(VLOOKUP(A566,[1]Variables!$P:$Q,2,0),B565)</f>
        <v>854.45861540882004</v>
      </c>
    </row>
    <row r="567" spans="1:2" x14ac:dyDescent="0.25">
      <c r="A567" s="2">
        <f>+WORKDAY(A566,1,Feriados!$A$2:$A$38)</f>
        <v>46506</v>
      </c>
      <c r="B567" s="3">
        <f>+IFERROR(VLOOKUP(A567,[1]Variables!$P:$Q,2,0),B566)</f>
        <v>854.45861540882004</v>
      </c>
    </row>
    <row r="568" spans="1:2" x14ac:dyDescent="0.25">
      <c r="A568" s="2">
        <f>+WORKDAY(A567,1,Feriados!$A$2:$A$38)</f>
        <v>46507</v>
      </c>
      <c r="B568" s="3">
        <f>+IFERROR(VLOOKUP(A568,[1]Variables!$P:$Q,2,0),B567)</f>
        <v>854.45861540882004</v>
      </c>
    </row>
    <row r="569" spans="1:2" x14ac:dyDescent="0.25">
      <c r="A569" s="2">
        <f>+WORKDAY(A568,1,Feriados!$A$2:$A$38)</f>
        <v>46510</v>
      </c>
      <c r="B569" s="3">
        <f>+IFERROR(VLOOKUP(A569,[1]Variables!$P:$Q,2,0),B568)</f>
        <v>854.45861540882004</v>
      </c>
    </row>
    <row r="570" spans="1:2" x14ac:dyDescent="0.25">
      <c r="A570" s="2">
        <f>+WORKDAY(A569,1,Feriados!$A$2:$A$38)</f>
        <v>46511</v>
      </c>
      <c r="B570" s="3">
        <f>+IFERROR(VLOOKUP(A570,[1]Variables!$P:$Q,2,0),B569)</f>
        <v>854.45861540882004</v>
      </c>
    </row>
    <row r="571" spans="1:2" x14ac:dyDescent="0.25">
      <c r="A571" s="2">
        <f>+WORKDAY(A570,1,Feriados!$A$2:$A$38)</f>
        <v>46512</v>
      </c>
      <c r="B571" s="3">
        <f>+IFERROR(VLOOKUP(A571,[1]Variables!$P:$Q,2,0),B570)</f>
        <v>854.45861540882004</v>
      </c>
    </row>
    <row r="572" spans="1:2" x14ac:dyDescent="0.25">
      <c r="A572" s="2">
        <f>+WORKDAY(A571,1,Feriados!$A$2:$A$38)</f>
        <v>46513</v>
      </c>
      <c r="B572" s="3">
        <f>+IFERROR(VLOOKUP(A572,[1]Variables!$P:$Q,2,0),B571)</f>
        <v>854.45861540882004</v>
      </c>
    </row>
    <row r="573" spans="1:2" x14ac:dyDescent="0.25">
      <c r="A573" s="2">
        <f>+WORKDAY(A572,1,Feriados!$A$2:$A$38)</f>
        <v>46514</v>
      </c>
      <c r="B573" s="3">
        <f>+IFERROR(VLOOKUP(A573,[1]Variables!$P:$Q,2,0),B572)</f>
        <v>854.45861540882004</v>
      </c>
    </row>
    <row r="574" spans="1:2" x14ac:dyDescent="0.25">
      <c r="A574" s="2">
        <f>+WORKDAY(A573,1,Feriados!$A$2:$A$38)</f>
        <v>46517</v>
      </c>
      <c r="B574" s="3">
        <f>+IFERROR(VLOOKUP(A574,[1]Variables!$P:$Q,2,0),B573)</f>
        <v>854.45861540882004</v>
      </c>
    </row>
    <row r="575" spans="1:2" x14ac:dyDescent="0.25">
      <c r="A575" s="2">
        <f>+WORKDAY(A574,1,Feriados!$A$2:$A$38)</f>
        <v>46518</v>
      </c>
      <c r="B575" s="3">
        <f>+IFERROR(VLOOKUP(A575,[1]Variables!$P:$Q,2,0),B574)</f>
        <v>854.45861540882004</v>
      </c>
    </row>
    <row r="576" spans="1:2" x14ac:dyDescent="0.25">
      <c r="A576" s="2">
        <f>+WORKDAY(A575,1,Feriados!$A$2:$A$38)</f>
        <v>46519</v>
      </c>
      <c r="B576" s="3">
        <f>+IFERROR(VLOOKUP(A576,[1]Variables!$P:$Q,2,0),B575)</f>
        <v>854.45861540882004</v>
      </c>
    </row>
    <row r="577" spans="1:2" x14ac:dyDescent="0.25">
      <c r="A577" s="2">
        <f>+WORKDAY(A576,1,Feriados!$A$2:$A$38)</f>
        <v>46520</v>
      </c>
      <c r="B577" s="3">
        <f>+IFERROR(VLOOKUP(A577,[1]Variables!$P:$Q,2,0),B576)</f>
        <v>854.45861540882004</v>
      </c>
    </row>
    <row r="578" spans="1:2" x14ac:dyDescent="0.25">
      <c r="A578" s="2">
        <f>+WORKDAY(A577,1,Feriados!$A$2:$A$38)</f>
        <v>46521</v>
      </c>
      <c r="B578" s="3">
        <f>+IFERROR(VLOOKUP(A578,[1]Variables!$P:$Q,2,0),B577)</f>
        <v>854.45861540882004</v>
      </c>
    </row>
    <row r="579" spans="1:2" x14ac:dyDescent="0.25">
      <c r="A579" s="2">
        <f>+WORKDAY(A578,1,Feriados!$A$2:$A$38)</f>
        <v>46524</v>
      </c>
      <c r="B579" s="3">
        <f>+IFERROR(VLOOKUP(A579,[1]Variables!$P:$Q,2,0),B578)</f>
        <v>854.45861540882004</v>
      </c>
    </row>
    <row r="580" spans="1:2" x14ac:dyDescent="0.25">
      <c r="A580" s="2">
        <f>+WORKDAY(A579,1,Feriados!$A$2:$A$38)</f>
        <v>46525</v>
      </c>
      <c r="B580" s="3">
        <f>+IFERROR(VLOOKUP(A580,[1]Variables!$P:$Q,2,0),B579)</f>
        <v>854.45861540882004</v>
      </c>
    </row>
    <row r="581" spans="1:2" x14ac:dyDescent="0.25">
      <c r="A581" s="2">
        <f>+WORKDAY(A580,1,Feriados!$A$2:$A$38)</f>
        <v>46526</v>
      </c>
      <c r="B581" s="3">
        <f>+IFERROR(VLOOKUP(A581,[1]Variables!$P:$Q,2,0),B580)</f>
        <v>854.45861540882004</v>
      </c>
    </row>
    <row r="582" spans="1:2" x14ac:dyDescent="0.25">
      <c r="A582" s="2">
        <f>+WORKDAY(A581,1,Feriados!$A$2:$A$38)</f>
        <v>46527</v>
      </c>
      <c r="B582" s="3">
        <f>+IFERROR(VLOOKUP(A582,[1]Variables!$P:$Q,2,0),B581)</f>
        <v>854.45861540882004</v>
      </c>
    </row>
    <row r="583" spans="1:2" x14ac:dyDescent="0.25">
      <c r="A583" s="2">
        <f>+WORKDAY(A582,1,Feriados!$A$2:$A$38)</f>
        <v>46528</v>
      </c>
      <c r="B583" s="3">
        <f>+IFERROR(VLOOKUP(A583,[1]Variables!$P:$Q,2,0),B582)</f>
        <v>854.45861540882004</v>
      </c>
    </row>
    <row r="584" spans="1:2" x14ac:dyDescent="0.25">
      <c r="A584" s="2">
        <f>+WORKDAY(A583,1,Feriados!$A$2:$A$38)</f>
        <v>46531</v>
      </c>
      <c r="B584" s="3">
        <f>+IFERROR(VLOOKUP(A584,[1]Variables!$P:$Q,2,0),B583)</f>
        <v>854.45861540882004</v>
      </c>
    </row>
    <row r="585" spans="1:2" x14ac:dyDescent="0.25">
      <c r="A585" s="2">
        <f>+WORKDAY(A584,1,Feriados!$A$2:$A$38)</f>
        <v>46532</v>
      </c>
      <c r="B585" s="3">
        <f>+IFERROR(VLOOKUP(A585,[1]Variables!$P:$Q,2,0),B584)</f>
        <v>854.45861540882004</v>
      </c>
    </row>
    <row r="586" spans="1:2" x14ac:dyDescent="0.25">
      <c r="A586" s="2">
        <f>+WORKDAY(A585,1,Feriados!$A$2:$A$38)</f>
        <v>46533</v>
      </c>
      <c r="B586" s="3">
        <f>+IFERROR(VLOOKUP(A586,[1]Variables!$P:$Q,2,0),B585)</f>
        <v>854.45861540882004</v>
      </c>
    </row>
    <row r="587" spans="1:2" x14ac:dyDescent="0.25">
      <c r="A587" s="2">
        <f>+WORKDAY(A586,1,Feriados!$A$2:$A$38)</f>
        <v>46534</v>
      </c>
      <c r="B587" s="3">
        <f>+IFERROR(VLOOKUP(A587,[1]Variables!$P:$Q,2,0),B586)</f>
        <v>854.45861540882004</v>
      </c>
    </row>
    <row r="588" spans="1:2" x14ac:dyDescent="0.25">
      <c r="A588" s="2">
        <f>+WORKDAY(A587,1,Feriados!$A$2:$A$38)</f>
        <v>46535</v>
      </c>
      <c r="B588" s="3">
        <f>+IFERROR(VLOOKUP(A588,[1]Variables!$P:$Q,2,0),B587)</f>
        <v>854.45861540882004</v>
      </c>
    </row>
    <row r="589" spans="1:2" x14ac:dyDescent="0.25">
      <c r="A589" s="2">
        <f>+WORKDAY(A588,1,Feriados!$A$2:$A$38)</f>
        <v>46538</v>
      </c>
      <c r="B589" s="3">
        <f>+IFERROR(VLOOKUP(A589,[1]Variables!$P:$Q,2,0),B588)</f>
        <v>854.45861540882004</v>
      </c>
    </row>
    <row r="590" spans="1:2" x14ac:dyDescent="0.25">
      <c r="A590" s="2">
        <f>+WORKDAY(A589,1,Feriados!$A$2:$A$38)</f>
        <v>46539</v>
      </c>
      <c r="B590" s="3">
        <f>+IFERROR(VLOOKUP(A590,[1]Variables!$P:$Q,2,0),B589)</f>
        <v>854.45861540882004</v>
      </c>
    </row>
    <row r="591" spans="1:2" x14ac:dyDescent="0.25">
      <c r="A591" s="2">
        <f>+WORKDAY(A590,1,Feriados!$A$2:$A$38)</f>
        <v>46540</v>
      </c>
      <c r="B591" s="3">
        <f>+IFERROR(VLOOKUP(A591,[1]Variables!$P:$Q,2,0),B590)</f>
        <v>854.45861540882004</v>
      </c>
    </row>
    <row r="592" spans="1:2" x14ac:dyDescent="0.25">
      <c r="A592" s="2">
        <f>+WORKDAY(A591,1,Feriados!$A$2:$A$38)</f>
        <v>46541</v>
      </c>
      <c r="B592" s="3">
        <f>+IFERROR(VLOOKUP(A592,[1]Variables!$P:$Q,2,0),B591)</f>
        <v>854.45861540882004</v>
      </c>
    </row>
    <row r="593" spans="1:2" x14ac:dyDescent="0.25">
      <c r="A593" s="2">
        <f>+WORKDAY(A592,1,Feriados!$A$2:$A$38)</f>
        <v>46542</v>
      </c>
      <c r="B593" s="3">
        <f>+IFERROR(VLOOKUP(A593,[1]Variables!$P:$Q,2,0),B592)</f>
        <v>854.45861540882004</v>
      </c>
    </row>
    <row r="594" spans="1:2" x14ac:dyDescent="0.25">
      <c r="A594" s="2">
        <f>+WORKDAY(A593,1,Feriados!$A$2:$A$38)</f>
        <v>46545</v>
      </c>
      <c r="B594" s="3">
        <f>+IFERROR(VLOOKUP(A594,[1]Variables!$P:$Q,2,0),B593)</f>
        <v>854.45861540882004</v>
      </c>
    </row>
    <row r="595" spans="1:2" x14ac:dyDescent="0.25">
      <c r="A595" s="2">
        <f>+WORKDAY(A594,1,Feriados!$A$2:$A$38)</f>
        <v>46546</v>
      </c>
      <c r="B595" s="3">
        <f>+IFERROR(VLOOKUP(A595,[1]Variables!$P:$Q,2,0),B594)</f>
        <v>854.45861540882004</v>
      </c>
    </row>
    <row r="596" spans="1:2" x14ac:dyDescent="0.25">
      <c r="A596" s="2">
        <f>+WORKDAY(A595,1,Feriados!$A$2:$A$38)</f>
        <v>46547</v>
      </c>
      <c r="B596" s="3">
        <f>+IFERROR(VLOOKUP(A596,[1]Variables!$P:$Q,2,0),B595)</f>
        <v>854.45861540882004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15" sqref="A15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+[2]Hoja1!$B31</f>
        <v>46167</v>
      </c>
    </row>
    <row r="3" spans="1:1" x14ac:dyDescent="0.25">
      <c r="A3" s="1">
        <f>+[2]Hoja1!$B32</f>
        <v>46188</v>
      </c>
    </row>
    <row r="4" spans="1:1" x14ac:dyDescent="0.25">
      <c r="A4" s="1">
        <f>+[2]Hoja1!$B33</f>
        <v>46212</v>
      </c>
    </row>
    <row r="5" spans="1:1" x14ac:dyDescent="0.25">
      <c r="A5" s="1">
        <f>+[2]Hoja1!$B34</f>
        <v>46213</v>
      </c>
    </row>
    <row r="6" spans="1:1" x14ac:dyDescent="0.25">
      <c r="A6" s="1">
        <f>+[2]Hoja1!$B35</f>
        <v>46251</v>
      </c>
    </row>
    <row r="7" spans="1:1" x14ac:dyDescent="0.25">
      <c r="A7" s="1">
        <f>+[2]Hoja1!$B36</f>
        <v>46307</v>
      </c>
    </row>
    <row r="8" spans="1:1" x14ac:dyDescent="0.25">
      <c r="A8" s="1">
        <f>+[2]Hoja1!$B37</f>
        <v>46332</v>
      </c>
    </row>
    <row r="9" spans="1:1" x14ac:dyDescent="0.25">
      <c r="A9" s="1">
        <f>+[2]Hoja1!$B38</f>
        <v>46335</v>
      </c>
    </row>
    <row r="10" spans="1:1" x14ac:dyDescent="0.25">
      <c r="A10" s="1">
        <f>+[2]Hoja1!$B39</f>
        <v>46336</v>
      </c>
    </row>
    <row r="11" spans="1:1" x14ac:dyDescent="0.25">
      <c r="A11" s="1">
        <f>+[2]Hoja1!$B40</f>
        <v>46349</v>
      </c>
    </row>
    <row r="12" spans="1:1" x14ac:dyDescent="0.25">
      <c r="A12" s="1">
        <f>+[2]Hoja1!$B41</f>
        <v>46363</v>
      </c>
    </row>
    <row r="13" spans="1:1" x14ac:dyDescent="0.25">
      <c r="A13" s="1">
        <f>+[2]Hoja1!$B42</f>
        <v>46364</v>
      </c>
    </row>
    <row r="14" spans="1:1" x14ac:dyDescent="0.25">
      <c r="A14" s="1">
        <f>+[2]Hoja1!$B43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A2" sqref="A2:A6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Precios</vt:lpstr>
      <vt:lpstr>TAMAR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2026-10-06T15:45:38Z</dcterms:modified>
</cp:coreProperties>
</file>